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9.xml" ContentType="application/vnd.openxmlformats-officedocument.spreadsheetml.tab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ables/table10.xml" ContentType="application/vnd.openxmlformats-officedocument.spreadsheetml.table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ables/table11.xml" ContentType="application/vnd.openxmlformats-officedocument.spreadsheetml.table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cteiul365-my.sharepoint.com/personal/gwnou_iscte-iul_pt/Documents/CRP Model/Anylogic/"/>
    </mc:Choice>
  </mc:AlternateContent>
  <xr:revisionPtr revIDLastSave="2300" documentId="8_{B87B8F94-1386-4E41-8475-C619ADD3EEE1}" xr6:coauthVersionLast="47" xr6:coauthVersionMax="47" xr10:uidLastSave="{82537832-2EA7-4B3D-A91A-20110805C941}"/>
  <bookViews>
    <workbookView xWindow="-110" yWindow="-110" windowWidth="25820" windowHeight="15500" tabRatio="872" firstSheet="1" activeTab="2" xr2:uid="{0A40D675-9B92-4A2B-9647-AD12656C0890}"/>
  </bookViews>
  <sheets>
    <sheet name="Results_from_Source" sheetId="1" state="hidden" r:id="rId1"/>
    <sheet name="Results_Calculated" sheetId="30" r:id="rId2"/>
    <sheet name="Graphs Total" sheetId="29" r:id="rId3"/>
    <sheet name="Totals All" sheetId="2" r:id="rId4"/>
    <sheet name="Totals Baseline" sheetId="17" r:id="rId5"/>
    <sheet name="Graphs Baseline" sheetId="26" r:id="rId6"/>
    <sheet name="Inventory Baseline" sheetId="12" r:id="rId7"/>
    <sheet name="Backlog Baseline" sheetId="13" r:id="rId8"/>
    <sheet name="Orders Baseline" sheetId="14" r:id="rId9"/>
    <sheet name="IHC Baseline" sheetId="15" r:id="rId10"/>
    <sheet name="UBC Baseline" sheetId="16" r:id="rId11"/>
    <sheet name="Totals ELV" sheetId="3" r:id="rId12"/>
    <sheet name="Graphs ELV" sheetId="27" r:id="rId13"/>
    <sheet name="Inventory ELV" sheetId="6" r:id="rId14"/>
    <sheet name="Backlog ELV" sheetId="7" r:id="rId15"/>
    <sheet name="Orders ELV" sheetId="8" r:id="rId16"/>
    <sheet name="IHC ELV" sheetId="9" r:id="rId17"/>
    <sheet name="UBC ELV" sheetId="11" r:id="rId18"/>
    <sheet name="Totals CRP" sheetId="23" r:id="rId19"/>
    <sheet name="Graphs CRP" sheetId="28" r:id="rId20"/>
    <sheet name="Inventory CRP" sheetId="18" r:id="rId21"/>
    <sheet name="Backlog CRP" sheetId="19" r:id="rId22"/>
    <sheet name="Orders CRP" sheetId="20" r:id="rId23"/>
    <sheet name="IHC CRP" sheetId="21" r:id="rId24"/>
    <sheet name="UBC CRP" sheetId="22" r:id="rId25"/>
    <sheet name="Totals DQN" sheetId="31" r:id="rId26"/>
    <sheet name="Inventory DQN" sheetId="32" r:id="rId27"/>
    <sheet name="Backlog DQN" sheetId="33" r:id="rId28"/>
    <sheet name="Orders DQN" sheetId="34" r:id="rId29"/>
    <sheet name="IHC DQN" sheetId="35" r:id="rId30"/>
    <sheet name="UBC DQN" sheetId="36" r:id="rId31"/>
    <sheet name="Graphs DQN" sheetId="37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3" l="1"/>
  <c r="R3" i="23"/>
  <c r="R4" i="23"/>
  <c r="R5" i="23"/>
  <c r="R6" i="23"/>
  <c r="R7" i="23"/>
  <c r="R8" i="23"/>
  <c r="R9" i="23"/>
  <c r="R10" i="23"/>
  <c r="R11" i="23"/>
  <c r="R12" i="23"/>
  <c r="R13" i="23"/>
  <c r="R14" i="23"/>
  <c r="R15" i="23"/>
  <c r="R16" i="23"/>
  <c r="R17" i="23"/>
  <c r="R18" i="23"/>
  <c r="R19" i="23"/>
  <c r="R20" i="23"/>
  <c r="R21" i="23"/>
  <c r="R22" i="23"/>
  <c r="R23" i="23"/>
  <c r="R24" i="23"/>
  <c r="R25" i="23"/>
  <c r="R26" i="23"/>
  <c r="R27" i="23"/>
  <c r="R28" i="23"/>
  <c r="R29" i="23"/>
  <c r="R30" i="23"/>
  <c r="R31" i="23"/>
  <c r="R32" i="23"/>
  <c r="R33" i="23"/>
  <c r="R34" i="23"/>
  <c r="R35" i="23"/>
  <c r="R36" i="23"/>
  <c r="R37" i="23"/>
  <c r="R38" i="23"/>
  <c r="Q4" i="23"/>
  <c r="AX2" i="20" l="1"/>
  <c r="AW2" i="20"/>
  <c r="AV2" i="20"/>
  <c r="AU2" i="20"/>
  <c r="AX38" i="18"/>
  <c r="AW38" i="18"/>
  <c r="AV38" i="18"/>
  <c r="AU38" i="18"/>
  <c r="AX37" i="18"/>
  <c r="AW37" i="18"/>
  <c r="AV37" i="18"/>
  <c r="AU37" i="18"/>
  <c r="AX36" i="18"/>
  <c r="AW36" i="18"/>
  <c r="AV36" i="18"/>
  <c r="AU36" i="18"/>
  <c r="AX35" i="18"/>
  <c r="AW35" i="18"/>
  <c r="AV35" i="18"/>
  <c r="AU35" i="18"/>
  <c r="AX34" i="18"/>
  <c r="AW34" i="18"/>
  <c r="AV34" i="18"/>
  <c r="AU34" i="18"/>
  <c r="AX33" i="18"/>
  <c r="AW33" i="18"/>
  <c r="AV33" i="18"/>
  <c r="AU33" i="18"/>
  <c r="AX32" i="18"/>
  <c r="AW32" i="18"/>
  <c r="AV32" i="18"/>
  <c r="AU32" i="18"/>
  <c r="AX31" i="18"/>
  <c r="AW31" i="18"/>
  <c r="AV31" i="18"/>
  <c r="AU31" i="18"/>
  <c r="AX30" i="18"/>
  <c r="AW30" i="18"/>
  <c r="AV30" i="18"/>
  <c r="AU30" i="18"/>
  <c r="AX29" i="18"/>
  <c r="AW29" i="18"/>
  <c r="AV29" i="18"/>
  <c r="AU29" i="18"/>
  <c r="AX28" i="18"/>
  <c r="AW28" i="18"/>
  <c r="AV28" i="18"/>
  <c r="AU28" i="18"/>
  <c r="AX27" i="18"/>
  <c r="AW27" i="18"/>
  <c r="AV27" i="18"/>
  <c r="AU27" i="18"/>
  <c r="AX26" i="18"/>
  <c r="AW26" i="18"/>
  <c r="AV26" i="18"/>
  <c r="AU26" i="18"/>
  <c r="AX25" i="18"/>
  <c r="AW25" i="18"/>
  <c r="AV25" i="18"/>
  <c r="AU25" i="18"/>
  <c r="AX24" i="18"/>
  <c r="AW24" i="18"/>
  <c r="AV24" i="18"/>
  <c r="AU24" i="18"/>
  <c r="AX23" i="18"/>
  <c r="AW23" i="18"/>
  <c r="AV23" i="18"/>
  <c r="AU23" i="18"/>
  <c r="AX22" i="18"/>
  <c r="AW22" i="18"/>
  <c r="AV22" i="18"/>
  <c r="AU22" i="18"/>
  <c r="AX21" i="18"/>
  <c r="AW21" i="18"/>
  <c r="AV21" i="18"/>
  <c r="AU21" i="18"/>
  <c r="AX20" i="18"/>
  <c r="AW20" i="18"/>
  <c r="AV20" i="18"/>
  <c r="AU20" i="18"/>
  <c r="AX19" i="18"/>
  <c r="AW19" i="18"/>
  <c r="AV19" i="18"/>
  <c r="AU19" i="18"/>
  <c r="AX18" i="18"/>
  <c r="AW18" i="18"/>
  <c r="AV18" i="18"/>
  <c r="AU18" i="18"/>
  <c r="AX17" i="18"/>
  <c r="AW17" i="18"/>
  <c r="AV17" i="18"/>
  <c r="AU17" i="18"/>
  <c r="AX16" i="18"/>
  <c r="AW16" i="18"/>
  <c r="AV16" i="18"/>
  <c r="AU16" i="18"/>
  <c r="AX15" i="18"/>
  <c r="AW15" i="18"/>
  <c r="AV15" i="18"/>
  <c r="AU15" i="18"/>
  <c r="AX14" i="18"/>
  <c r="AW14" i="18"/>
  <c r="AV14" i="18"/>
  <c r="AU14" i="18"/>
  <c r="AX13" i="18"/>
  <c r="AW13" i="18"/>
  <c r="AV13" i="18"/>
  <c r="AU13" i="18"/>
  <c r="AX12" i="18"/>
  <c r="AW12" i="18"/>
  <c r="AV12" i="18"/>
  <c r="AU12" i="18"/>
  <c r="AX11" i="18"/>
  <c r="AW11" i="18"/>
  <c r="AV11" i="18"/>
  <c r="AU11" i="18"/>
  <c r="AX10" i="18"/>
  <c r="AW10" i="18"/>
  <c r="AV10" i="18"/>
  <c r="AU10" i="18"/>
  <c r="AX9" i="18"/>
  <c r="AW9" i="18"/>
  <c r="AV9" i="18"/>
  <c r="AU9" i="18"/>
  <c r="AX8" i="18"/>
  <c r="AW8" i="18"/>
  <c r="AV8" i="18"/>
  <c r="AU8" i="18"/>
  <c r="AX7" i="18"/>
  <c r="AW7" i="18"/>
  <c r="AV7" i="18"/>
  <c r="AU7" i="18"/>
  <c r="AX6" i="18"/>
  <c r="AW6" i="18"/>
  <c r="AV6" i="18"/>
  <c r="AU6" i="18"/>
  <c r="AX5" i="18"/>
  <c r="AW5" i="18"/>
  <c r="AV5" i="18"/>
  <c r="AU5" i="18"/>
  <c r="AX4" i="18"/>
  <c r="AW4" i="18"/>
  <c r="AV4" i="18"/>
  <c r="AU4" i="18"/>
  <c r="AX3" i="18"/>
  <c r="AW3" i="18"/>
  <c r="AV3" i="18"/>
  <c r="AU3" i="18"/>
  <c r="AX2" i="8"/>
  <c r="AW2" i="8"/>
  <c r="AV2" i="8"/>
  <c r="AU2" i="8"/>
  <c r="AU38" i="20" l="1"/>
  <c r="AW38" i="20"/>
  <c r="AW38" i="19"/>
  <c r="AX38" i="20"/>
  <c r="AX38" i="19"/>
  <c r="AV38" i="20"/>
  <c r="AU38" i="19"/>
  <c r="AV38" i="19"/>
  <c r="AU37" i="20"/>
  <c r="AW37" i="20"/>
  <c r="AW37" i="19"/>
  <c r="AX37" i="20"/>
  <c r="AX37" i="19"/>
  <c r="AV37" i="20"/>
  <c r="AU37" i="19"/>
  <c r="AV37" i="19"/>
  <c r="AU36" i="20"/>
  <c r="AW36" i="20"/>
  <c r="AW36" i="19"/>
  <c r="AX36" i="20"/>
  <c r="AX36" i="19"/>
  <c r="AV36" i="20"/>
  <c r="AU36" i="19"/>
  <c r="AV36" i="19"/>
  <c r="AU35" i="20"/>
  <c r="AW35" i="20"/>
  <c r="AW35" i="19"/>
  <c r="AX35" i="20"/>
  <c r="AX35" i="19"/>
  <c r="AV35" i="20"/>
  <c r="AU35" i="19"/>
  <c r="AV35" i="19"/>
  <c r="AU34" i="20"/>
  <c r="AW34" i="20"/>
  <c r="AW34" i="19"/>
  <c r="AX34" i="20"/>
  <c r="AX34" i="19"/>
  <c r="AV34" i="20"/>
  <c r="AU34" i="19"/>
  <c r="AV34" i="19"/>
  <c r="AU33" i="20"/>
  <c r="AW33" i="20"/>
  <c r="AW33" i="19"/>
  <c r="AX33" i="20"/>
  <c r="AX33" i="19"/>
  <c r="AV33" i="20"/>
  <c r="AU33" i="19"/>
  <c r="AV33" i="19"/>
  <c r="AU32" i="20"/>
  <c r="AW32" i="20"/>
  <c r="AW32" i="19"/>
  <c r="AX32" i="20"/>
  <c r="AX32" i="19"/>
  <c r="AV32" i="20"/>
  <c r="AU32" i="19"/>
  <c r="AV32" i="19"/>
  <c r="AU31" i="20"/>
  <c r="AW31" i="20"/>
  <c r="AW31" i="19"/>
  <c r="AX31" i="20"/>
  <c r="AX31" i="19"/>
  <c r="AV31" i="20"/>
  <c r="AU31" i="19"/>
  <c r="AV31" i="19"/>
  <c r="AU30" i="20"/>
  <c r="AW30" i="20"/>
  <c r="AW30" i="19"/>
  <c r="AX30" i="20"/>
  <c r="AX30" i="19"/>
  <c r="AV30" i="20"/>
  <c r="AU30" i="19"/>
  <c r="AV30" i="19"/>
  <c r="AU29" i="20"/>
  <c r="AW29" i="20"/>
  <c r="AW29" i="19"/>
  <c r="AX29" i="20"/>
  <c r="AX29" i="19"/>
  <c r="AV29" i="20"/>
  <c r="AU29" i="19"/>
  <c r="AV29" i="19"/>
  <c r="AU28" i="20"/>
  <c r="AW28" i="20"/>
  <c r="AW28" i="19"/>
  <c r="AX28" i="20"/>
  <c r="AX28" i="19"/>
  <c r="AV28" i="20"/>
  <c r="AU28" i="19"/>
  <c r="AV28" i="19"/>
  <c r="AU27" i="20"/>
  <c r="AW27" i="20"/>
  <c r="AW27" i="19"/>
  <c r="AX27" i="20"/>
  <c r="AX27" i="19"/>
  <c r="AV27" i="20"/>
  <c r="AU27" i="19"/>
  <c r="AV27" i="19"/>
  <c r="AU26" i="20"/>
  <c r="AW26" i="20"/>
  <c r="AW26" i="19"/>
  <c r="AX26" i="20"/>
  <c r="AX26" i="19"/>
  <c r="AV26" i="20"/>
  <c r="AU26" i="19"/>
  <c r="AV26" i="19"/>
  <c r="AU25" i="20"/>
  <c r="AW25" i="20"/>
  <c r="AW25" i="19"/>
  <c r="AX25" i="20"/>
  <c r="AX25" i="19"/>
  <c r="AV25" i="20"/>
  <c r="AU25" i="19"/>
  <c r="AV25" i="19"/>
  <c r="AU24" i="20"/>
  <c r="AW24" i="20"/>
  <c r="AW24" i="19"/>
  <c r="AX24" i="20"/>
  <c r="AX24" i="19"/>
  <c r="AV24" i="20"/>
  <c r="AU24" i="19"/>
  <c r="AV24" i="19"/>
  <c r="AU23" i="20"/>
  <c r="AW23" i="20"/>
  <c r="AW23" i="19"/>
  <c r="AX23" i="20"/>
  <c r="AX23" i="19"/>
  <c r="AV23" i="20"/>
  <c r="AU23" i="19"/>
  <c r="AV23" i="19"/>
  <c r="AU22" i="20"/>
  <c r="AW22" i="20"/>
  <c r="AW22" i="19"/>
  <c r="AX22" i="20"/>
  <c r="AX22" i="19"/>
  <c r="AV22" i="20"/>
  <c r="AU22" i="19"/>
  <c r="AV22" i="19"/>
  <c r="AU21" i="20"/>
  <c r="AW21" i="20"/>
  <c r="AW21" i="19"/>
  <c r="AX21" i="20"/>
  <c r="AX21" i="19"/>
  <c r="AV21" i="20"/>
  <c r="AU21" i="19"/>
  <c r="AV21" i="19"/>
  <c r="AU20" i="20"/>
  <c r="AW20" i="20"/>
  <c r="AW20" i="19"/>
  <c r="AX20" i="20"/>
  <c r="AX20" i="19"/>
  <c r="AV20" i="20"/>
  <c r="AU20" i="19"/>
  <c r="AV20" i="19"/>
  <c r="AU19" i="20"/>
  <c r="AW19" i="20"/>
  <c r="AW19" i="19"/>
  <c r="AX19" i="20"/>
  <c r="AX19" i="19"/>
  <c r="AV19" i="20"/>
  <c r="AU19" i="19"/>
  <c r="AV19" i="19"/>
  <c r="AU18" i="20"/>
  <c r="AW18" i="20"/>
  <c r="AW18" i="19"/>
  <c r="AX18" i="20"/>
  <c r="AX18" i="19"/>
  <c r="AV18" i="20"/>
  <c r="AU18" i="19"/>
  <c r="AV18" i="19"/>
  <c r="AU17" i="20"/>
  <c r="AW17" i="20"/>
  <c r="AW17" i="19"/>
  <c r="AX17" i="20"/>
  <c r="AX17" i="19"/>
  <c r="AV17" i="20"/>
  <c r="AU17" i="19"/>
  <c r="AV17" i="19"/>
  <c r="AU16" i="20"/>
  <c r="AW16" i="20"/>
  <c r="AW16" i="19"/>
  <c r="AX16" i="20"/>
  <c r="AX16" i="19"/>
  <c r="AV16" i="20"/>
  <c r="AU16" i="19"/>
  <c r="AV16" i="19"/>
  <c r="AU15" i="20"/>
  <c r="AW15" i="20"/>
  <c r="AW15" i="19"/>
  <c r="AX15" i="20"/>
  <c r="AX15" i="19"/>
  <c r="AV15" i="20"/>
  <c r="AU15" i="19"/>
  <c r="AV15" i="19"/>
  <c r="AU14" i="20"/>
  <c r="AW14" i="20"/>
  <c r="AW14" i="19"/>
  <c r="AX14" i="20"/>
  <c r="AX14" i="19"/>
  <c r="AV14" i="20"/>
  <c r="AU14" i="19"/>
  <c r="AV14" i="19"/>
  <c r="AU13" i="20"/>
  <c r="AW13" i="20"/>
  <c r="AW13" i="19"/>
  <c r="AX13" i="20"/>
  <c r="AX13" i="19"/>
  <c r="AV13" i="20"/>
  <c r="AU13" i="19"/>
  <c r="AV13" i="19"/>
  <c r="AU12" i="20"/>
  <c r="AW12" i="20"/>
  <c r="AW12" i="19"/>
  <c r="AX12" i="20"/>
  <c r="AX12" i="19"/>
  <c r="AV12" i="20"/>
  <c r="AU12" i="19"/>
  <c r="AV12" i="19"/>
  <c r="AU11" i="20"/>
  <c r="AW11" i="20"/>
  <c r="AW11" i="19"/>
  <c r="AX11" i="20"/>
  <c r="AX11" i="19"/>
  <c r="AV11" i="20"/>
  <c r="AU11" i="19"/>
  <c r="AV11" i="19"/>
  <c r="AU10" i="20"/>
  <c r="AW10" i="20"/>
  <c r="AW10" i="19"/>
  <c r="AX10" i="20"/>
  <c r="AX10" i="19"/>
  <c r="AV10" i="20"/>
  <c r="AU10" i="19"/>
  <c r="AV10" i="19"/>
  <c r="AU9" i="20"/>
  <c r="AW9" i="20"/>
  <c r="AW9" i="19"/>
  <c r="AX9" i="20"/>
  <c r="AX9" i="19"/>
  <c r="AV9" i="20"/>
  <c r="AU9" i="19"/>
  <c r="AV9" i="19"/>
  <c r="AU8" i="20"/>
  <c r="AW8" i="20"/>
  <c r="AW8" i="19"/>
  <c r="AX8" i="20"/>
  <c r="AX8" i="19"/>
  <c r="AV8" i="20"/>
  <c r="AU8" i="19"/>
  <c r="AV8" i="19"/>
  <c r="AU7" i="20"/>
  <c r="AW7" i="20"/>
  <c r="AW7" i="19"/>
  <c r="AX7" i="20"/>
  <c r="AX7" i="19"/>
  <c r="AV7" i="20"/>
  <c r="AU7" i="19"/>
  <c r="AV7" i="19"/>
  <c r="AU6" i="20"/>
  <c r="AW6" i="20"/>
  <c r="AW6" i="19"/>
  <c r="AX6" i="20"/>
  <c r="AX6" i="19"/>
  <c r="AV6" i="20"/>
  <c r="AU6" i="19"/>
  <c r="AV6" i="19"/>
  <c r="AU5" i="20"/>
  <c r="AW5" i="20"/>
  <c r="AW5" i="19"/>
  <c r="AX5" i="20"/>
  <c r="AX5" i="19"/>
  <c r="AV5" i="20"/>
  <c r="AU5" i="19"/>
  <c r="AV5" i="19"/>
  <c r="AU4" i="20"/>
  <c r="AW4" i="20"/>
  <c r="AW4" i="19"/>
  <c r="AX4" i="20"/>
  <c r="AX4" i="19"/>
  <c r="AV4" i="20"/>
  <c r="AU4" i="19"/>
  <c r="AV4" i="19"/>
  <c r="AU3" i="20"/>
  <c r="AW3" i="20"/>
  <c r="AW3" i="19"/>
  <c r="AX3" i="20"/>
  <c r="AX3" i="19"/>
  <c r="AV3" i="20"/>
  <c r="AU3" i="19"/>
  <c r="AV3" i="19"/>
  <c r="AW2" i="18"/>
  <c r="AW40" i="18" s="1"/>
  <c r="AW2" i="19"/>
  <c r="AX2" i="18"/>
  <c r="AX40" i="18" s="1"/>
  <c r="AX2" i="19"/>
  <c r="AU2" i="18"/>
  <c r="AU40" i="18" s="1"/>
  <c r="AU2" i="19"/>
  <c r="AV2" i="18"/>
  <c r="AV40" i="18" s="1"/>
  <c r="AV2" i="19"/>
  <c r="AU38" i="8"/>
  <c r="AW38" i="8"/>
  <c r="AW38" i="6"/>
  <c r="AW38" i="7"/>
  <c r="AX38" i="8"/>
  <c r="AX38" i="6"/>
  <c r="AX38" i="7"/>
  <c r="AV38" i="8"/>
  <c r="AU38" i="6"/>
  <c r="AU38" i="7"/>
  <c r="AV38" i="6"/>
  <c r="AV38" i="7"/>
  <c r="AU37" i="8"/>
  <c r="AW37" i="8"/>
  <c r="AW37" i="6"/>
  <c r="AW37" i="7"/>
  <c r="AX37" i="8"/>
  <c r="AX37" i="6"/>
  <c r="AX37" i="7"/>
  <c r="AV37" i="8"/>
  <c r="AU37" i="6"/>
  <c r="AU37" i="7"/>
  <c r="AV37" i="6"/>
  <c r="AV37" i="7"/>
  <c r="AU36" i="8"/>
  <c r="AW36" i="8"/>
  <c r="AW36" i="6"/>
  <c r="AW36" i="7"/>
  <c r="AX36" i="8"/>
  <c r="AX36" i="6"/>
  <c r="AX36" i="7"/>
  <c r="AV36" i="8"/>
  <c r="AU36" i="6"/>
  <c r="AU36" i="7"/>
  <c r="AV36" i="6"/>
  <c r="AV36" i="7"/>
  <c r="AU35" i="8"/>
  <c r="AW35" i="8"/>
  <c r="AW35" i="6"/>
  <c r="AW35" i="7"/>
  <c r="AX35" i="8"/>
  <c r="AX35" i="6"/>
  <c r="AX35" i="7"/>
  <c r="AV35" i="8"/>
  <c r="AU35" i="6"/>
  <c r="AU35" i="7"/>
  <c r="AV35" i="6"/>
  <c r="AV35" i="7"/>
  <c r="AU34" i="8"/>
  <c r="AW34" i="8"/>
  <c r="AW34" i="6"/>
  <c r="AW34" i="7"/>
  <c r="AX34" i="8"/>
  <c r="AX34" i="6"/>
  <c r="AX34" i="7"/>
  <c r="AV34" i="8"/>
  <c r="AU34" i="6"/>
  <c r="AU34" i="7"/>
  <c r="AV34" i="6"/>
  <c r="AV34" i="7"/>
  <c r="AU33" i="8"/>
  <c r="AW33" i="8"/>
  <c r="AW33" i="6"/>
  <c r="AW33" i="7"/>
  <c r="AX33" i="8"/>
  <c r="AX33" i="6"/>
  <c r="AX33" i="7"/>
  <c r="AV33" i="8"/>
  <c r="AU33" i="6"/>
  <c r="AU33" i="7"/>
  <c r="AV33" i="6"/>
  <c r="AV33" i="7"/>
  <c r="AU32" i="8"/>
  <c r="AW32" i="8"/>
  <c r="AW32" i="6"/>
  <c r="AW32" i="7"/>
  <c r="AX32" i="8"/>
  <c r="AX32" i="6"/>
  <c r="AX32" i="7"/>
  <c r="AV32" i="8"/>
  <c r="AU32" i="6"/>
  <c r="AU32" i="7"/>
  <c r="AV32" i="6"/>
  <c r="AV32" i="7"/>
  <c r="AU31" i="8"/>
  <c r="AW31" i="8"/>
  <c r="AW31" i="6"/>
  <c r="AW31" i="7"/>
  <c r="AX31" i="8"/>
  <c r="AX31" i="6"/>
  <c r="AX31" i="7"/>
  <c r="AV31" i="8"/>
  <c r="AU31" i="6"/>
  <c r="AU31" i="7"/>
  <c r="AV31" i="6"/>
  <c r="AV31" i="7"/>
  <c r="AU30" i="8"/>
  <c r="AW30" i="8"/>
  <c r="AW30" i="6"/>
  <c r="AW30" i="7"/>
  <c r="AX30" i="8"/>
  <c r="AX30" i="6"/>
  <c r="AX30" i="7"/>
  <c r="AV30" i="8"/>
  <c r="AU30" i="6"/>
  <c r="AU30" i="7"/>
  <c r="AV30" i="6"/>
  <c r="AV30" i="7"/>
  <c r="AU29" i="8"/>
  <c r="AW29" i="8"/>
  <c r="AW29" i="6"/>
  <c r="AW29" i="7"/>
  <c r="AX29" i="8"/>
  <c r="AX29" i="6"/>
  <c r="AX29" i="7"/>
  <c r="AV29" i="8"/>
  <c r="AU29" i="6"/>
  <c r="AU29" i="7"/>
  <c r="AV29" i="6"/>
  <c r="AV29" i="7"/>
  <c r="AU28" i="8"/>
  <c r="AW28" i="8"/>
  <c r="AW28" i="6"/>
  <c r="AW28" i="7"/>
  <c r="AX28" i="8"/>
  <c r="AX28" i="6"/>
  <c r="AX28" i="7"/>
  <c r="AV28" i="8"/>
  <c r="AU28" i="6"/>
  <c r="AU28" i="7"/>
  <c r="AV28" i="6"/>
  <c r="AV28" i="7"/>
  <c r="AU27" i="8"/>
  <c r="AW27" i="8"/>
  <c r="AW27" i="6"/>
  <c r="AW27" i="7"/>
  <c r="AX27" i="8"/>
  <c r="AX27" i="6"/>
  <c r="AX27" i="7"/>
  <c r="AV27" i="8"/>
  <c r="AU27" i="6"/>
  <c r="AU27" i="7"/>
  <c r="AV27" i="6"/>
  <c r="AV27" i="7"/>
  <c r="AU26" i="8"/>
  <c r="AW26" i="8"/>
  <c r="AW26" i="6"/>
  <c r="AW26" i="7"/>
  <c r="AX26" i="8"/>
  <c r="AX26" i="6"/>
  <c r="AX26" i="7"/>
  <c r="AV26" i="8"/>
  <c r="AU26" i="6"/>
  <c r="AU26" i="7"/>
  <c r="AV26" i="6"/>
  <c r="AV26" i="7"/>
  <c r="AU25" i="8"/>
  <c r="AW25" i="8"/>
  <c r="AW25" i="6"/>
  <c r="AW25" i="7"/>
  <c r="AX25" i="8"/>
  <c r="AX25" i="6"/>
  <c r="AX25" i="7"/>
  <c r="AV25" i="8"/>
  <c r="AU25" i="6"/>
  <c r="AU25" i="7"/>
  <c r="AV25" i="6"/>
  <c r="AV25" i="7"/>
  <c r="AU24" i="8"/>
  <c r="AW24" i="8"/>
  <c r="AW24" i="6"/>
  <c r="AW24" i="7"/>
  <c r="AX24" i="8"/>
  <c r="AX24" i="6"/>
  <c r="AX24" i="7"/>
  <c r="AV24" i="8"/>
  <c r="AU24" i="6"/>
  <c r="AU24" i="7"/>
  <c r="AV24" i="6"/>
  <c r="AV24" i="7"/>
  <c r="AU23" i="8"/>
  <c r="AW23" i="8"/>
  <c r="AW23" i="6"/>
  <c r="AW23" i="7"/>
  <c r="AX23" i="8"/>
  <c r="AX23" i="6"/>
  <c r="AX23" i="7"/>
  <c r="AV23" i="8"/>
  <c r="AU23" i="6"/>
  <c r="AU23" i="7"/>
  <c r="AV23" i="6"/>
  <c r="AV23" i="7"/>
  <c r="AU22" i="8"/>
  <c r="AW22" i="8"/>
  <c r="AW22" i="6"/>
  <c r="AW22" i="7"/>
  <c r="AX22" i="8"/>
  <c r="AX22" i="6"/>
  <c r="AX22" i="7"/>
  <c r="AV22" i="8"/>
  <c r="AU22" i="6"/>
  <c r="AU22" i="7"/>
  <c r="AV22" i="6"/>
  <c r="AV22" i="7"/>
  <c r="AU21" i="8"/>
  <c r="AW21" i="8"/>
  <c r="AW21" i="6"/>
  <c r="AW21" i="7"/>
  <c r="AX21" i="8"/>
  <c r="AX21" i="6"/>
  <c r="AX21" i="7"/>
  <c r="AV21" i="8"/>
  <c r="AU21" i="6"/>
  <c r="AU21" i="7"/>
  <c r="AV21" i="6"/>
  <c r="AV21" i="7"/>
  <c r="AU20" i="8"/>
  <c r="AW20" i="8"/>
  <c r="AW20" i="6"/>
  <c r="AW20" i="7"/>
  <c r="AX20" i="8"/>
  <c r="AX20" i="6"/>
  <c r="AX20" i="7"/>
  <c r="AV20" i="8"/>
  <c r="AU20" i="6"/>
  <c r="AU20" i="7"/>
  <c r="AV20" i="6"/>
  <c r="AV20" i="7"/>
  <c r="AU19" i="8"/>
  <c r="AW19" i="8"/>
  <c r="AW19" i="6"/>
  <c r="AW19" i="7"/>
  <c r="AX19" i="8"/>
  <c r="AX19" i="6"/>
  <c r="AX19" i="7"/>
  <c r="AV19" i="8"/>
  <c r="AU19" i="6"/>
  <c r="AU19" i="7"/>
  <c r="AV19" i="6"/>
  <c r="AV19" i="7"/>
  <c r="AU18" i="8"/>
  <c r="AW18" i="8"/>
  <c r="AW18" i="6"/>
  <c r="AW18" i="7"/>
  <c r="AX18" i="8"/>
  <c r="AX18" i="6"/>
  <c r="AX18" i="7"/>
  <c r="AV18" i="8"/>
  <c r="AU18" i="6"/>
  <c r="AU18" i="7"/>
  <c r="AV18" i="6"/>
  <c r="AV18" i="7"/>
  <c r="AU17" i="8"/>
  <c r="AW17" i="8"/>
  <c r="AW17" i="6"/>
  <c r="AW17" i="7"/>
  <c r="AX17" i="8"/>
  <c r="AX17" i="6"/>
  <c r="AX17" i="7"/>
  <c r="AV17" i="8"/>
  <c r="AU17" i="6"/>
  <c r="AU17" i="7"/>
  <c r="AV17" i="6"/>
  <c r="AV17" i="7"/>
  <c r="AU16" i="8"/>
  <c r="AW16" i="8"/>
  <c r="AW16" i="6"/>
  <c r="AW16" i="7"/>
  <c r="AX16" i="8"/>
  <c r="AX16" i="6"/>
  <c r="AX16" i="7"/>
  <c r="AV16" i="8"/>
  <c r="AU16" i="6"/>
  <c r="AU16" i="7"/>
  <c r="AV16" i="6"/>
  <c r="AV16" i="7"/>
  <c r="AU15" i="8"/>
  <c r="AW15" i="8"/>
  <c r="AW15" i="6"/>
  <c r="AW15" i="7"/>
  <c r="AX15" i="8"/>
  <c r="AX15" i="6"/>
  <c r="AX15" i="7"/>
  <c r="AV15" i="8"/>
  <c r="AU15" i="6"/>
  <c r="AU15" i="7"/>
  <c r="AV15" i="6"/>
  <c r="AV15" i="7"/>
  <c r="AU14" i="8"/>
  <c r="AW14" i="8"/>
  <c r="AW14" i="6"/>
  <c r="AW14" i="7"/>
  <c r="AX14" i="8"/>
  <c r="AX14" i="6"/>
  <c r="AX14" i="7"/>
  <c r="AV14" i="8"/>
  <c r="AU14" i="6"/>
  <c r="AU14" i="7"/>
  <c r="AV14" i="6"/>
  <c r="AV14" i="7"/>
  <c r="AU13" i="8"/>
  <c r="AW13" i="8"/>
  <c r="AW13" i="6"/>
  <c r="AW13" i="7"/>
  <c r="AX13" i="8"/>
  <c r="AX13" i="6"/>
  <c r="AX13" i="7"/>
  <c r="AV13" i="8"/>
  <c r="AU13" i="6"/>
  <c r="AU13" i="7"/>
  <c r="AV13" i="6"/>
  <c r="AV13" i="7"/>
  <c r="AU12" i="8"/>
  <c r="AW12" i="8"/>
  <c r="AW12" i="6"/>
  <c r="AW12" i="7"/>
  <c r="AX12" i="8"/>
  <c r="AX12" i="6"/>
  <c r="AX12" i="7"/>
  <c r="AV12" i="8"/>
  <c r="AU12" i="6"/>
  <c r="AU12" i="7"/>
  <c r="AV12" i="6"/>
  <c r="AV12" i="7"/>
  <c r="AU11" i="8"/>
  <c r="AW11" i="8"/>
  <c r="AW11" i="6"/>
  <c r="AW11" i="7"/>
  <c r="AX11" i="8"/>
  <c r="AX11" i="6"/>
  <c r="AX11" i="7"/>
  <c r="AV11" i="8"/>
  <c r="AU11" i="6"/>
  <c r="AU11" i="7"/>
  <c r="AV11" i="6"/>
  <c r="AV11" i="7"/>
  <c r="AU10" i="8"/>
  <c r="AW10" i="8"/>
  <c r="AW10" i="6"/>
  <c r="AW10" i="7"/>
  <c r="AX10" i="8"/>
  <c r="AX10" i="6"/>
  <c r="AX10" i="7"/>
  <c r="AV10" i="8"/>
  <c r="AU10" i="6"/>
  <c r="AU10" i="7"/>
  <c r="AV10" i="6"/>
  <c r="AV10" i="7"/>
  <c r="AU9" i="8"/>
  <c r="AW9" i="8"/>
  <c r="AW9" i="6"/>
  <c r="AW9" i="7"/>
  <c r="AX9" i="8"/>
  <c r="AX9" i="6"/>
  <c r="AX9" i="7"/>
  <c r="AV9" i="8"/>
  <c r="AU9" i="6"/>
  <c r="AU9" i="7"/>
  <c r="AV9" i="6"/>
  <c r="AV9" i="7"/>
  <c r="AU8" i="8"/>
  <c r="AW8" i="8"/>
  <c r="AW8" i="6"/>
  <c r="AW8" i="7"/>
  <c r="AX8" i="8"/>
  <c r="AX8" i="6"/>
  <c r="AX8" i="7"/>
  <c r="AV8" i="8"/>
  <c r="AU8" i="6"/>
  <c r="AU8" i="7"/>
  <c r="AV8" i="6"/>
  <c r="AV8" i="7"/>
  <c r="AU7" i="8"/>
  <c r="AW7" i="8"/>
  <c r="AW7" i="6"/>
  <c r="AW7" i="7"/>
  <c r="AX7" i="8"/>
  <c r="AX7" i="6"/>
  <c r="AX7" i="7"/>
  <c r="AV7" i="8"/>
  <c r="AU7" i="6"/>
  <c r="AU7" i="7"/>
  <c r="AV7" i="6"/>
  <c r="AV7" i="7"/>
  <c r="AU6" i="8"/>
  <c r="AW6" i="8"/>
  <c r="AW6" i="6"/>
  <c r="AW6" i="7"/>
  <c r="AX6" i="8"/>
  <c r="AX6" i="6"/>
  <c r="AX6" i="7"/>
  <c r="AV6" i="8"/>
  <c r="AU6" i="6"/>
  <c r="AU6" i="7"/>
  <c r="AV6" i="6"/>
  <c r="AV6" i="7"/>
  <c r="AU5" i="8"/>
  <c r="AW5" i="8"/>
  <c r="AW5" i="6"/>
  <c r="AW5" i="7"/>
  <c r="AX5" i="8"/>
  <c r="AX5" i="6"/>
  <c r="AX5" i="7"/>
  <c r="AV5" i="8"/>
  <c r="AU5" i="6"/>
  <c r="AU5" i="7"/>
  <c r="AV5" i="6"/>
  <c r="AV5" i="7"/>
  <c r="AU4" i="8"/>
  <c r="AW4" i="8"/>
  <c r="AW4" i="6"/>
  <c r="AW4" i="7"/>
  <c r="AX4" i="8"/>
  <c r="AX4" i="6"/>
  <c r="AX4" i="7"/>
  <c r="AV4" i="8"/>
  <c r="AU4" i="6"/>
  <c r="AU4" i="7"/>
  <c r="AV4" i="6"/>
  <c r="AV4" i="7"/>
  <c r="AU3" i="8"/>
  <c r="AW3" i="8"/>
  <c r="AW3" i="6"/>
  <c r="AW3" i="7"/>
  <c r="AX3" i="8"/>
  <c r="AX3" i="6"/>
  <c r="AX3" i="7"/>
  <c r="AV3" i="8"/>
  <c r="AU3" i="6"/>
  <c r="AU3" i="7"/>
  <c r="AV3" i="6"/>
  <c r="AV3" i="7"/>
  <c r="AW2" i="6"/>
  <c r="AW2" i="7"/>
  <c r="AX2" i="6"/>
  <c r="AX2" i="7"/>
  <c r="AU2" i="6"/>
  <c r="AU2" i="7"/>
  <c r="AV2" i="6"/>
  <c r="AV2" i="7"/>
  <c r="AV40" i="8" l="1"/>
  <c r="AU40" i="8"/>
  <c r="AV40" i="6"/>
  <c r="AX40" i="6"/>
  <c r="AX40" i="7"/>
  <c r="AU40" i="7"/>
  <c r="AX40" i="8"/>
  <c r="AV40" i="7"/>
  <c r="AW40" i="7"/>
  <c r="AU40" i="6"/>
  <c r="AW40" i="6"/>
  <c r="AW40" i="8"/>
  <c r="AW40" i="20"/>
  <c r="AU40" i="19"/>
  <c r="AW40" i="19"/>
  <c r="AV40" i="20"/>
  <c r="AX40" i="20"/>
  <c r="AV40" i="19"/>
  <c r="AX40" i="19"/>
  <c r="AU40" i="20"/>
  <c r="S2" i="3" l="1"/>
  <c r="Y2" i="3"/>
  <c r="X2" i="3"/>
  <c r="W2" i="3"/>
  <c r="V2" i="3"/>
  <c r="AC2" i="3"/>
  <c r="Y2" i="23"/>
  <c r="X2" i="23"/>
  <c r="W2" i="23"/>
  <c r="V2" i="23"/>
  <c r="AS38" i="20"/>
  <c r="AR38" i="20"/>
  <c r="AQ38" i="20"/>
  <c r="AP38" i="20"/>
  <c r="AN38" i="20"/>
  <c r="AM38" i="20"/>
  <c r="AL38" i="20"/>
  <c r="AK38" i="20"/>
  <c r="AI38" i="20"/>
  <c r="AH38" i="20"/>
  <c r="AG38" i="20"/>
  <c r="AF38" i="20"/>
  <c r="AD38" i="20"/>
  <c r="AC38" i="20"/>
  <c r="AB38" i="20"/>
  <c r="AA38" i="20"/>
  <c r="Y38" i="20"/>
  <c r="X38" i="20"/>
  <c r="W38" i="20"/>
  <c r="V38" i="20"/>
  <c r="T38" i="20"/>
  <c r="S38" i="20"/>
  <c r="R38" i="20"/>
  <c r="Q38" i="20"/>
  <c r="O38" i="20"/>
  <c r="N38" i="20"/>
  <c r="M38" i="20"/>
  <c r="L38" i="20"/>
  <c r="J38" i="20"/>
  <c r="I38" i="20"/>
  <c r="H38" i="20"/>
  <c r="G38" i="20"/>
  <c r="E38" i="20"/>
  <c r="D38" i="20"/>
  <c r="C38" i="20"/>
  <c r="B38" i="20"/>
  <c r="AS37" i="20"/>
  <c r="AR37" i="20"/>
  <c r="AQ37" i="20"/>
  <c r="AP37" i="20"/>
  <c r="AN37" i="20"/>
  <c r="AM37" i="20"/>
  <c r="AL37" i="20"/>
  <c r="AK37" i="20"/>
  <c r="AI37" i="20"/>
  <c r="AH37" i="20"/>
  <c r="AG37" i="20"/>
  <c r="AF37" i="20"/>
  <c r="AD37" i="20"/>
  <c r="AC37" i="20"/>
  <c r="AB37" i="20"/>
  <c r="AA37" i="20"/>
  <c r="Y37" i="20"/>
  <c r="X37" i="20"/>
  <c r="W37" i="20"/>
  <c r="V37" i="20"/>
  <c r="T37" i="20"/>
  <c r="S37" i="20"/>
  <c r="R37" i="20"/>
  <c r="Q37" i="20"/>
  <c r="O37" i="20"/>
  <c r="N37" i="20"/>
  <c r="M37" i="20"/>
  <c r="L37" i="20"/>
  <c r="J37" i="20"/>
  <c r="I37" i="20"/>
  <c r="H37" i="20"/>
  <c r="G37" i="20"/>
  <c r="E37" i="20"/>
  <c r="D37" i="20"/>
  <c r="C37" i="20"/>
  <c r="B37" i="20"/>
  <c r="AS36" i="20"/>
  <c r="AR36" i="20"/>
  <c r="AQ36" i="20"/>
  <c r="AP36" i="20"/>
  <c r="AN36" i="20"/>
  <c r="AM36" i="20"/>
  <c r="AL36" i="20"/>
  <c r="AK36" i="20"/>
  <c r="AI36" i="20"/>
  <c r="AH36" i="20"/>
  <c r="AG36" i="20"/>
  <c r="AF36" i="20"/>
  <c r="AD36" i="20"/>
  <c r="AC36" i="20"/>
  <c r="AB36" i="20"/>
  <c r="AA36" i="20"/>
  <c r="Y36" i="20"/>
  <c r="X36" i="20"/>
  <c r="W36" i="20"/>
  <c r="V36" i="20"/>
  <c r="T36" i="20"/>
  <c r="S36" i="20"/>
  <c r="R36" i="20"/>
  <c r="Q36" i="20"/>
  <c r="O36" i="20"/>
  <c r="N36" i="20"/>
  <c r="M36" i="20"/>
  <c r="L36" i="20"/>
  <c r="J36" i="20"/>
  <c r="I36" i="20"/>
  <c r="H36" i="20"/>
  <c r="G36" i="20"/>
  <c r="E36" i="20"/>
  <c r="D36" i="20"/>
  <c r="C36" i="20"/>
  <c r="B36" i="20"/>
  <c r="AS35" i="20"/>
  <c r="AR35" i="20"/>
  <c r="AQ35" i="20"/>
  <c r="AP35" i="20"/>
  <c r="AN35" i="20"/>
  <c r="AM35" i="20"/>
  <c r="AL35" i="20"/>
  <c r="AK35" i="20"/>
  <c r="AI35" i="20"/>
  <c r="AH35" i="20"/>
  <c r="AG35" i="20"/>
  <c r="AF35" i="20"/>
  <c r="AD35" i="20"/>
  <c r="AC35" i="20"/>
  <c r="AB35" i="20"/>
  <c r="AA35" i="20"/>
  <c r="Y35" i="20"/>
  <c r="X35" i="20"/>
  <c r="W35" i="20"/>
  <c r="V35" i="20"/>
  <c r="T35" i="20"/>
  <c r="S35" i="20"/>
  <c r="R35" i="20"/>
  <c r="Q35" i="20"/>
  <c r="O35" i="20"/>
  <c r="N35" i="20"/>
  <c r="M35" i="20"/>
  <c r="L35" i="20"/>
  <c r="J35" i="20"/>
  <c r="I35" i="20"/>
  <c r="H35" i="20"/>
  <c r="G35" i="20"/>
  <c r="E35" i="20"/>
  <c r="D35" i="20"/>
  <c r="C35" i="20"/>
  <c r="B35" i="20"/>
  <c r="AS34" i="20"/>
  <c r="AR34" i="20"/>
  <c r="AQ34" i="20"/>
  <c r="AP34" i="20"/>
  <c r="AN34" i="20"/>
  <c r="AM34" i="20"/>
  <c r="AL34" i="20"/>
  <c r="AK34" i="20"/>
  <c r="AI34" i="20"/>
  <c r="AH34" i="20"/>
  <c r="AG34" i="20"/>
  <c r="AF34" i="20"/>
  <c r="AD34" i="20"/>
  <c r="AC34" i="20"/>
  <c r="AB34" i="20"/>
  <c r="AA34" i="20"/>
  <c r="Y34" i="20"/>
  <c r="X34" i="20"/>
  <c r="W34" i="20"/>
  <c r="V34" i="20"/>
  <c r="T34" i="20"/>
  <c r="S34" i="20"/>
  <c r="R34" i="20"/>
  <c r="Q34" i="20"/>
  <c r="O34" i="20"/>
  <c r="N34" i="20"/>
  <c r="M34" i="20"/>
  <c r="L34" i="20"/>
  <c r="J34" i="20"/>
  <c r="I34" i="20"/>
  <c r="H34" i="20"/>
  <c r="G34" i="20"/>
  <c r="E34" i="20"/>
  <c r="D34" i="20"/>
  <c r="C34" i="20"/>
  <c r="B34" i="20"/>
  <c r="AS33" i="20"/>
  <c r="AR33" i="20"/>
  <c r="AQ33" i="20"/>
  <c r="AP33" i="20"/>
  <c r="AN33" i="20"/>
  <c r="AM33" i="20"/>
  <c r="AL33" i="20"/>
  <c r="AK33" i="20"/>
  <c r="AI33" i="20"/>
  <c r="AH33" i="20"/>
  <c r="AG33" i="20"/>
  <c r="AF33" i="20"/>
  <c r="AD33" i="20"/>
  <c r="AC33" i="20"/>
  <c r="AB33" i="20"/>
  <c r="AA33" i="20"/>
  <c r="Y33" i="20"/>
  <c r="X33" i="20"/>
  <c r="W33" i="20"/>
  <c r="V33" i="20"/>
  <c r="T33" i="20"/>
  <c r="S33" i="20"/>
  <c r="R33" i="20"/>
  <c r="Q33" i="20"/>
  <c r="O33" i="20"/>
  <c r="N33" i="20"/>
  <c r="M33" i="20"/>
  <c r="L33" i="20"/>
  <c r="J33" i="20"/>
  <c r="I33" i="20"/>
  <c r="H33" i="20"/>
  <c r="G33" i="20"/>
  <c r="E33" i="20"/>
  <c r="D33" i="20"/>
  <c r="C33" i="20"/>
  <c r="B33" i="20"/>
  <c r="AS32" i="20"/>
  <c r="AR32" i="20"/>
  <c r="AQ32" i="20"/>
  <c r="AP32" i="20"/>
  <c r="AN32" i="20"/>
  <c r="AM32" i="20"/>
  <c r="AL32" i="20"/>
  <c r="AK32" i="20"/>
  <c r="AI32" i="20"/>
  <c r="AH32" i="20"/>
  <c r="AG32" i="20"/>
  <c r="AF32" i="20"/>
  <c r="AD32" i="20"/>
  <c r="AC32" i="20"/>
  <c r="AB32" i="20"/>
  <c r="AA32" i="20"/>
  <c r="Y32" i="20"/>
  <c r="X32" i="20"/>
  <c r="W32" i="20"/>
  <c r="V32" i="20"/>
  <c r="T32" i="20"/>
  <c r="S32" i="20"/>
  <c r="R32" i="20"/>
  <c r="Q32" i="20"/>
  <c r="O32" i="20"/>
  <c r="N32" i="20"/>
  <c r="M32" i="20"/>
  <c r="L32" i="20"/>
  <c r="J32" i="20"/>
  <c r="I32" i="20"/>
  <c r="H32" i="20"/>
  <c r="G32" i="20"/>
  <c r="E32" i="20"/>
  <c r="D32" i="20"/>
  <c r="C32" i="20"/>
  <c r="B32" i="20"/>
  <c r="AS31" i="20"/>
  <c r="AR31" i="20"/>
  <c r="AQ31" i="20"/>
  <c r="AP31" i="20"/>
  <c r="AN31" i="20"/>
  <c r="AM31" i="20"/>
  <c r="AL31" i="20"/>
  <c r="AK31" i="20"/>
  <c r="AI31" i="20"/>
  <c r="AH31" i="20"/>
  <c r="AG31" i="20"/>
  <c r="AF31" i="20"/>
  <c r="AD31" i="20"/>
  <c r="AC31" i="20"/>
  <c r="AB31" i="20"/>
  <c r="AA31" i="20"/>
  <c r="Y31" i="20"/>
  <c r="X31" i="20"/>
  <c r="W31" i="20"/>
  <c r="V31" i="20"/>
  <c r="T31" i="20"/>
  <c r="S31" i="20"/>
  <c r="R31" i="20"/>
  <c r="Q31" i="20"/>
  <c r="O31" i="20"/>
  <c r="N31" i="20"/>
  <c r="M31" i="20"/>
  <c r="L31" i="20"/>
  <c r="J31" i="20"/>
  <c r="I31" i="20"/>
  <c r="H31" i="20"/>
  <c r="G31" i="20"/>
  <c r="E31" i="20"/>
  <c r="D31" i="20"/>
  <c r="C31" i="20"/>
  <c r="B31" i="20"/>
  <c r="AS30" i="20"/>
  <c r="AR30" i="20"/>
  <c r="AQ30" i="20"/>
  <c r="AP30" i="20"/>
  <c r="AN30" i="20"/>
  <c r="AM30" i="20"/>
  <c r="AL30" i="20"/>
  <c r="AK30" i="20"/>
  <c r="AI30" i="20"/>
  <c r="AH30" i="20"/>
  <c r="AG30" i="20"/>
  <c r="AF30" i="20"/>
  <c r="AD30" i="20"/>
  <c r="AC30" i="20"/>
  <c r="AB30" i="20"/>
  <c r="AA30" i="20"/>
  <c r="Y30" i="20"/>
  <c r="X30" i="20"/>
  <c r="W30" i="20"/>
  <c r="V30" i="20"/>
  <c r="T30" i="20"/>
  <c r="S30" i="20"/>
  <c r="R30" i="20"/>
  <c r="Q30" i="20"/>
  <c r="O30" i="20"/>
  <c r="N30" i="20"/>
  <c r="M30" i="20"/>
  <c r="L30" i="20"/>
  <c r="J30" i="20"/>
  <c r="I30" i="20"/>
  <c r="H30" i="20"/>
  <c r="G30" i="20"/>
  <c r="E30" i="20"/>
  <c r="D30" i="20"/>
  <c r="C30" i="20"/>
  <c r="B30" i="20"/>
  <c r="AS29" i="20"/>
  <c r="AR29" i="20"/>
  <c r="AQ29" i="20"/>
  <c r="AP29" i="20"/>
  <c r="AN29" i="20"/>
  <c r="AM29" i="20"/>
  <c r="AL29" i="20"/>
  <c r="AK29" i="20"/>
  <c r="AI29" i="20"/>
  <c r="AH29" i="20"/>
  <c r="AG29" i="20"/>
  <c r="AF29" i="20"/>
  <c r="AD29" i="20"/>
  <c r="AC29" i="20"/>
  <c r="AB29" i="20"/>
  <c r="AA29" i="20"/>
  <c r="Y29" i="20"/>
  <c r="X29" i="20"/>
  <c r="W29" i="20"/>
  <c r="V29" i="20"/>
  <c r="T29" i="20"/>
  <c r="S29" i="20"/>
  <c r="R29" i="20"/>
  <c r="Q29" i="20"/>
  <c r="O29" i="20"/>
  <c r="N29" i="20"/>
  <c r="M29" i="20"/>
  <c r="L29" i="20"/>
  <c r="J29" i="20"/>
  <c r="I29" i="20"/>
  <c r="H29" i="20"/>
  <c r="G29" i="20"/>
  <c r="E29" i="20"/>
  <c r="D29" i="20"/>
  <c r="C29" i="20"/>
  <c r="B29" i="20"/>
  <c r="AS28" i="20"/>
  <c r="AR28" i="20"/>
  <c r="AQ28" i="20"/>
  <c r="AP28" i="20"/>
  <c r="AN28" i="20"/>
  <c r="AM28" i="20"/>
  <c r="AL28" i="20"/>
  <c r="AK28" i="20"/>
  <c r="AI28" i="20"/>
  <c r="AH28" i="20"/>
  <c r="AG28" i="20"/>
  <c r="AF28" i="20"/>
  <c r="AD28" i="20"/>
  <c r="AC28" i="20"/>
  <c r="AB28" i="20"/>
  <c r="AA28" i="20"/>
  <c r="Y28" i="20"/>
  <c r="X28" i="20"/>
  <c r="W28" i="20"/>
  <c r="V28" i="20"/>
  <c r="T28" i="20"/>
  <c r="S28" i="20"/>
  <c r="R28" i="20"/>
  <c r="Q28" i="20"/>
  <c r="O28" i="20"/>
  <c r="N28" i="20"/>
  <c r="M28" i="20"/>
  <c r="L28" i="20"/>
  <c r="J28" i="20"/>
  <c r="I28" i="20"/>
  <c r="H28" i="20"/>
  <c r="G28" i="20"/>
  <c r="E28" i="20"/>
  <c r="D28" i="20"/>
  <c r="C28" i="20"/>
  <c r="B28" i="20"/>
  <c r="AS27" i="20"/>
  <c r="AR27" i="20"/>
  <c r="AQ27" i="20"/>
  <c r="AP27" i="20"/>
  <c r="AN27" i="20"/>
  <c r="AM27" i="20"/>
  <c r="AL27" i="20"/>
  <c r="AK27" i="20"/>
  <c r="AI27" i="20"/>
  <c r="AH27" i="20"/>
  <c r="AG27" i="20"/>
  <c r="AF27" i="20"/>
  <c r="AD27" i="20"/>
  <c r="AC27" i="20"/>
  <c r="AB27" i="20"/>
  <c r="AA27" i="20"/>
  <c r="Y27" i="20"/>
  <c r="X27" i="20"/>
  <c r="W27" i="20"/>
  <c r="V27" i="20"/>
  <c r="T27" i="20"/>
  <c r="S27" i="20"/>
  <c r="R27" i="20"/>
  <c r="Q27" i="20"/>
  <c r="O27" i="20"/>
  <c r="N27" i="20"/>
  <c r="M27" i="20"/>
  <c r="L27" i="20"/>
  <c r="J27" i="20"/>
  <c r="I27" i="20"/>
  <c r="H27" i="20"/>
  <c r="G27" i="20"/>
  <c r="E27" i="20"/>
  <c r="D27" i="20"/>
  <c r="C27" i="20"/>
  <c r="B27" i="20"/>
  <c r="AS26" i="20"/>
  <c r="AR26" i="20"/>
  <c r="AQ26" i="20"/>
  <c r="AP26" i="20"/>
  <c r="AN26" i="20"/>
  <c r="AM26" i="20"/>
  <c r="AL26" i="20"/>
  <c r="AK26" i="20"/>
  <c r="AI26" i="20"/>
  <c r="AH26" i="20"/>
  <c r="AG26" i="20"/>
  <c r="AF26" i="20"/>
  <c r="AD26" i="20"/>
  <c r="AC26" i="20"/>
  <c r="AB26" i="20"/>
  <c r="AA26" i="20"/>
  <c r="Y26" i="20"/>
  <c r="X26" i="20"/>
  <c r="W26" i="20"/>
  <c r="V26" i="20"/>
  <c r="T26" i="20"/>
  <c r="S26" i="20"/>
  <c r="R26" i="20"/>
  <c r="Q26" i="20"/>
  <c r="O26" i="20"/>
  <c r="N26" i="20"/>
  <c r="M26" i="20"/>
  <c r="L26" i="20"/>
  <c r="J26" i="20"/>
  <c r="I26" i="20"/>
  <c r="H26" i="20"/>
  <c r="G26" i="20"/>
  <c r="E26" i="20"/>
  <c r="D26" i="20"/>
  <c r="C26" i="20"/>
  <c r="B26" i="20"/>
  <c r="AS25" i="20"/>
  <c r="AR25" i="20"/>
  <c r="AQ25" i="20"/>
  <c r="AP25" i="20"/>
  <c r="AN25" i="20"/>
  <c r="AM25" i="20"/>
  <c r="AL25" i="20"/>
  <c r="AK25" i="20"/>
  <c r="AI25" i="20"/>
  <c r="AH25" i="20"/>
  <c r="AG25" i="20"/>
  <c r="AF25" i="20"/>
  <c r="AD25" i="20"/>
  <c r="AC25" i="20"/>
  <c r="AB25" i="20"/>
  <c r="AA25" i="20"/>
  <c r="Y25" i="20"/>
  <c r="X25" i="20"/>
  <c r="W25" i="20"/>
  <c r="V25" i="20"/>
  <c r="T25" i="20"/>
  <c r="S25" i="20"/>
  <c r="R25" i="20"/>
  <c r="Q25" i="20"/>
  <c r="O25" i="20"/>
  <c r="N25" i="20"/>
  <c r="M25" i="20"/>
  <c r="L25" i="20"/>
  <c r="J25" i="20"/>
  <c r="I25" i="20"/>
  <c r="H25" i="20"/>
  <c r="G25" i="20"/>
  <c r="E25" i="20"/>
  <c r="D25" i="20"/>
  <c r="C25" i="20"/>
  <c r="B25" i="20"/>
  <c r="AS24" i="20"/>
  <c r="AR24" i="20"/>
  <c r="AQ24" i="20"/>
  <c r="AP24" i="20"/>
  <c r="AN24" i="20"/>
  <c r="AM24" i="20"/>
  <c r="AL24" i="20"/>
  <c r="AK24" i="20"/>
  <c r="AI24" i="20"/>
  <c r="AH24" i="20"/>
  <c r="AG24" i="20"/>
  <c r="AF24" i="20"/>
  <c r="AD24" i="20"/>
  <c r="AC24" i="20"/>
  <c r="AB24" i="20"/>
  <c r="AA24" i="20"/>
  <c r="Y24" i="20"/>
  <c r="X24" i="20"/>
  <c r="W24" i="20"/>
  <c r="V24" i="20"/>
  <c r="T24" i="20"/>
  <c r="S24" i="20"/>
  <c r="R24" i="20"/>
  <c r="Q24" i="20"/>
  <c r="O24" i="20"/>
  <c r="N24" i="20"/>
  <c r="M24" i="20"/>
  <c r="L24" i="20"/>
  <c r="J24" i="20"/>
  <c r="I24" i="20"/>
  <c r="H24" i="20"/>
  <c r="G24" i="20"/>
  <c r="E24" i="20"/>
  <c r="D24" i="20"/>
  <c r="C24" i="20"/>
  <c r="B24" i="20"/>
  <c r="AS23" i="20"/>
  <c r="AR23" i="20"/>
  <c r="AQ23" i="20"/>
  <c r="AP23" i="20"/>
  <c r="AN23" i="20"/>
  <c r="AM23" i="20"/>
  <c r="AL23" i="20"/>
  <c r="AK23" i="20"/>
  <c r="AI23" i="20"/>
  <c r="AH23" i="20"/>
  <c r="AG23" i="20"/>
  <c r="AF23" i="20"/>
  <c r="AD23" i="20"/>
  <c r="AC23" i="20"/>
  <c r="AB23" i="20"/>
  <c r="AA23" i="20"/>
  <c r="Y23" i="20"/>
  <c r="X23" i="20"/>
  <c r="W23" i="20"/>
  <c r="V23" i="20"/>
  <c r="T23" i="20"/>
  <c r="S23" i="20"/>
  <c r="R23" i="20"/>
  <c r="Q23" i="20"/>
  <c r="O23" i="20"/>
  <c r="N23" i="20"/>
  <c r="M23" i="20"/>
  <c r="L23" i="20"/>
  <c r="J23" i="20"/>
  <c r="I23" i="20"/>
  <c r="H23" i="20"/>
  <c r="G23" i="20"/>
  <c r="E23" i="20"/>
  <c r="D23" i="20"/>
  <c r="C23" i="20"/>
  <c r="B23" i="20"/>
  <c r="AS22" i="20"/>
  <c r="AR22" i="20"/>
  <c r="AQ22" i="20"/>
  <c r="AP22" i="20"/>
  <c r="AN22" i="20"/>
  <c r="AM22" i="20"/>
  <c r="AL22" i="20"/>
  <c r="AK22" i="20"/>
  <c r="AI22" i="20"/>
  <c r="AH22" i="20"/>
  <c r="AG22" i="20"/>
  <c r="AF22" i="20"/>
  <c r="AD22" i="20"/>
  <c r="AC22" i="20"/>
  <c r="AB22" i="20"/>
  <c r="AA22" i="20"/>
  <c r="Y22" i="20"/>
  <c r="X22" i="20"/>
  <c r="W22" i="20"/>
  <c r="V22" i="20"/>
  <c r="T22" i="20"/>
  <c r="S22" i="20"/>
  <c r="R22" i="20"/>
  <c r="Q22" i="20"/>
  <c r="O22" i="20"/>
  <c r="N22" i="20"/>
  <c r="M22" i="20"/>
  <c r="L22" i="20"/>
  <c r="J22" i="20"/>
  <c r="I22" i="20"/>
  <c r="H22" i="20"/>
  <c r="G22" i="20"/>
  <c r="E22" i="20"/>
  <c r="D22" i="20"/>
  <c r="C22" i="20"/>
  <c r="B22" i="20"/>
  <c r="AS21" i="20"/>
  <c r="AR21" i="20"/>
  <c r="AQ21" i="20"/>
  <c r="AP21" i="20"/>
  <c r="AN21" i="20"/>
  <c r="AM21" i="20"/>
  <c r="AL21" i="20"/>
  <c r="AK21" i="20"/>
  <c r="AI21" i="20"/>
  <c r="AH21" i="20"/>
  <c r="AG21" i="20"/>
  <c r="AF21" i="20"/>
  <c r="AD21" i="20"/>
  <c r="AC21" i="20"/>
  <c r="AB21" i="20"/>
  <c r="AA21" i="20"/>
  <c r="Y21" i="20"/>
  <c r="X21" i="20"/>
  <c r="W21" i="20"/>
  <c r="V21" i="20"/>
  <c r="T21" i="20"/>
  <c r="S21" i="20"/>
  <c r="R21" i="20"/>
  <c r="Q21" i="20"/>
  <c r="O21" i="20"/>
  <c r="N21" i="20"/>
  <c r="M21" i="20"/>
  <c r="L21" i="20"/>
  <c r="J21" i="20"/>
  <c r="I21" i="20"/>
  <c r="H21" i="20"/>
  <c r="G21" i="20"/>
  <c r="E21" i="20"/>
  <c r="D21" i="20"/>
  <c r="C21" i="20"/>
  <c r="B21" i="20"/>
  <c r="AS20" i="20"/>
  <c r="AR20" i="20"/>
  <c r="AQ20" i="20"/>
  <c r="AP20" i="20"/>
  <c r="AN20" i="20"/>
  <c r="AM20" i="20"/>
  <c r="AL20" i="20"/>
  <c r="AK20" i="20"/>
  <c r="AI20" i="20"/>
  <c r="AH20" i="20"/>
  <c r="AG20" i="20"/>
  <c r="AF20" i="20"/>
  <c r="AD20" i="20"/>
  <c r="AC20" i="20"/>
  <c r="AB20" i="20"/>
  <c r="AA20" i="20"/>
  <c r="Y20" i="20"/>
  <c r="X20" i="20"/>
  <c r="W20" i="20"/>
  <c r="V20" i="20"/>
  <c r="T20" i="20"/>
  <c r="S20" i="20"/>
  <c r="R20" i="20"/>
  <c r="Q20" i="20"/>
  <c r="O20" i="20"/>
  <c r="N20" i="20"/>
  <c r="M20" i="20"/>
  <c r="L20" i="20"/>
  <c r="J20" i="20"/>
  <c r="I20" i="20"/>
  <c r="H20" i="20"/>
  <c r="G20" i="20"/>
  <c r="E20" i="20"/>
  <c r="D20" i="20"/>
  <c r="C20" i="20"/>
  <c r="B20" i="20"/>
  <c r="AS19" i="20"/>
  <c r="AR19" i="20"/>
  <c r="AQ19" i="20"/>
  <c r="AP19" i="20"/>
  <c r="AN19" i="20"/>
  <c r="AM19" i="20"/>
  <c r="AL19" i="20"/>
  <c r="AK19" i="20"/>
  <c r="AI19" i="20"/>
  <c r="AH19" i="20"/>
  <c r="AG19" i="20"/>
  <c r="AF19" i="20"/>
  <c r="AD19" i="20"/>
  <c r="AC19" i="20"/>
  <c r="AB19" i="20"/>
  <c r="AA19" i="20"/>
  <c r="Y19" i="20"/>
  <c r="X19" i="20"/>
  <c r="W19" i="20"/>
  <c r="V19" i="20"/>
  <c r="T19" i="20"/>
  <c r="S19" i="20"/>
  <c r="R19" i="20"/>
  <c r="Q19" i="20"/>
  <c r="O19" i="20"/>
  <c r="N19" i="20"/>
  <c r="M19" i="20"/>
  <c r="L19" i="20"/>
  <c r="J19" i="20"/>
  <c r="I19" i="20"/>
  <c r="H19" i="20"/>
  <c r="G19" i="20"/>
  <c r="E19" i="20"/>
  <c r="D19" i="20"/>
  <c r="C19" i="20"/>
  <c r="B19" i="20"/>
  <c r="AS18" i="20"/>
  <c r="AR18" i="20"/>
  <c r="AQ18" i="20"/>
  <c r="AP18" i="20"/>
  <c r="AN18" i="20"/>
  <c r="AM18" i="20"/>
  <c r="AL18" i="20"/>
  <c r="AK18" i="20"/>
  <c r="AI18" i="20"/>
  <c r="AH18" i="20"/>
  <c r="AG18" i="20"/>
  <c r="AF18" i="20"/>
  <c r="AD18" i="20"/>
  <c r="AC18" i="20"/>
  <c r="AB18" i="20"/>
  <c r="AA18" i="20"/>
  <c r="Y18" i="20"/>
  <c r="X18" i="20"/>
  <c r="W18" i="20"/>
  <c r="V18" i="20"/>
  <c r="T18" i="20"/>
  <c r="S18" i="20"/>
  <c r="R18" i="20"/>
  <c r="Q18" i="20"/>
  <c r="O18" i="20"/>
  <c r="N18" i="20"/>
  <c r="M18" i="20"/>
  <c r="L18" i="20"/>
  <c r="J18" i="20"/>
  <c r="I18" i="20"/>
  <c r="H18" i="20"/>
  <c r="G18" i="20"/>
  <c r="E18" i="20"/>
  <c r="D18" i="20"/>
  <c r="C18" i="20"/>
  <c r="B18" i="20"/>
  <c r="AS17" i="20"/>
  <c r="AR17" i="20"/>
  <c r="AQ17" i="20"/>
  <c r="AP17" i="20"/>
  <c r="AN17" i="20"/>
  <c r="AM17" i="20"/>
  <c r="AL17" i="20"/>
  <c r="AK17" i="20"/>
  <c r="AI17" i="20"/>
  <c r="AH17" i="20"/>
  <c r="AG17" i="20"/>
  <c r="AF17" i="20"/>
  <c r="AD17" i="20"/>
  <c r="AC17" i="20"/>
  <c r="AB17" i="20"/>
  <c r="AA17" i="20"/>
  <c r="Y17" i="20"/>
  <c r="X17" i="20"/>
  <c r="W17" i="20"/>
  <c r="V17" i="20"/>
  <c r="T17" i="20"/>
  <c r="S17" i="20"/>
  <c r="R17" i="20"/>
  <c r="Q17" i="20"/>
  <c r="O17" i="20"/>
  <c r="N17" i="20"/>
  <c r="M17" i="20"/>
  <c r="L17" i="20"/>
  <c r="J17" i="20"/>
  <c r="I17" i="20"/>
  <c r="H17" i="20"/>
  <c r="G17" i="20"/>
  <c r="E17" i="20"/>
  <c r="D17" i="20"/>
  <c r="C17" i="20"/>
  <c r="B17" i="20"/>
  <c r="AS16" i="20"/>
  <c r="AR16" i="20"/>
  <c r="AQ16" i="20"/>
  <c r="AP16" i="20"/>
  <c r="AN16" i="20"/>
  <c r="AM16" i="20"/>
  <c r="AL16" i="20"/>
  <c r="AK16" i="20"/>
  <c r="AI16" i="20"/>
  <c r="AH16" i="20"/>
  <c r="AG16" i="20"/>
  <c r="AF16" i="20"/>
  <c r="AD16" i="20"/>
  <c r="AC16" i="20"/>
  <c r="AB16" i="20"/>
  <c r="AA16" i="20"/>
  <c r="Y16" i="20"/>
  <c r="X16" i="20"/>
  <c r="W16" i="20"/>
  <c r="V16" i="20"/>
  <c r="T16" i="20"/>
  <c r="S16" i="20"/>
  <c r="R16" i="20"/>
  <c r="Q16" i="20"/>
  <c r="O16" i="20"/>
  <c r="N16" i="20"/>
  <c r="M16" i="20"/>
  <c r="L16" i="20"/>
  <c r="J16" i="20"/>
  <c r="I16" i="20"/>
  <c r="H16" i="20"/>
  <c r="G16" i="20"/>
  <c r="E16" i="20"/>
  <c r="D16" i="20"/>
  <c r="C16" i="20"/>
  <c r="B16" i="20"/>
  <c r="AS15" i="20"/>
  <c r="AR15" i="20"/>
  <c r="AQ15" i="20"/>
  <c r="AP15" i="20"/>
  <c r="AN15" i="20"/>
  <c r="AM15" i="20"/>
  <c r="AL15" i="20"/>
  <c r="AK15" i="20"/>
  <c r="AI15" i="20"/>
  <c r="AH15" i="20"/>
  <c r="AG15" i="20"/>
  <c r="AF15" i="20"/>
  <c r="AD15" i="20"/>
  <c r="AC15" i="20"/>
  <c r="AB15" i="20"/>
  <c r="AA15" i="20"/>
  <c r="Y15" i="20"/>
  <c r="X15" i="20"/>
  <c r="W15" i="20"/>
  <c r="V15" i="20"/>
  <c r="T15" i="20"/>
  <c r="S15" i="20"/>
  <c r="R15" i="20"/>
  <c r="Q15" i="20"/>
  <c r="O15" i="20"/>
  <c r="N15" i="20"/>
  <c r="M15" i="20"/>
  <c r="L15" i="20"/>
  <c r="J15" i="20"/>
  <c r="I15" i="20"/>
  <c r="H15" i="20"/>
  <c r="G15" i="20"/>
  <c r="E15" i="20"/>
  <c r="D15" i="20"/>
  <c r="C15" i="20"/>
  <c r="B15" i="20"/>
  <c r="AS14" i="20"/>
  <c r="AR14" i="20"/>
  <c r="AQ14" i="20"/>
  <c r="AP14" i="20"/>
  <c r="AN14" i="20"/>
  <c r="AM14" i="20"/>
  <c r="AL14" i="20"/>
  <c r="AK14" i="20"/>
  <c r="AI14" i="20"/>
  <c r="AH14" i="20"/>
  <c r="AG14" i="20"/>
  <c r="AF14" i="20"/>
  <c r="AD14" i="20"/>
  <c r="AC14" i="20"/>
  <c r="AB14" i="20"/>
  <c r="AA14" i="20"/>
  <c r="Y14" i="20"/>
  <c r="X14" i="20"/>
  <c r="W14" i="20"/>
  <c r="V14" i="20"/>
  <c r="T14" i="20"/>
  <c r="S14" i="20"/>
  <c r="R14" i="20"/>
  <c r="Q14" i="20"/>
  <c r="O14" i="20"/>
  <c r="N14" i="20"/>
  <c r="M14" i="20"/>
  <c r="L14" i="20"/>
  <c r="J14" i="20"/>
  <c r="I14" i="20"/>
  <c r="H14" i="20"/>
  <c r="G14" i="20"/>
  <c r="E14" i="20"/>
  <c r="D14" i="20"/>
  <c r="C14" i="20"/>
  <c r="B14" i="20"/>
  <c r="AS13" i="20"/>
  <c r="AR13" i="20"/>
  <c r="AQ13" i="20"/>
  <c r="AP13" i="20"/>
  <c r="AN13" i="20"/>
  <c r="AM13" i="20"/>
  <c r="AL13" i="20"/>
  <c r="AK13" i="20"/>
  <c r="AI13" i="20"/>
  <c r="AH13" i="20"/>
  <c r="AG13" i="20"/>
  <c r="AF13" i="20"/>
  <c r="AD13" i="20"/>
  <c r="AC13" i="20"/>
  <c r="AB13" i="20"/>
  <c r="AA13" i="20"/>
  <c r="Y13" i="20"/>
  <c r="X13" i="20"/>
  <c r="W13" i="20"/>
  <c r="V13" i="20"/>
  <c r="T13" i="20"/>
  <c r="S13" i="20"/>
  <c r="R13" i="20"/>
  <c r="Q13" i="20"/>
  <c r="O13" i="20"/>
  <c r="N13" i="20"/>
  <c r="M13" i="20"/>
  <c r="L13" i="20"/>
  <c r="J13" i="20"/>
  <c r="I13" i="20"/>
  <c r="H13" i="20"/>
  <c r="G13" i="20"/>
  <c r="E13" i="20"/>
  <c r="D13" i="20"/>
  <c r="C13" i="20"/>
  <c r="B13" i="20"/>
  <c r="AS12" i="20"/>
  <c r="AR12" i="20"/>
  <c r="AQ12" i="20"/>
  <c r="AP12" i="20"/>
  <c r="AN12" i="20"/>
  <c r="AM12" i="20"/>
  <c r="AL12" i="20"/>
  <c r="AK12" i="20"/>
  <c r="AI12" i="20"/>
  <c r="AH12" i="20"/>
  <c r="AG12" i="20"/>
  <c r="AF12" i="20"/>
  <c r="AD12" i="20"/>
  <c r="AC12" i="20"/>
  <c r="AB12" i="20"/>
  <c r="AA12" i="20"/>
  <c r="Y12" i="20"/>
  <c r="X12" i="20"/>
  <c r="W12" i="20"/>
  <c r="V12" i="20"/>
  <c r="T12" i="20"/>
  <c r="S12" i="20"/>
  <c r="R12" i="20"/>
  <c r="Q12" i="20"/>
  <c r="O12" i="20"/>
  <c r="N12" i="20"/>
  <c r="M12" i="20"/>
  <c r="L12" i="20"/>
  <c r="J12" i="20"/>
  <c r="I12" i="20"/>
  <c r="H12" i="20"/>
  <c r="G12" i="20"/>
  <c r="E12" i="20"/>
  <c r="D12" i="20"/>
  <c r="C12" i="20"/>
  <c r="B12" i="20"/>
  <c r="AS11" i="20"/>
  <c r="AR11" i="20"/>
  <c r="AQ11" i="20"/>
  <c r="AP11" i="20"/>
  <c r="AN11" i="20"/>
  <c r="AM11" i="20"/>
  <c r="AL11" i="20"/>
  <c r="AK11" i="20"/>
  <c r="AI11" i="20"/>
  <c r="AH11" i="20"/>
  <c r="AG11" i="20"/>
  <c r="AF11" i="20"/>
  <c r="AD11" i="20"/>
  <c r="AC11" i="20"/>
  <c r="AB11" i="20"/>
  <c r="AA11" i="20"/>
  <c r="Y11" i="20"/>
  <c r="X11" i="20"/>
  <c r="W11" i="20"/>
  <c r="V11" i="20"/>
  <c r="T11" i="20"/>
  <c r="S11" i="20"/>
  <c r="R11" i="20"/>
  <c r="Q11" i="20"/>
  <c r="O11" i="20"/>
  <c r="N11" i="20"/>
  <c r="M11" i="20"/>
  <c r="L11" i="20"/>
  <c r="J11" i="20"/>
  <c r="I11" i="20"/>
  <c r="H11" i="20"/>
  <c r="G11" i="20"/>
  <c r="E11" i="20"/>
  <c r="D11" i="20"/>
  <c r="C11" i="20"/>
  <c r="B11" i="20"/>
  <c r="AS10" i="20"/>
  <c r="AR10" i="20"/>
  <c r="AQ10" i="20"/>
  <c r="AP10" i="20"/>
  <c r="AN10" i="20"/>
  <c r="AM10" i="20"/>
  <c r="AL10" i="20"/>
  <c r="AK10" i="20"/>
  <c r="AI10" i="20"/>
  <c r="AH10" i="20"/>
  <c r="AG10" i="20"/>
  <c r="AF10" i="20"/>
  <c r="AD10" i="20"/>
  <c r="AC10" i="20"/>
  <c r="AB10" i="20"/>
  <c r="AA10" i="20"/>
  <c r="Y10" i="20"/>
  <c r="X10" i="20"/>
  <c r="W10" i="20"/>
  <c r="V10" i="20"/>
  <c r="T10" i="20"/>
  <c r="S10" i="20"/>
  <c r="R10" i="20"/>
  <c r="Q10" i="20"/>
  <c r="O10" i="20"/>
  <c r="N10" i="20"/>
  <c r="M10" i="20"/>
  <c r="L10" i="20"/>
  <c r="J10" i="20"/>
  <c r="I10" i="20"/>
  <c r="H10" i="20"/>
  <c r="G10" i="20"/>
  <c r="E10" i="20"/>
  <c r="D10" i="20"/>
  <c r="C10" i="20"/>
  <c r="B10" i="20"/>
  <c r="AS9" i="20"/>
  <c r="AR9" i="20"/>
  <c r="AQ9" i="20"/>
  <c r="AP9" i="20"/>
  <c r="AN9" i="20"/>
  <c r="AM9" i="20"/>
  <c r="AL9" i="20"/>
  <c r="AK9" i="20"/>
  <c r="AI9" i="20"/>
  <c r="AH9" i="20"/>
  <c r="AG9" i="20"/>
  <c r="AF9" i="20"/>
  <c r="AD9" i="20"/>
  <c r="AC9" i="20"/>
  <c r="AB9" i="20"/>
  <c r="AA9" i="20"/>
  <c r="Y9" i="20"/>
  <c r="X9" i="20"/>
  <c r="W9" i="20"/>
  <c r="V9" i="20"/>
  <c r="T9" i="20"/>
  <c r="S9" i="20"/>
  <c r="R9" i="20"/>
  <c r="Q9" i="20"/>
  <c r="O9" i="20"/>
  <c r="N9" i="20"/>
  <c r="M9" i="20"/>
  <c r="L9" i="20"/>
  <c r="J9" i="20"/>
  <c r="I9" i="20"/>
  <c r="H9" i="20"/>
  <c r="G9" i="20"/>
  <c r="E9" i="20"/>
  <c r="D9" i="20"/>
  <c r="C9" i="20"/>
  <c r="B9" i="20"/>
  <c r="AS8" i="20"/>
  <c r="AR8" i="20"/>
  <c r="AQ8" i="20"/>
  <c r="AP8" i="20"/>
  <c r="AN8" i="20"/>
  <c r="AM8" i="20"/>
  <c r="AL8" i="20"/>
  <c r="AK8" i="20"/>
  <c r="AI8" i="20"/>
  <c r="AH8" i="20"/>
  <c r="AG8" i="20"/>
  <c r="AF8" i="20"/>
  <c r="AD8" i="20"/>
  <c r="AC8" i="20"/>
  <c r="AB8" i="20"/>
  <c r="AA8" i="20"/>
  <c r="Y8" i="20"/>
  <c r="X8" i="20"/>
  <c r="W8" i="20"/>
  <c r="V8" i="20"/>
  <c r="T8" i="20"/>
  <c r="S8" i="20"/>
  <c r="R8" i="20"/>
  <c r="Q8" i="20"/>
  <c r="O8" i="20"/>
  <c r="N8" i="20"/>
  <c r="M8" i="20"/>
  <c r="L8" i="20"/>
  <c r="J8" i="20"/>
  <c r="I8" i="20"/>
  <c r="H8" i="20"/>
  <c r="G8" i="20"/>
  <c r="E8" i="20"/>
  <c r="D8" i="20"/>
  <c r="C8" i="20"/>
  <c r="B8" i="20"/>
  <c r="AS7" i="20"/>
  <c r="AR7" i="20"/>
  <c r="AQ7" i="20"/>
  <c r="AP7" i="20"/>
  <c r="AN7" i="20"/>
  <c r="AM7" i="20"/>
  <c r="AL7" i="20"/>
  <c r="AK7" i="20"/>
  <c r="AI7" i="20"/>
  <c r="AH7" i="20"/>
  <c r="AG7" i="20"/>
  <c r="AF7" i="20"/>
  <c r="AD7" i="20"/>
  <c r="AC7" i="20"/>
  <c r="AB7" i="20"/>
  <c r="AA7" i="20"/>
  <c r="Y7" i="20"/>
  <c r="X7" i="20"/>
  <c r="W7" i="20"/>
  <c r="V7" i="20"/>
  <c r="T7" i="20"/>
  <c r="S7" i="20"/>
  <c r="R7" i="20"/>
  <c r="Q7" i="20"/>
  <c r="O7" i="20"/>
  <c r="N7" i="20"/>
  <c r="M7" i="20"/>
  <c r="L7" i="20"/>
  <c r="J7" i="20"/>
  <c r="I7" i="20"/>
  <c r="H7" i="20"/>
  <c r="G7" i="20"/>
  <c r="E7" i="20"/>
  <c r="D7" i="20"/>
  <c r="C7" i="20"/>
  <c r="B7" i="20"/>
  <c r="AS6" i="20"/>
  <c r="AR6" i="20"/>
  <c r="AQ6" i="20"/>
  <c r="AP6" i="20"/>
  <c r="AN6" i="20"/>
  <c r="AM6" i="20"/>
  <c r="AL6" i="20"/>
  <c r="AK6" i="20"/>
  <c r="AI6" i="20"/>
  <c r="AH6" i="20"/>
  <c r="AG6" i="20"/>
  <c r="AF6" i="20"/>
  <c r="AD6" i="20"/>
  <c r="AC6" i="20"/>
  <c r="AB6" i="20"/>
  <c r="AA6" i="20"/>
  <c r="Y6" i="20"/>
  <c r="X6" i="20"/>
  <c r="W6" i="20"/>
  <c r="V6" i="20"/>
  <c r="T6" i="20"/>
  <c r="S6" i="20"/>
  <c r="R6" i="20"/>
  <c r="Q6" i="20"/>
  <c r="O6" i="20"/>
  <c r="N6" i="20"/>
  <c r="M6" i="20"/>
  <c r="L6" i="20"/>
  <c r="J6" i="20"/>
  <c r="I6" i="20"/>
  <c r="H6" i="20"/>
  <c r="G6" i="20"/>
  <c r="E6" i="20"/>
  <c r="D6" i="20"/>
  <c r="C6" i="20"/>
  <c r="B6" i="20"/>
  <c r="AS5" i="20"/>
  <c r="AR5" i="20"/>
  <c r="AQ5" i="20"/>
  <c r="AP5" i="20"/>
  <c r="AN5" i="20"/>
  <c r="AM5" i="20"/>
  <c r="AL5" i="20"/>
  <c r="AK5" i="20"/>
  <c r="AI5" i="20"/>
  <c r="AH5" i="20"/>
  <c r="AG5" i="20"/>
  <c r="AF5" i="20"/>
  <c r="AD5" i="20"/>
  <c r="AC5" i="20"/>
  <c r="AB5" i="20"/>
  <c r="AA5" i="20"/>
  <c r="Y5" i="20"/>
  <c r="X5" i="20"/>
  <c r="W5" i="20"/>
  <c r="V5" i="20"/>
  <c r="T5" i="20"/>
  <c r="S5" i="20"/>
  <c r="R5" i="20"/>
  <c r="Q5" i="20"/>
  <c r="O5" i="20"/>
  <c r="N5" i="20"/>
  <c r="M5" i="20"/>
  <c r="L5" i="20"/>
  <c r="J5" i="20"/>
  <c r="I5" i="20"/>
  <c r="H5" i="20"/>
  <c r="G5" i="20"/>
  <c r="E5" i="20"/>
  <c r="D5" i="20"/>
  <c r="C5" i="20"/>
  <c r="B5" i="20"/>
  <c r="AS4" i="20"/>
  <c r="AR4" i="20"/>
  <c r="AQ4" i="20"/>
  <c r="AP4" i="20"/>
  <c r="AN4" i="20"/>
  <c r="AM4" i="20"/>
  <c r="AL4" i="20"/>
  <c r="AK4" i="20"/>
  <c r="AI4" i="20"/>
  <c r="AH4" i="20"/>
  <c r="AG4" i="20"/>
  <c r="AF4" i="20"/>
  <c r="AD4" i="20"/>
  <c r="AC4" i="20"/>
  <c r="AB4" i="20"/>
  <c r="AA4" i="20"/>
  <c r="Y4" i="20"/>
  <c r="X4" i="20"/>
  <c r="W4" i="20"/>
  <c r="V4" i="20"/>
  <c r="T4" i="20"/>
  <c r="S4" i="20"/>
  <c r="R4" i="20"/>
  <c r="Q4" i="20"/>
  <c r="O4" i="20"/>
  <c r="N4" i="20"/>
  <c r="M4" i="20"/>
  <c r="L4" i="20"/>
  <c r="J4" i="20"/>
  <c r="I4" i="20"/>
  <c r="H4" i="20"/>
  <c r="G4" i="20"/>
  <c r="E4" i="20"/>
  <c r="D4" i="20"/>
  <c r="C4" i="20"/>
  <c r="B4" i="20"/>
  <c r="AS3" i="20"/>
  <c r="AR3" i="20"/>
  <c r="AQ3" i="20"/>
  <c r="AP3" i="20"/>
  <c r="AN3" i="20"/>
  <c r="AM3" i="20"/>
  <c r="AL3" i="20"/>
  <c r="AK3" i="20"/>
  <c r="AI3" i="20"/>
  <c r="AH3" i="20"/>
  <c r="AG3" i="20"/>
  <c r="AF3" i="20"/>
  <c r="AD3" i="20"/>
  <c r="AC3" i="20"/>
  <c r="AB3" i="20"/>
  <c r="AA3" i="20"/>
  <c r="Y3" i="20"/>
  <c r="X3" i="20"/>
  <c r="W3" i="20"/>
  <c r="V3" i="20"/>
  <c r="T3" i="20"/>
  <c r="S3" i="20"/>
  <c r="R3" i="20"/>
  <c r="Q3" i="20"/>
  <c r="O3" i="20"/>
  <c r="N3" i="20"/>
  <c r="M3" i="20"/>
  <c r="L3" i="20"/>
  <c r="J3" i="20"/>
  <c r="I3" i="20"/>
  <c r="H3" i="20"/>
  <c r="G3" i="20"/>
  <c r="E3" i="20"/>
  <c r="D3" i="20"/>
  <c r="C3" i="20"/>
  <c r="B3" i="20"/>
  <c r="AS2" i="20"/>
  <c r="AR2" i="20"/>
  <c r="AQ2" i="20"/>
  <c r="AP2" i="20"/>
  <c r="AN2" i="20"/>
  <c r="AM2" i="20"/>
  <c r="AL2" i="20"/>
  <c r="AK2" i="20"/>
  <c r="AI2" i="20"/>
  <c r="AH2" i="20"/>
  <c r="AG2" i="20"/>
  <c r="AF2" i="20"/>
  <c r="AD2" i="20"/>
  <c r="AC2" i="20"/>
  <c r="AB2" i="20"/>
  <c r="AA2" i="20"/>
  <c r="Y2" i="20"/>
  <c r="X2" i="20"/>
  <c r="W2" i="20"/>
  <c r="V2" i="20"/>
  <c r="T2" i="20"/>
  <c r="S2" i="20"/>
  <c r="R2" i="20"/>
  <c r="Q2" i="20"/>
  <c r="O2" i="20"/>
  <c r="N2" i="20"/>
  <c r="M2" i="20"/>
  <c r="L2" i="20"/>
  <c r="J2" i="20"/>
  <c r="I2" i="20"/>
  <c r="H2" i="20"/>
  <c r="G2" i="20"/>
  <c r="E2" i="20"/>
  <c r="D2" i="20"/>
  <c r="C2" i="20"/>
  <c r="B2" i="20"/>
  <c r="AS38" i="19"/>
  <c r="AR38" i="19"/>
  <c r="AQ38" i="19"/>
  <c r="AP38" i="19"/>
  <c r="AN38" i="19"/>
  <c r="AM38" i="19"/>
  <c r="AL38" i="19"/>
  <c r="AK38" i="19"/>
  <c r="AI38" i="19"/>
  <c r="AH38" i="19"/>
  <c r="AG38" i="19"/>
  <c r="AF38" i="19"/>
  <c r="AD38" i="19"/>
  <c r="AC38" i="19"/>
  <c r="AB38" i="19"/>
  <c r="AA38" i="19"/>
  <c r="Y38" i="19"/>
  <c r="X38" i="19"/>
  <c r="W38" i="19"/>
  <c r="V38" i="19"/>
  <c r="T38" i="19"/>
  <c r="S38" i="19"/>
  <c r="R38" i="19"/>
  <c r="Q38" i="19"/>
  <c r="O38" i="19"/>
  <c r="N38" i="19"/>
  <c r="M38" i="19"/>
  <c r="L38" i="19"/>
  <c r="J38" i="19"/>
  <c r="I38" i="19"/>
  <c r="H38" i="19"/>
  <c r="G38" i="19"/>
  <c r="E38" i="19"/>
  <c r="D38" i="19"/>
  <c r="C38" i="19"/>
  <c r="B38" i="19"/>
  <c r="AS37" i="19"/>
  <c r="AR37" i="19"/>
  <c r="AQ37" i="19"/>
  <c r="AP37" i="19"/>
  <c r="AN37" i="19"/>
  <c r="AM37" i="19"/>
  <c r="AL37" i="19"/>
  <c r="AK37" i="19"/>
  <c r="AI37" i="19"/>
  <c r="AH37" i="19"/>
  <c r="AG37" i="19"/>
  <c r="AF37" i="19"/>
  <c r="AD37" i="19"/>
  <c r="AC37" i="19"/>
  <c r="AB37" i="19"/>
  <c r="AA37" i="19"/>
  <c r="Y37" i="19"/>
  <c r="X37" i="19"/>
  <c r="W37" i="19"/>
  <c r="V37" i="19"/>
  <c r="T37" i="19"/>
  <c r="S37" i="19"/>
  <c r="R37" i="19"/>
  <c r="Q37" i="19"/>
  <c r="O37" i="19"/>
  <c r="N37" i="19"/>
  <c r="M37" i="19"/>
  <c r="L37" i="19"/>
  <c r="J37" i="19"/>
  <c r="I37" i="19"/>
  <c r="H37" i="19"/>
  <c r="G37" i="19"/>
  <c r="E37" i="19"/>
  <c r="D37" i="19"/>
  <c r="C37" i="19"/>
  <c r="B37" i="19"/>
  <c r="AS36" i="19"/>
  <c r="AR36" i="19"/>
  <c r="AQ36" i="19"/>
  <c r="AP36" i="19"/>
  <c r="AN36" i="19"/>
  <c r="AM36" i="19"/>
  <c r="AL36" i="19"/>
  <c r="AK36" i="19"/>
  <c r="AI36" i="19"/>
  <c r="AH36" i="19"/>
  <c r="AG36" i="19"/>
  <c r="AF36" i="19"/>
  <c r="AD36" i="19"/>
  <c r="AC36" i="19"/>
  <c r="AB36" i="19"/>
  <c r="AA36" i="19"/>
  <c r="Y36" i="19"/>
  <c r="X36" i="19"/>
  <c r="W36" i="19"/>
  <c r="V36" i="19"/>
  <c r="T36" i="19"/>
  <c r="S36" i="19"/>
  <c r="R36" i="19"/>
  <c r="Q36" i="19"/>
  <c r="O36" i="19"/>
  <c r="N36" i="19"/>
  <c r="M36" i="19"/>
  <c r="L36" i="19"/>
  <c r="J36" i="19"/>
  <c r="I36" i="19"/>
  <c r="H36" i="19"/>
  <c r="G36" i="19"/>
  <c r="E36" i="19"/>
  <c r="D36" i="19"/>
  <c r="C36" i="19"/>
  <c r="B36" i="19"/>
  <c r="AS35" i="19"/>
  <c r="AR35" i="19"/>
  <c r="AQ35" i="19"/>
  <c r="AP35" i="19"/>
  <c r="AN35" i="19"/>
  <c r="AM35" i="19"/>
  <c r="AL35" i="19"/>
  <c r="AK35" i="19"/>
  <c r="AI35" i="19"/>
  <c r="AH35" i="19"/>
  <c r="AG35" i="19"/>
  <c r="AF35" i="19"/>
  <c r="AD35" i="19"/>
  <c r="AC35" i="19"/>
  <c r="AB35" i="19"/>
  <c r="AA35" i="19"/>
  <c r="Y35" i="19"/>
  <c r="X35" i="19"/>
  <c r="W35" i="19"/>
  <c r="V35" i="19"/>
  <c r="T35" i="19"/>
  <c r="S35" i="19"/>
  <c r="R35" i="19"/>
  <c r="Q35" i="19"/>
  <c r="O35" i="19"/>
  <c r="N35" i="19"/>
  <c r="M35" i="19"/>
  <c r="L35" i="19"/>
  <c r="J35" i="19"/>
  <c r="I35" i="19"/>
  <c r="H35" i="19"/>
  <c r="G35" i="19"/>
  <c r="E35" i="19"/>
  <c r="D35" i="19"/>
  <c r="C35" i="19"/>
  <c r="B35" i="19"/>
  <c r="AS34" i="19"/>
  <c r="AR34" i="19"/>
  <c r="AQ34" i="19"/>
  <c r="AP34" i="19"/>
  <c r="AN34" i="19"/>
  <c r="AM34" i="19"/>
  <c r="AL34" i="19"/>
  <c r="AK34" i="19"/>
  <c r="AI34" i="19"/>
  <c r="AH34" i="19"/>
  <c r="AG34" i="19"/>
  <c r="AF34" i="19"/>
  <c r="AD34" i="19"/>
  <c r="AC34" i="19"/>
  <c r="AB34" i="19"/>
  <c r="AA34" i="19"/>
  <c r="Y34" i="19"/>
  <c r="X34" i="19"/>
  <c r="W34" i="19"/>
  <c r="V34" i="19"/>
  <c r="T34" i="19"/>
  <c r="S34" i="19"/>
  <c r="R34" i="19"/>
  <c r="Q34" i="19"/>
  <c r="O34" i="19"/>
  <c r="N34" i="19"/>
  <c r="M34" i="19"/>
  <c r="L34" i="19"/>
  <c r="J34" i="19"/>
  <c r="I34" i="19"/>
  <c r="H34" i="19"/>
  <c r="G34" i="19"/>
  <c r="E34" i="19"/>
  <c r="D34" i="19"/>
  <c r="C34" i="19"/>
  <c r="B34" i="19"/>
  <c r="AS33" i="19"/>
  <c r="AR33" i="19"/>
  <c r="AQ33" i="19"/>
  <c r="AP33" i="19"/>
  <c r="AN33" i="19"/>
  <c r="AM33" i="19"/>
  <c r="AL33" i="19"/>
  <c r="AK33" i="19"/>
  <c r="AI33" i="19"/>
  <c r="AH33" i="19"/>
  <c r="AG33" i="19"/>
  <c r="AF33" i="19"/>
  <c r="AD33" i="19"/>
  <c r="AC33" i="19"/>
  <c r="AB33" i="19"/>
  <c r="AA33" i="19"/>
  <c r="Y33" i="19"/>
  <c r="X33" i="19"/>
  <c r="W33" i="19"/>
  <c r="V33" i="19"/>
  <c r="T33" i="19"/>
  <c r="S33" i="19"/>
  <c r="R33" i="19"/>
  <c r="Q33" i="19"/>
  <c r="O33" i="19"/>
  <c r="N33" i="19"/>
  <c r="M33" i="19"/>
  <c r="L33" i="19"/>
  <c r="J33" i="19"/>
  <c r="I33" i="19"/>
  <c r="H33" i="19"/>
  <c r="G33" i="19"/>
  <c r="E33" i="19"/>
  <c r="D33" i="19"/>
  <c r="C33" i="19"/>
  <c r="B33" i="19"/>
  <c r="AS32" i="19"/>
  <c r="AR32" i="19"/>
  <c r="AQ32" i="19"/>
  <c r="AP32" i="19"/>
  <c r="AN32" i="19"/>
  <c r="AM32" i="19"/>
  <c r="AL32" i="19"/>
  <c r="AK32" i="19"/>
  <c r="AI32" i="19"/>
  <c r="AH32" i="19"/>
  <c r="AG32" i="19"/>
  <c r="AF32" i="19"/>
  <c r="AD32" i="19"/>
  <c r="AC32" i="19"/>
  <c r="AB32" i="19"/>
  <c r="AA32" i="19"/>
  <c r="Y32" i="19"/>
  <c r="X32" i="19"/>
  <c r="W32" i="19"/>
  <c r="V32" i="19"/>
  <c r="T32" i="19"/>
  <c r="S32" i="19"/>
  <c r="R32" i="19"/>
  <c r="Q32" i="19"/>
  <c r="O32" i="19"/>
  <c r="N32" i="19"/>
  <c r="M32" i="19"/>
  <c r="L32" i="19"/>
  <c r="J32" i="19"/>
  <c r="I32" i="19"/>
  <c r="H32" i="19"/>
  <c r="G32" i="19"/>
  <c r="E32" i="19"/>
  <c r="D32" i="19"/>
  <c r="C32" i="19"/>
  <c r="B32" i="19"/>
  <c r="AS31" i="19"/>
  <c r="AR31" i="19"/>
  <c r="AQ31" i="19"/>
  <c r="AP31" i="19"/>
  <c r="AN31" i="19"/>
  <c r="AM31" i="19"/>
  <c r="AL31" i="19"/>
  <c r="AK31" i="19"/>
  <c r="AI31" i="19"/>
  <c r="AH31" i="19"/>
  <c r="AG31" i="19"/>
  <c r="AF31" i="19"/>
  <c r="AD31" i="19"/>
  <c r="AC31" i="19"/>
  <c r="AB31" i="19"/>
  <c r="AA31" i="19"/>
  <c r="Y31" i="19"/>
  <c r="X31" i="19"/>
  <c r="W31" i="19"/>
  <c r="V31" i="19"/>
  <c r="T31" i="19"/>
  <c r="S31" i="19"/>
  <c r="R31" i="19"/>
  <c r="Q31" i="19"/>
  <c r="O31" i="19"/>
  <c r="N31" i="19"/>
  <c r="M31" i="19"/>
  <c r="L31" i="19"/>
  <c r="J31" i="19"/>
  <c r="I31" i="19"/>
  <c r="H31" i="19"/>
  <c r="G31" i="19"/>
  <c r="E31" i="19"/>
  <c r="D31" i="19"/>
  <c r="C31" i="19"/>
  <c r="B31" i="19"/>
  <c r="AS30" i="19"/>
  <c r="AR30" i="19"/>
  <c r="AQ30" i="19"/>
  <c r="AP30" i="19"/>
  <c r="AN30" i="19"/>
  <c r="AM30" i="19"/>
  <c r="AL30" i="19"/>
  <c r="AK30" i="19"/>
  <c r="AI30" i="19"/>
  <c r="AH30" i="19"/>
  <c r="AG30" i="19"/>
  <c r="AF30" i="19"/>
  <c r="AD30" i="19"/>
  <c r="AC30" i="19"/>
  <c r="AB30" i="19"/>
  <c r="AA30" i="19"/>
  <c r="Y30" i="19"/>
  <c r="X30" i="19"/>
  <c r="W30" i="19"/>
  <c r="V30" i="19"/>
  <c r="T30" i="19"/>
  <c r="S30" i="19"/>
  <c r="R30" i="19"/>
  <c r="Q30" i="19"/>
  <c r="O30" i="19"/>
  <c r="N30" i="19"/>
  <c r="M30" i="19"/>
  <c r="L30" i="19"/>
  <c r="J30" i="19"/>
  <c r="I30" i="19"/>
  <c r="H30" i="19"/>
  <c r="G30" i="19"/>
  <c r="E30" i="19"/>
  <c r="D30" i="19"/>
  <c r="C30" i="19"/>
  <c r="B30" i="19"/>
  <c r="AS29" i="19"/>
  <c r="AR29" i="19"/>
  <c r="AQ29" i="19"/>
  <c r="AP29" i="19"/>
  <c r="AN29" i="19"/>
  <c r="AM29" i="19"/>
  <c r="AL29" i="19"/>
  <c r="AK29" i="19"/>
  <c r="AI29" i="19"/>
  <c r="AH29" i="19"/>
  <c r="AG29" i="19"/>
  <c r="AF29" i="19"/>
  <c r="AD29" i="19"/>
  <c r="AC29" i="19"/>
  <c r="AB29" i="19"/>
  <c r="AA29" i="19"/>
  <c r="Y29" i="19"/>
  <c r="X29" i="19"/>
  <c r="W29" i="19"/>
  <c r="V29" i="19"/>
  <c r="T29" i="19"/>
  <c r="S29" i="19"/>
  <c r="R29" i="19"/>
  <c r="Q29" i="19"/>
  <c r="O29" i="19"/>
  <c r="N29" i="19"/>
  <c r="M29" i="19"/>
  <c r="L29" i="19"/>
  <c r="J29" i="19"/>
  <c r="I29" i="19"/>
  <c r="H29" i="19"/>
  <c r="G29" i="19"/>
  <c r="E29" i="19"/>
  <c r="D29" i="19"/>
  <c r="C29" i="19"/>
  <c r="B29" i="19"/>
  <c r="AS28" i="19"/>
  <c r="AR28" i="19"/>
  <c r="AQ28" i="19"/>
  <c r="AP28" i="19"/>
  <c r="AN28" i="19"/>
  <c r="AM28" i="19"/>
  <c r="AL28" i="19"/>
  <c r="AK28" i="19"/>
  <c r="AI28" i="19"/>
  <c r="AH28" i="19"/>
  <c r="AG28" i="19"/>
  <c r="AF28" i="19"/>
  <c r="AD28" i="19"/>
  <c r="AC28" i="19"/>
  <c r="AB28" i="19"/>
  <c r="AA28" i="19"/>
  <c r="Y28" i="19"/>
  <c r="X28" i="19"/>
  <c r="W28" i="19"/>
  <c r="V28" i="19"/>
  <c r="T28" i="19"/>
  <c r="S28" i="19"/>
  <c r="R28" i="19"/>
  <c r="Q28" i="19"/>
  <c r="O28" i="19"/>
  <c r="N28" i="19"/>
  <c r="M28" i="19"/>
  <c r="L28" i="19"/>
  <c r="J28" i="19"/>
  <c r="I28" i="19"/>
  <c r="H28" i="19"/>
  <c r="G28" i="19"/>
  <c r="E28" i="19"/>
  <c r="D28" i="19"/>
  <c r="C28" i="19"/>
  <c r="B28" i="19"/>
  <c r="AS27" i="19"/>
  <c r="AR27" i="19"/>
  <c r="AQ27" i="19"/>
  <c r="AP27" i="19"/>
  <c r="AN27" i="19"/>
  <c r="AM27" i="19"/>
  <c r="AL27" i="19"/>
  <c r="AK27" i="19"/>
  <c r="AI27" i="19"/>
  <c r="AH27" i="19"/>
  <c r="AG27" i="19"/>
  <c r="AF27" i="19"/>
  <c r="AD27" i="19"/>
  <c r="AC27" i="19"/>
  <c r="AB27" i="19"/>
  <c r="AA27" i="19"/>
  <c r="Y27" i="19"/>
  <c r="X27" i="19"/>
  <c r="W27" i="19"/>
  <c r="V27" i="19"/>
  <c r="T27" i="19"/>
  <c r="S27" i="19"/>
  <c r="R27" i="19"/>
  <c r="Q27" i="19"/>
  <c r="O27" i="19"/>
  <c r="N27" i="19"/>
  <c r="M27" i="19"/>
  <c r="L27" i="19"/>
  <c r="J27" i="19"/>
  <c r="I27" i="19"/>
  <c r="H27" i="19"/>
  <c r="G27" i="19"/>
  <c r="E27" i="19"/>
  <c r="D27" i="19"/>
  <c r="C27" i="19"/>
  <c r="B27" i="19"/>
  <c r="AS26" i="19"/>
  <c r="AR26" i="19"/>
  <c r="AQ26" i="19"/>
  <c r="AP26" i="19"/>
  <c r="AN26" i="19"/>
  <c r="AM26" i="19"/>
  <c r="AL26" i="19"/>
  <c r="AK26" i="19"/>
  <c r="AI26" i="19"/>
  <c r="AH26" i="19"/>
  <c r="AG26" i="19"/>
  <c r="AF26" i="19"/>
  <c r="AD26" i="19"/>
  <c r="AC26" i="19"/>
  <c r="AB26" i="19"/>
  <c r="AA26" i="19"/>
  <c r="Y26" i="19"/>
  <c r="X26" i="19"/>
  <c r="W26" i="19"/>
  <c r="V26" i="19"/>
  <c r="T26" i="19"/>
  <c r="S26" i="19"/>
  <c r="R26" i="19"/>
  <c r="Q26" i="19"/>
  <c r="O26" i="19"/>
  <c r="N26" i="19"/>
  <c r="M26" i="19"/>
  <c r="L26" i="19"/>
  <c r="J26" i="19"/>
  <c r="I26" i="19"/>
  <c r="H26" i="19"/>
  <c r="G26" i="19"/>
  <c r="E26" i="19"/>
  <c r="D26" i="19"/>
  <c r="C26" i="19"/>
  <c r="B26" i="19"/>
  <c r="AS25" i="19"/>
  <c r="AR25" i="19"/>
  <c r="AQ25" i="19"/>
  <c r="AP25" i="19"/>
  <c r="AN25" i="19"/>
  <c r="AM25" i="19"/>
  <c r="AL25" i="19"/>
  <c r="AK25" i="19"/>
  <c r="AI25" i="19"/>
  <c r="AH25" i="19"/>
  <c r="AG25" i="19"/>
  <c r="AF25" i="19"/>
  <c r="AD25" i="19"/>
  <c r="AC25" i="19"/>
  <c r="AB25" i="19"/>
  <c r="AA25" i="19"/>
  <c r="Y25" i="19"/>
  <c r="X25" i="19"/>
  <c r="W25" i="19"/>
  <c r="V25" i="19"/>
  <c r="T25" i="19"/>
  <c r="S25" i="19"/>
  <c r="R25" i="19"/>
  <c r="Q25" i="19"/>
  <c r="O25" i="19"/>
  <c r="N25" i="19"/>
  <c r="M25" i="19"/>
  <c r="L25" i="19"/>
  <c r="J25" i="19"/>
  <c r="I25" i="19"/>
  <c r="H25" i="19"/>
  <c r="G25" i="19"/>
  <c r="E25" i="19"/>
  <c r="D25" i="19"/>
  <c r="C25" i="19"/>
  <c r="B25" i="19"/>
  <c r="AS24" i="19"/>
  <c r="AR24" i="19"/>
  <c r="AQ24" i="19"/>
  <c r="AP24" i="19"/>
  <c r="AN24" i="19"/>
  <c r="AM24" i="19"/>
  <c r="AL24" i="19"/>
  <c r="AK24" i="19"/>
  <c r="AI24" i="19"/>
  <c r="AH24" i="19"/>
  <c r="AG24" i="19"/>
  <c r="AF24" i="19"/>
  <c r="AD24" i="19"/>
  <c r="AC24" i="19"/>
  <c r="AB24" i="19"/>
  <c r="AA24" i="19"/>
  <c r="Y24" i="19"/>
  <c r="X24" i="19"/>
  <c r="W24" i="19"/>
  <c r="V24" i="19"/>
  <c r="T24" i="19"/>
  <c r="S24" i="19"/>
  <c r="R24" i="19"/>
  <c r="Q24" i="19"/>
  <c r="O24" i="19"/>
  <c r="N24" i="19"/>
  <c r="M24" i="19"/>
  <c r="L24" i="19"/>
  <c r="J24" i="19"/>
  <c r="I24" i="19"/>
  <c r="H24" i="19"/>
  <c r="G24" i="19"/>
  <c r="E24" i="19"/>
  <c r="D24" i="19"/>
  <c r="C24" i="19"/>
  <c r="B24" i="19"/>
  <c r="AS23" i="19"/>
  <c r="AR23" i="19"/>
  <c r="AQ23" i="19"/>
  <c r="AP23" i="19"/>
  <c r="AN23" i="19"/>
  <c r="AM23" i="19"/>
  <c r="AL23" i="19"/>
  <c r="AK23" i="19"/>
  <c r="AI23" i="19"/>
  <c r="AH23" i="19"/>
  <c r="AG23" i="19"/>
  <c r="AF23" i="19"/>
  <c r="AD23" i="19"/>
  <c r="AC23" i="19"/>
  <c r="AB23" i="19"/>
  <c r="AA23" i="19"/>
  <c r="Y23" i="19"/>
  <c r="X23" i="19"/>
  <c r="W23" i="19"/>
  <c r="V23" i="19"/>
  <c r="T23" i="19"/>
  <c r="S23" i="19"/>
  <c r="R23" i="19"/>
  <c r="Q23" i="19"/>
  <c r="O23" i="19"/>
  <c r="N23" i="19"/>
  <c r="M23" i="19"/>
  <c r="L23" i="19"/>
  <c r="J23" i="19"/>
  <c r="I23" i="19"/>
  <c r="H23" i="19"/>
  <c r="G23" i="19"/>
  <c r="E23" i="19"/>
  <c r="D23" i="19"/>
  <c r="C23" i="19"/>
  <c r="B23" i="19"/>
  <c r="AS22" i="19"/>
  <c r="AR22" i="19"/>
  <c r="AQ22" i="19"/>
  <c r="AP22" i="19"/>
  <c r="AN22" i="19"/>
  <c r="AM22" i="19"/>
  <c r="AL22" i="19"/>
  <c r="AK22" i="19"/>
  <c r="AI22" i="19"/>
  <c r="AH22" i="19"/>
  <c r="AG22" i="19"/>
  <c r="AF22" i="19"/>
  <c r="AD22" i="19"/>
  <c r="AC22" i="19"/>
  <c r="AB22" i="19"/>
  <c r="AA22" i="19"/>
  <c r="Y22" i="19"/>
  <c r="X22" i="19"/>
  <c r="W22" i="19"/>
  <c r="V22" i="19"/>
  <c r="T22" i="19"/>
  <c r="S22" i="19"/>
  <c r="R22" i="19"/>
  <c r="Q22" i="19"/>
  <c r="O22" i="19"/>
  <c r="N22" i="19"/>
  <c r="M22" i="19"/>
  <c r="L22" i="19"/>
  <c r="J22" i="19"/>
  <c r="I22" i="19"/>
  <c r="H22" i="19"/>
  <c r="G22" i="19"/>
  <c r="E22" i="19"/>
  <c r="D22" i="19"/>
  <c r="C22" i="19"/>
  <c r="B22" i="19"/>
  <c r="AS21" i="19"/>
  <c r="AR21" i="19"/>
  <c r="AQ21" i="19"/>
  <c r="AP21" i="19"/>
  <c r="AN21" i="19"/>
  <c r="AM21" i="19"/>
  <c r="AL21" i="19"/>
  <c r="AK21" i="19"/>
  <c r="AI21" i="19"/>
  <c r="AH21" i="19"/>
  <c r="AG21" i="19"/>
  <c r="AF21" i="19"/>
  <c r="AD21" i="19"/>
  <c r="AC21" i="19"/>
  <c r="AB21" i="19"/>
  <c r="AA21" i="19"/>
  <c r="Y21" i="19"/>
  <c r="X21" i="19"/>
  <c r="W21" i="19"/>
  <c r="V21" i="19"/>
  <c r="T21" i="19"/>
  <c r="S21" i="19"/>
  <c r="R21" i="19"/>
  <c r="Q21" i="19"/>
  <c r="O21" i="19"/>
  <c r="N21" i="19"/>
  <c r="M21" i="19"/>
  <c r="L21" i="19"/>
  <c r="J21" i="19"/>
  <c r="I21" i="19"/>
  <c r="H21" i="19"/>
  <c r="G21" i="19"/>
  <c r="E21" i="19"/>
  <c r="D21" i="19"/>
  <c r="C21" i="19"/>
  <c r="B21" i="19"/>
  <c r="AS20" i="19"/>
  <c r="AR20" i="19"/>
  <c r="AQ20" i="19"/>
  <c r="AP20" i="19"/>
  <c r="AN20" i="19"/>
  <c r="AM20" i="19"/>
  <c r="AL20" i="19"/>
  <c r="AK20" i="19"/>
  <c r="AI20" i="19"/>
  <c r="AH20" i="19"/>
  <c r="AG20" i="19"/>
  <c r="AF20" i="19"/>
  <c r="AD20" i="19"/>
  <c r="AC20" i="19"/>
  <c r="AB20" i="19"/>
  <c r="AA20" i="19"/>
  <c r="Y20" i="19"/>
  <c r="X20" i="19"/>
  <c r="W20" i="19"/>
  <c r="V20" i="19"/>
  <c r="T20" i="19"/>
  <c r="S20" i="19"/>
  <c r="R20" i="19"/>
  <c r="Q20" i="19"/>
  <c r="O20" i="19"/>
  <c r="N20" i="19"/>
  <c r="M20" i="19"/>
  <c r="L20" i="19"/>
  <c r="J20" i="19"/>
  <c r="I20" i="19"/>
  <c r="H20" i="19"/>
  <c r="G20" i="19"/>
  <c r="E20" i="19"/>
  <c r="D20" i="19"/>
  <c r="C20" i="19"/>
  <c r="B20" i="19"/>
  <c r="AS19" i="19"/>
  <c r="AR19" i="19"/>
  <c r="AQ19" i="19"/>
  <c r="AP19" i="19"/>
  <c r="AN19" i="19"/>
  <c r="AM19" i="19"/>
  <c r="AL19" i="19"/>
  <c r="AK19" i="19"/>
  <c r="AI19" i="19"/>
  <c r="AH19" i="19"/>
  <c r="AG19" i="19"/>
  <c r="AF19" i="19"/>
  <c r="AD19" i="19"/>
  <c r="AC19" i="19"/>
  <c r="AB19" i="19"/>
  <c r="AA19" i="19"/>
  <c r="Y19" i="19"/>
  <c r="X19" i="19"/>
  <c r="W19" i="19"/>
  <c r="V19" i="19"/>
  <c r="T19" i="19"/>
  <c r="S19" i="19"/>
  <c r="R19" i="19"/>
  <c r="Q19" i="19"/>
  <c r="O19" i="19"/>
  <c r="N19" i="19"/>
  <c r="M19" i="19"/>
  <c r="L19" i="19"/>
  <c r="J19" i="19"/>
  <c r="I19" i="19"/>
  <c r="H19" i="19"/>
  <c r="G19" i="19"/>
  <c r="E19" i="19"/>
  <c r="D19" i="19"/>
  <c r="C19" i="19"/>
  <c r="B19" i="19"/>
  <c r="AS18" i="19"/>
  <c r="AR18" i="19"/>
  <c r="AQ18" i="19"/>
  <c r="AP18" i="19"/>
  <c r="AN18" i="19"/>
  <c r="AM18" i="19"/>
  <c r="AL18" i="19"/>
  <c r="AK18" i="19"/>
  <c r="AI18" i="19"/>
  <c r="AH18" i="19"/>
  <c r="AG18" i="19"/>
  <c r="AF18" i="19"/>
  <c r="AD18" i="19"/>
  <c r="AC18" i="19"/>
  <c r="AB18" i="19"/>
  <c r="AA18" i="19"/>
  <c r="Y18" i="19"/>
  <c r="X18" i="19"/>
  <c r="W18" i="19"/>
  <c r="V18" i="19"/>
  <c r="T18" i="19"/>
  <c r="S18" i="19"/>
  <c r="R18" i="19"/>
  <c r="Q18" i="19"/>
  <c r="O18" i="19"/>
  <c r="N18" i="19"/>
  <c r="M18" i="19"/>
  <c r="L18" i="19"/>
  <c r="J18" i="19"/>
  <c r="I18" i="19"/>
  <c r="H18" i="19"/>
  <c r="G18" i="19"/>
  <c r="E18" i="19"/>
  <c r="D18" i="19"/>
  <c r="C18" i="19"/>
  <c r="B18" i="19"/>
  <c r="AS17" i="19"/>
  <c r="AR17" i="19"/>
  <c r="AQ17" i="19"/>
  <c r="AP17" i="19"/>
  <c r="AN17" i="19"/>
  <c r="AM17" i="19"/>
  <c r="AL17" i="19"/>
  <c r="AK17" i="19"/>
  <c r="AI17" i="19"/>
  <c r="AH17" i="19"/>
  <c r="AG17" i="19"/>
  <c r="AF17" i="19"/>
  <c r="AD17" i="19"/>
  <c r="AC17" i="19"/>
  <c r="AB17" i="19"/>
  <c r="AA17" i="19"/>
  <c r="Y17" i="19"/>
  <c r="X17" i="19"/>
  <c r="W17" i="19"/>
  <c r="V17" i="19"/>
  <c r="T17" i="19"/>
  <c r="S17" i="19"/>
  <c r="R17" i="19"/>
  <c r="Q17" i="19"/>
  <c r="O17" i="19"/>
  <c r="N17" i="19"/>
  <c r="M17" i="19"/>
  <c r="L17" i="19"/>
  <c r="J17" i="19"/>
  <c r="I17" i="19"/>
  <c r="H17" i="19"/>
  <c r="G17" i="19"/>
  <c r="E17" i="19"/>
  <c r="D17" i="19"/>
  <c r="C17" i="19"/>
  <c r="B17" i="19"/>
  <c r="AS16" i="19"/>
  <c r="AR16" i="19"/>
  <c r="AQ16" i="19"/>
  <c r="AP16" i="19"/>
  <c r="AN16" i="19"/>
  <c r="AM16" i="19"/>
  <c r="AL16" i="19"/>
  <c r="AK16" i="19"/>
  <c r="AI16" i="19"/>
  <c r="AH16" i="19"/>
  <c r="AG16" i="19"/>
  <c r="AF16" i="19"/>
  <c r="AD16" i="19"/>
  <c r="AC16" i="19"/>
  <c r="AB16" i="19"/>
  <c r="AA16" i="19"/>
  <c r="Y16" i="19"/>
  <c r="X16" i="19"/>
  <c r="W16" i="19"/>
  <c r="V16" i="19"/>
  <c r="T16" i="19"/>
  <c r="S16" i="19"/>
  <c r="R16" i="19"/>
  <c r="Q16" i="19"/>
  <c r="O16" i="19"/>
  <c r="N16" i="19"/>
  <c r="M16" i="19"/>
  <c r="L16" i="19"/>
  <c r="J16" i="19"/>
  <c r="I16" i="19"/>
  <c r="H16" i="19"/>
  <c r="G16" i="19"/>
  <c r="E16" i="19"/>
  <c r="D16" i="19"/>
  <c r="C16" i="19"/>
  <c r="B16" i="19"/>
  <c r="AS15" i="19"/>
  <c r="AR15" i="19"/>
  <c r="AQ15" i="19"/>
  <c r="AP15" i="19"/>
  <c r="AN15" i="19"/>
  <c r="AM15" i="19"/>
  <c r="AL15" i="19"/>
  <c r="AK15" i="19"/>
  <c r="AI15" i="19"/>
  <c r="AH15" i="19"/>
  <c r="AG15" i="19"/>
  <c r="AF15" i="19"/>
  <c r="AD15" i="19"/>
  <c r="AC15" i="19"/>
  <c r="AB15" i="19"/>
  <c r="AA15" i="19"/>
  <c r="Y15" i="19"/>
  <c r="X15" i="19"/>
  <c r="W15" i="19"/>
  <c r="V15" i="19"/>
  <c r="T15" i="19"/>
  <c r="S15" i="19"/>
  <c r="R15" i="19"/>
  <c r="Q15" i="19"/>
  <c r="O15" i="19"/>
  <c r="N15" i="19"/>
  <c r="M15" i="19"/>
  <c r="L15" i="19"/>
  <c r="J15" i="19"/>
  <c r="I15" i="19"/>
  <c r="H15" i="19"/>
  <c r="G15" i="19"/>
  <c r="E15" i="19"/>
  <c r="D15" i="19"/>
  <c r="C15" i="19"/>
  <c r="B15" i="19"/>
  <c r="AS14" i="19"/>
  <c r="AR14" i="19"/>
  <c r="AQ14" i="19"/>
  <c r="AP14" i="19"/>
  <c r="AN14" i="19"/>
  <c r="AM14" i="19"/>
  <c r="AL14" i="19"/>
  <c r="AK14" i="19"/>
  <c r="AI14" i="19"/>
  <c r="AH14" i="19"/>
  <c r="AG14" i="19"/>
  <c r="AF14" i="19"/>
  <c r="AD14" i="19"/>
  <c r="AC14" i="19"/>
  <c r="AB14" i="19"/>
  <c r="AA14" i="19"/>
  <c r="Y14" i="19"/>
  <c r="X14" i="19"/>
  <c r="W14" i="19"/>
  <c r="V14" i="19"/>
  <c r="T14" i="19"/>
  <c r="S14" i="19"/>
  <c r="R14" i="19"/>
  <c r="Q14" i="19"/>
  <c r="O14" i="19"/>
  <c r="N14" i="19"/>
  <c r="M14" i="19"/>
  <c r="L14" i="19"/>
  <c r="J14" i="19"/>
  <c r="I14" i="19"/>
  <c r="H14" i="19"/>
  <c r="G14" i="19"/>
  <c r="E14" i="19"/>
  <c r="D14" i="19"/>
  <c r="C14" i="19"/>
  <c r="B14" i="19"/>
  <c r="AS13" i="19"/>
  <c r="AR13" i="19"/>
  <c r="AQ13" i="19"/>
  <c r="AP13" i="19"/>
  <c r="AN13" i="19"/>
  <c r="AM13" i="19"/>
  <c r="AL13" i="19"/>
  <c r="AK13" i="19"/>
  <c r="AI13" i="19"/>
  <c r="AH13" i="19"/>
  <c r="AG13" i="19"/>
  <c r="AF13" i="19"/>
  <c r="AD13" i="19"/>
  <c r="AC13" i="19"/>
  <c r="AB13" i="19"/>
  <c r="AA13" i="19"/>
  <c r="Y13" i="19"/>
  <c r="X13" i="19"/>
  <c r="W13" i="19"/>
  <c r="V13" i="19"/>
  <c r="T13" i="19"/>
  <c r="S13" i="19"/>
  <c r="R13" i="19"/>
  <c r="Q13" i="19"/>
  <c r="O13" i="19"/>
  <c r="N13" i="19"/>
  <c r="M13" i="19"/>
  <c r="L13" i="19"/>
  <c r="J13" i="19"/>
  <c r="I13" i="19"/>
  <c r="H13" i="19"/>
  <c r="G13" i="19"/>
  <c r="E13" i="19"/>
  <c r="D13" i="19"/>
  <c r="C13" i="19"/>
  <c r="B13" i="19"/>
  <c r="AS12" i="19"/>
  <c r="AR12" i="19"/>
  <c r="AQ12" i="19"/>
  <c r="AP12" i="19"/>
  <c r="AN12" i="19"/>
  <c r="AM12" i="19"/>
  <c r="AL12" i="19"/>
  <c r="AK12" i="19"/>
  <c r="AI12" i="19"/>
  <c r="AH12" i="19"/>
  <c r="AG12" i="19"/>
  <c r="AF12" i="19"/>
  <c r="AD12" i="19"/>
  <c r="AC12" i="19"/>
  <c r="AB12" i="19"/>
  <c r="AA12" i="19"/>
  <c r="Y12" i="19"/>
  <c r="X12" i="19"/>
  <c r="W12" i="19"/>
  <c r="V12" i="19"/>
  <c r="T12" i="19"/>
  <c r="S12" i="19"/>
  <c r="R12" i="19"/>
  <c r="Q12" i="19"/>
  <c r="O12" i="19"/>
  <c r="N12" i="19"/>
  <c r="M12" i="19"/>
  <c r="L12" i="19"/>
  <c r="J12" i="19"/>
  <c r="I12" i="19"/>
  <c r="H12" i="19"/>
  <c r="G12" i="19"/>
  <c r="E12" i="19"/>
  <c r="D12" i="19"/>
  <c r="C12" i="19"/>
  <c r="B12" i="19"/>
  <c r="AS11" i="19"/>
  <c r="AR11" i="19"/>
  <c r="AQ11" i="19"/>
  <c r="AP11" i="19"/>
  <c r="AN11" i="19"/>
  <c r="AM11" i="19"/>
  <c r="AL11" i="19"/>
  <c r="AK11" i="19"/>
  <c r="AI11" i="19"/>
  <c r="AH11" i="19"/>
  <c r="AG11" i="19"/>
  <c r="AF11" i="19"/>
  <c r="AD11" i="19"/>
  <c r="AC11" i="19"/>
  <c r="AB11" i="19"/>
  <c r="AA11" i="19"/>
  <c r="Y11" i="19"/>
  <c r="X11" i="19"/>
  <c r="W11" i="19"/>
  <c r="V11" i="19"/>
  <c r="T11" i="19"/>
  <c r="S11" i="19"/>
  <c r="R11" i="19"/>
  <c r="Q11" i="19"/>
  <c r="O11" i="19"/>
  <c r="N11" i="19"/>
  <c r="M11" i="19"/>
  <c r="L11" i="19"/>
  <c r="J11" i="19"/>
  <c r="I11" i="19"/>
  <c r="H11" i="19"/>
  <c r="G11" i="19"/>
  <c r="E11" i="19"/>
  <c r="D11" i="19"/>
  <c r="C11" i="19"/>
  <c r="B11" i="19"/>
  <c r="AS10" i="19"/>
  <c r="AR10" i="19"/>
  <c r="AQ10" i="19"/>
  <c r="AP10" i="19"/>
  <c r="AN10" i="19"/>
  <c r="AM10" i="19"/>
  <c r="AL10" i="19"/>
  <c r="AK10" i="19"/>
  <c r="AI10" i="19"/>
  <c r="AH10" i="19"/>
  <c r="AG10" i="19"/>
  <c r="AF10" i="19"/>
  <c r="AD10" i="19"/>
  <c r="AC10" i="19"/>
  <c r="AB10" i="19"/>
  <c r="AA10" i="19"/>
  <c r="Y10" i="19"/>
  <c r="X10" i="19"/>
  <c r="W10" i="19"/>
  <c r="V10" i="19"/>
  <c r="T10" i="19"/>
  <c r="S10" i="19"/>
  <c r="R10" i="19"/>
  <c r="Q10" i="19"/>
  <c r="O10" i="19"/>
  <c r="N10" i="19"/>
  <c r="M10" i="19"/>
  <c r="L10" i="19"/>
  <c r="J10" i="19"/>
  <c r="I10" i="19"/>
  <c r="H10" i="19"/>
  <c r="G10" i="19"/>
  <c r="E10" i="19"/>
  <c r="D10" i="19"/>
  <c r="C10" i="19"/>
  <c r="B10" i="19"/>
  <c r="AS9" i="19"/>
  <c r="AR9" i="19"/>
  <c r="AQ9" i="19"/>
  <c r="AP9" i="19"/>
  <c r="AN9" i="19"/>
  <c r="AM9" i="19"/>
  <c r="AL9" i="19"/>
  <c r="AK9" i="19"/>
  <c r="AI9" i="19"/>
  <c r="AH9" i="19"/>
  <c r="AG9" i="19"/>
  <c r="AF9" i="19"/>
  <c r="AD9" i="19"/>
  <c r="AC9" i="19"/>
  <c r="AB9" i="19"/>
  <c r="AA9" i="19"/>
  <c r="Y9" i="19"/>
  <c r="X9" i="19"/>
  <c r="W9" i="19"/>
  <c r="V9" i="19"/>
  <c r="T9" i="19"/>
  <c r="S9" i="19"/>
  <c r="R9" i="19"/>
  <c r="Q9" i="19"/>
  <c r="O9" i="19"/>
  <c r="N9" i="19"/>
  <c r="M9" i="19"/>
  <c r="L9" i="19"/>
  <c r="J9" i="19"/>
  <c r="I9" i="19"/>
  <c r="H9" i="19"/>
  <c r="G9" i="19"/>
  <c r="E9" i="19"/>
  <c r="D9" i="19"/>
  <c r="C9" i="19"/>
  <c r="B9" i="19"/>
  <c r="AS8" i="19"/>
  <c r="AR8" i="19"/>
  <c r="AQ8" i="19"/>
  <c r="AP8" i="19"/>
  <c r="AN8" i="19"/>
  <c r="AM8" i="19"/>
  <c r="AL8" i="19"/>
  <c r="AK8" i="19"/>
  <c r="AI8" i="19"/>
  <c r="AH8" i="19"/>
  <c r="AG8" i="19"/>
  <c r="AF8" i="19"/>
  <c r="AD8" i="19"/>
  <c r="AC8" i="19"/>
  <c r="AB8" i="19"/>
  <c r="AA8" i="19"/>
  <c r="Y8" i="19"/>
  <c r="X8" i="19"/>
  <c r="W8" i="19"/>
  <c r="V8" i="19"/>
  <c r="T8" i="19"/>
  <c r="S8" i="19"/>
  <c r="R8" i="19"/>
  <c r="Q8" i="19"/>
  <c r="O8" i="19"/>
  <c r="N8" i="19"/>
  <c r="M8" i="19"/>
  <c r="L8" i="19"/>
  <c r="J8" i="19"/>
  <c r="I8" i="19"/>
  <c r="H8" i="19"/>
  <c r="G8" i="19"/>
  <c r="E8" i="19"/>
  <c r="D8" i="19"/>
  <c r="C8" i="19"/>
  <c r="B8" i="19"/>
  <c r="AS7" i="19"/>
  <c r="AR7" i="19"/>
  <c r="AQ7" i="19"/>
  <c r="AP7" i="19"/>
  <c r="AN7" i="19"/>
  <c r="AM7" i="19"/>
  <c r="AL7" i="19"/>
  <c r="AK7" i="19"/>
  <c r="AI7" i="19"/>
  <c r="AH7" i="19"/>
  <c r="AG7" i="19"/>
  <c r="AF7" i="19"/>
  <c r="AD7" i="19"/>
  <c r="AC7" i="19"/>
  <c r="AB7" i="19"/>
  <c r="AA7" i="19"/>
  <c r="Y7" i="19"/>
  <c r="X7" i="19"/>
  <c r="W7" i="19"/>
  <c r="V7" i="19"/>
  <c r="T7" i="19"/>
  <c r="S7" i="19"/>
  <c r="R7" i="19"/>
  <c r="Q7" i="19"/>
  <c r="O7" i="19"/>
  <c r="N7" i="19"/>
  <c r="M7" i="19"/>
  <c r="L7" i="19"/>
  <c r="J7" i="19"/>
  <c r="I7" i="19"/>
  <c r="H7" i="19"/>
  <c r="G7" i="19"/>
  <c r="E7" i="19"/>
  <c r="D7" i="19"/>
  <c r="C7" i="19"/>
  <c r="B7" i="19"/>
  <c r="AS6" i="19"/>
  <c r="AR6" i="19"/>
  <c r="AQ6" i="19"/>
  <c r="AP6" i="19"/>
  <c r="AN6" i="19"/>
  <c r="AM6" i="19"/>
  <c r="AL6" i="19"/>
  <c r="AK6" i="19"/>
  <c r="AI6" i="19"/>
  <c r="AH6" i="19"/>
  <c r="AG6" i="19"/>
  <c r="AF6" i="19"/>
  <c r="AD6" i="19"/>
  <c r="AC6" i="19"/>
  <c r="AB6" i="19"/>
  <c r="AA6" i="19"/>
  <c r="Y6" i="19"/>
  <c r="X6" i="19"/>
  <c r="W6" i="19"/>
  <c r="V6" i="19"/>
  <c r="T6" i="19"/>
  <c r="S6" i="19"/>
  <c r="R6" i="19"/>
  <c r="Q6" i="19"/>
  <c r="O6" i="19"/>
  <c r="N6" i="19"/>
  <c r="M6" i="19"/>
  <c r="L6" i="19"/>
  <c r="J6" i="19"/>
  <c r="I6" i="19"/>
  <c r="H6" i="19"/>
  <c r="G6" i="19"/>
  <c r="E6" i="19"/>
  <c r="D6" i="19"/>
  <c r="C6" i="19"/>
  <c r="B6" i="19"/>
  <c r="AS5" i="19"/>
  <c r="AR5" i="19"/>
  <c r="AQ5" i="19"/>
  <c r="AP5" i="19"/>
  <c r="AN5" i="19"/>
  <c r="AM5" i="19"/>
  <c r="AL5" i="19"/>
  <c r="AK5" i="19"/>
  <c r="AI5" i="19"/>
  <c r="AH5" i="19"/>
  <c r="AG5" i="19"/>
  <c r="AF5" i="19"/>
  <c r="AD5" i="19"/>
  <c r="AC5" i="19"/>
  <c r="AB5" i="19"/>
  <c r="AA5" i="19"/>
  <c r="Y5" i="19"/>
  <c r="X5" i="19"/>
  <c r="W5" i="19"/>
  <c r="V5" i="19"/>
  <c r="T5" i="19"/>
  <c r="S5" i="19"/>
  <c r="R5" i="19"/>
  <c r="Q5" i="19"/>
  <c r="O5" i="19"/>
  <c r="N5" i="19"/>
  <c r="M5" i="19"/>
  <c r="L5" i="19"/>
  <c r="J5" i="19"/>
  <c r="I5" i="19"/>
  <c r="H5" i="19"/>
  <c r="G5" i="19"/>
  <c r="E5" i="19"/>
  <c r="D5" i="19"/>
  <c r="C5" i="19"/>
  <c r="B5" i="19"/>
  <c r="AS4" i="19"/>
  <c r="AR4" i="19"/>
  <c r="AQ4" i="19"/>
  <c r="AP4" i="19"/>
  <c r="AN4" i="19"/>
  <c r="AM4" i="19"/>
  <c r="AL4" i="19"/>
  <c r="AK4" i="19"/>
  <c r="AI4" i="19"/>
  <c r="AH4" i="19"/>
  <c r="AG4" i="19"/>
  <c r="AF4" i="19"/>
  <c r="AD4" i="19"/>
  <c r="AC4" i="19"/>
  <c r="AB4" i="19"/>
  <c r="AA4" i="19"/>
  <c r="Y4" i="19"/>
  <c r="X4" i="19"/>
  <c r="W4" i="19"/>
  <c r="V4" i="19"/>
  <c r="T4" i="19"/>
  <c r="S4" i="19"/>
  <c r="R4" i="19"/>
  <c r="Q4" i="19"/>
  <c r="O4" i="19"/>
  <c r="N4" i="19"/>
  <c r="M4" i="19"/>
  <c r="L4" i="19"/>
  <c r="J4" i="19"/>
  <c r="I4" i="19"/>
  <c r="H4" i="19"/>
  <c r="G4" i="19"/>
  <c r="E4" i="19"/>
  <c r="D4" i="19"/>
  <c r="C4" i="19"/>
  <c r="B4" i="19"/>
  <c r="AS3" i="19"/>
  <c r="AR3" i="19"/>
  <c r="AQ3" i="19"/>
  <c r="AP3" i="19"/>
  <c r="AN3" i="19"/>
  <c r="AM3" i="19"/>
  <c r="AL3" i="19"/>
  <c r="AK3" i="19"/>
  <c r="AI3" i="19"/>
  <c r="AH3" i="19"/>
  <c r="AG3" i="19"/>
  <c r="AF3" i="19"/>
  <c r="AD3" i="19"/>
  <c r="AC3" i="19"/>
  <c r="AB3" i="19"/>
  <c r="AA3" i="19"/>
  <c r="Y3" i="19"/>
  <c r="X3" i="19"/>
  <c r="W3" i="19"/>
  <c r="V3" i="19"/>
  <c r="T3" i="19"/>
  <c r="S3" i="19"/>
  <c r="R3" i="19"/>
  <c r="Q3" i="19"/>
  <c r="O3" i="19"/>
  <c r="N3" i="19"/>
  <c r="M3" i="19"/>
  <c r="L3" i="19"/>
  <c r="J3" i="19"/>
  <c r="I3" i="19"/>
  <c r="H3" i="19"/>
  <c r="G3" i="19"/>
  <c r="E3" i="19"/>
  <c r="D3" i="19"/>
  <c r="C3" i="19"/>
  <c r="B3" i="19"/>
  <c r="AS2" i="19"/>
  <c r="AR2" i="19"/>
  <c r="AQ2" i="19"/>
  <c r="AP2" i="19"/>
  <c r="AN2" i="19"/>
  <c r="AM2" i="19"/>
  <c r="AL2" i="19"/>
  <c r="AK2" i="19"/>
  <c r="AI2" i="19"/>
  <c r="AH2" i="19"/>
  <c r="AG2" i="19"/>
  <c r="AF2" i="19"/>
  <c r="AD2" i="19"/>
  <c r="AC2" i="19"/>
  <c r="AB2" i="19"/>
  <c r="AA2" i="19"/>
  <c r="Y2" i="19"/>
  <c r="X2" i="19"/>
  <c r="W2" i="19"/>
  <c r="V2" i="19"/>
  <c r="T2" i="19"/>
  <c r="S2" i="19"/>
  <c r="R2" i="19"/>
  <c r="Q2" i="19"/>
  <c r="O2" i="19"/>
  <c r="N2" i="19"/>
  <c r="M2" i="19"/>
  <c r="L2" i="19"/>
  <c r="J2" i="19"/>
  <c r="I2" i="19"/>
  <c r="H2" i="19"/>
  <c r="G2" i="19"/>
  <c r="E2" i="19"/>
  <c r="D2" i="19"/>
  <c r="C2" i="19"/>
  <c r="B2" i="19"/>
  <c r="AS38" i="18"/>
  <c r="AR38" i="18"/>
  <c r="AQ38" i="18"/>
  <c r="AP38" i="18"/>
  <c r="AN38" i="18"/>
  <c r="AM38" i="18"/>
  <c r="AL38" i="18"/>
  <c r="AK38" i="18"/>
  <c r="AI38" i="18"/>
  <c r="AH38" i="18"/>
  <c r="AG38" i="18"/>
  <c r="AF38" i="18"/>
  <c r="AD38" i="18"/>
  <c r="AC38" i="18"/>
  <c r="AB38" i="18"/>
  <c r="AA38" i="18"/>
  <c r="Y38" i="18"/>
  <c r="X38" i="18"/>
  <c r="W38" i="18"/>
  <c r="V38" i="18"/>
  <c r="T38" i="18"/>
  <c r="S38" i="18"/>
  <c r="R38" i="18"/>
  <c r="Q38" i="18"/>
  <c r="O38" i="18"/>
  <c r="N38" i="18"/>
  <c r="M38" i="18"/>
  <c r="L38" i="18"/>
  <c r="J38" i="18"/>
  <c r="I38" i="18"/>
  <c r="H38" i="18"/>
  <c r="G38" i="18"/>
  <c r="E38" i="18"/>
  <c r="D38" i="18"/>
  <c r="C38" i="18"/>
  <c r="B38" i="18"/>
  <c r="AS37" i="18"/>
  <c r="AR37" i="18"/>
  <c r="AQ37" i="18"/>
  <c r="AP37" i="18"/>
  <c r="AN37" i="18"/>
  <c r="AM37" i="18"/>
  <c r="AL37" i="18"/>
  <c r="AK37" i="18"/>
  <c r="AI37" i="18"/>
  <c r="AH37" i="18"/>
  <c r="AG37" i="18"/>
  <c r="AF37" i="18"/>
  <c r="AD37" i="18"/>
  <c r="AC37" i="18"/>
  <c r="AB37" i="18"/>
  <c r="AA37" i="18"/>
  <c r="Y37" i="18"/>
  <c r="X37" i="18"/>
  <c r="W37" i="18"/>
  <c r="V37" i="18"/>
  <c r="T37" i="18"/>
  <c r="S37" i="18"/>
  <c r="R37" i="18"/>
  <c r="Q37" i="18"/>
  <c r="O37" i="18"/>
  <c r="N37" i="18"/>
  <c r="M37" i="18"/>
  <c r="L37" i="18"/>
  <c r="J37" i="18"/>
  <c r="I37" i="18"/>
  <c r="H37" i="18"/>
  <c r="G37" i="18"/>
  <c r="E37" i="18"/>
  <c r="D37" i="18"/>
  <c r="C37" i="18"/>
  <c r="B37" i="18"/>
  <c r="AS36" i="18"/>
  <c r="AR36" i="18"/>
  <c r="AQ36" i="18"/>
  <c r="AP36" i="18"/>
  <c r="AN36" i="18"/>
  <c r="AM36" i="18"/>
  <c r="AL36" i="18"/>
  <c r="AK36" i="18"/>
  <c r="AI36" i="18"/>
  <c r="AH36" i="18"/>
  <c r="AG36" i="18"/>
  <c r="AF36" i="18"/>
  <c r="AD36" i="18"/>
  <c r="AC36" i="18"/>
  <c r="AB36" i="18"/>
  <c r="AA36" i="18"/>
  <c r="Y36" i="18"/>
  <c r="X36" i="18"/>
  <c r="W36" i="18"/>
  <c r="V36" i="18"/>
  <c r="T36" i="18"/>
  <c r="S36" i="18"/>
  <c r="R36" i="18"/>
  <c r="Q36" i="18"/>
  <c r="O36" i="18"/>
  <c r="N36" i="18"/>
  <c r="M36" i="18"/>
  <c r="L36" i="18"/>
  <c r="J36" i="18"/>
  <c r="I36" i="18"/>
  <c r="H36" i="18"/>
  <c r="G36" i="18"/>
  <c r="E36" i="18"/>
  <c r="D36" i="18"/>
  <c r="C36" i="18"/>
  <c r="B36" i="18"/>
  <c r="AS35" i="18"/>
  <c r="AR35" i="18"/>
  <c r="AQ35" i="18"/>
  <c r="AP35" i="18"/>
  <c r="AN35" i="18"/>
  <c r="AM35" i="18"/>
  <c r="AL35" i="18"/>
  <c r="AK35" i="18"/>
  <c r="AI35" i="18"/>
  <c r="AH35" i="18"/>
  <c r="AG35" i="18"/>
  <c r="AF35" i="18"/>
  <c r="AD35" i="18"/>
  <c r="AC35" i="18"/>
  <c r="AB35" i="18"/>
  <c r="AA35" i="18"/>
  <c r="Y35" i="18"/>
  <c r="X35" i="18"/>
  <c r="W35" i="18"/>
  <c r="V35" i="18"/>
  <c r="T35" i="18"/>
  <c r="S35" i="18"/>
  <c r="R35" i="18"/>
  <c r="Q35" i="18"/>
  <c r="O35" i="18"/>
  <c r="N35" i="18"/>
  <c r="M35" i="18"/>
  <c r="L35" i="18"/>
  <c r="J35" i="18"/>
  <c r="I35" i="18"/>
  <c r="H35" i="18"/>
  <c r="G35" i="18"/>
  <c r="E35" i="18"/>
  <c r="D35" i="18"/>
  <c r="C35" i="18"/>
  <c r="B35" i="18"/>
  <c r="AS34" i="18"/>
  <c r="AR34" i="18"/>
  <c r="AQ34" i="18"/>
  <c r="AP34" i="18"/>
  <c r="AN34" i="18"/>
  <c r="AM34" i="18"/>
  <c r="AL34" i="18"/>
  <c r="AK34" i="18"/>
  <c r="AI34" i="18"/>
  <c r="AH34" i="18"/>
  <c r="AG34" i="18"/>
  <c r="AF34" i="18"/>
  <c r="AD34" i="18"/>
  <c r="AC34" i="18"/>
  <c r="AB34" i="18"/>
  <c r="AA34" i="18"/>
  <c r="Y34" i="18"/>
  <c r="X34" i="18"/>
  <c r="W34" i="18"/>
  <c r="V34" i="18"/>
  <c r="T34" i="18"/>
  <c r="S34" i="18"/>
  <c r="R34" i="18"/>
  <c r="Q34" i="18"/>
  <c r="O34" i="18"/>
  <c r="N34" i="18"/>
  <c r="M34" i="18"/>
  <c r="L34" i="18"/>
  <c r="J34" i="18"/>
  <c r="I34" i="18"/>
  <c r="H34" i="18"/>
  <c r="G34" i="18"/>
  <c r="E34" i="18"/>
  <c r="D34" i="18"/>
  <c r="C34" i="18"/>
  <c r="B34" i="18"/>
  <c r="AS33" i="18"/>
  <c r="AR33" i="18"/>
  <c r="AQ33" i="18"/>
  <c r="AP33" i="18"/>
  <c r="AN33" i="18"/>
  <c r="AM33" i="18"/>
  <c r="AL33" i="18"/>
  <c r="AK33" i="18"/>
  <c r="AI33" i="18"/>
  <c r="AH33" i="18"/>
  <c r="AG33" i="18"/>
  <c r="AF33" i="18"/>
  <c r="AD33" i="18"/>
  <c r="AC33" i="18"/>
  <c r="AB33" i="18"/>
  <c r="AA33" i="18"/>
  <c r="Y33" i="18"/>
  <c r="X33" i="18"/>
  <c r="W33" i="18"/>
  <c r="V33" i="18"/>
  <c r="T33" i="18"/>
  <c r="S33" i="18"/>
  <c r="R33" i="18"/>
  <c r="Q33" i="18"/>
  <c r="O33" i="18"/>
  <c r="N33" i="18"/>
  <c r="M33" i="18"/>
  <c r="L33" i="18"/>
  <c r="J33" i="18"/>
  <c r="I33" i="18"/>
  <c r="H33" i="18"/>
  <c r="G33" i="18"/>
  <c r="E33" i="18"/>
  <c r="D33" i="18"/>
  <c r="C33" i="18"/>
  <c r="B33" i="18"/>
  <c r="AS32" i="18"/>
  <c r="AR32" i="18"/>
  <c r="AQ32" i="18"/>
  <c r="AP32" i="18"/>
  <c r="AN32" i="18"/>
  <c r="AM32" i="18"/>
  <c r="AL32" i="18"/>
  <c r="AK32" i="18"/>
  <c r="AI32" i="18"/>
  <c r="AH32" i="18"/>
  <c r="AG32" i="18"/>
  <c r="AF32" i="18"/>
  <c r="AD32" i="18"/>
  <c r="AC32" i="18"/>
  <c r="AB32" i="18"/>
  <c r="AA32" i="18"/>
  <c r="Y32" i="18"/>
  <c r="X32" i="18"/>
  <c r="W32" i="18"/>
  <c r="V32" i="18"/>
  <c r="T32" i="18"/>
  <c r="S32" i="18"/>
  <c r="R32" i="18"/>
  <c r="Q32" i="18"/>
  <c r="O32" i="18"/>
  <c r="N32" i="18"/>
  <c r="M32" i="18"/>
  <c r="L32" i="18"/>
  <c r="J32" i="18"/>
  <c r="I32" i="18"/>
  <c r="H32" i="18"/>
  <c r="G32" i="18"/>
  <c r="E32" i="18"/>
  <c r="D32" i="18"/>
  <c r="C32" i="18"/>
  <c r="B32" i="18"/>
  <c r="AS31" i="18"/>
  <c r="AR31" i="18"/>
  <c r="AQ31" i="18"/>
  <c r="AP31" i="18"/>
  <c r="AN31" i="18"/>
  <c r="AM31" i="18"/>
  <c r="AL31" i="18"/>
  <c r="AK31" i="18"/>
  <c r="AI31" i="18"/>
  <c r="AH31" i="18"/>
  <c r="AG31" i="18"/>
  <c r="AF31" i="18"/>
  <c r="AD31" i="18"/>
  <c r="AC31" i="18"/>
  <c r="AB31" i="18"/>
  <c r="AA31" i="18"/>
  <c r="Y31" i="18"/>
  <c r="X31" i="18"/>
  <c r="W31" i="18"/>
  <c r="V31" i="18"/>
  <c r="T31" i="18"/>
  <c r="S31" i="18"/>
  <c r="R31" i="18"/>
  <c r="Q31" i="18"/>
  <c r="O31" i="18"/>
  <c r="N31" i="18"/>
  <c r="M31" i="18"/>
  <c r="L31" i="18"/>
  <c r="J31" i="18"/>
  <c r="I31" i="18"/>
  <c r="H31" i="18"/>
  <c r="G31" i="18"/>
  <c r="E31" i="18"/>
  <c r="D31" i="18"/>
  <c r="C31" i="18"/>
  <c r="B31" i="18"/>
  <c r="AS30" i="18"/>
  <c r="AR30" i="18"/>
  <c r="AQ30" i="18"/>
  <c r="AP30" i="18"/>
  <c r="AN30" i="18"/>
  <c r="AM30" i="18"/>
  <c r="AL30" i="18"/>
  <c r="AK30" i="18"/>
  <c r="AI30" i="18"/>
  <c r="AH30" i="18"/>
  <c r="AG30" i="18"/>
  <c r="AF30" i="18"/>
  <c r="AD30" i="18"/>
  <c r="AC30" i="18"/>
  <c r="AB30" i="18"/>
  <c r="AA30" i="18"/>
  <c r="Y30" i="18"/>
  <c r="X30" i="18"/>
  <c r="W30" i="18"/>
  <c r="V30" i="18"/>
  <c r="T30" i="18"/>
  <c r="S30" i="18"/>
  <c r="R30" i="18"/>
  <c r="Q30" i="18"/>
  <c r="O30" i="18"/>
  <c r="N30" i="18"/>
  <c r="M30" i="18"/>
  <c r="L30" i="18"/>
  <c r="J30" i="18"/>
  <c r="I30" i="18"/>
  <c r="H30" i="18"/>
  <c r="G30" i="18"/>
  <c r="E30" i="18"/>
  <c r="D30" i="18"/>
  <c r="C30" i="18"/>
  <c r="B30" i="18"/>
  <c r="AS29" i="18"/>
  <c r="AR29" i="18"/>
  <c r="AQ29" i="18"/>
  <c r="AP29" i="18"/>
  <c r="AN29" i="18"/>
  <c r="AM29" i="18"/>
  <c r="AL29" i="18"/>
  <c r="AK29" i="18"/>
  <c r="AI29" i="18"/>
  <c r="AH29" i="18"/>
  <c r="AG29" i="18"/>
  <c r="AF29" i="18"/>
  <c r="AD29" i="18"/>
  <c r="AC29" i="18"/>
  <c r="AB29" i="18"/>
  <c r="AA29" i="18"/>
  <c r="Y29" i="18"/>
  <c r="X29" i="18"/>
  <c r="W29" i="18"/>
  <c r="V29" i="18"/>
  <c r="T29" i="18"/>
  <c r="S29" i="18"/>
  <c r="R29" i="18"/>
  <c r="Q29" i="18"/>
  <c r="O29" i="18"/>
  <c r="N29" i="18"/>
  <c r="M29" i="18"/>
  <c r="L29" i="18"/>
  <c r="J29" i="18"/>
  <c r="I29" i="18"/>
  <c r="H29" i="18"/>
  <c r="G29" i="18"/>
  <c r="E29" i="18"/>
  <c r="D29" i="18"/>
  <c r="C29" i="18"/>
  <c r="B29" i="18"/>
  <c r="AS28" i="18"/>
  <c r="AR28" i="18"/>
  <c r="AQ28" i="18"/>
  <c r="AP28" i="18"/>
  <c r="AN28" i="18"/>
  <c r="AM28" i="18"/>
  <c r="AL28" i="18"/>
  <c r="AK28" i="18"/>
  <c r="AI28" i="18"/>
  <c r="AH28" i="18"/>
  <c r="AG28" i="18"/>
  <c r="AF28" i="18"/>
  <c r="AD28" i="18"/>
  <c r="AC28" i="18"/>
  <c r="AB28" i="18"/>
  <c r="AA28" i="18"/>
  <c r="Y28" i="18"/>
  <c r="X28" i="18"/>
  <c r="W28" i="18"/>
  <c r="V28" i="18"/>
  <c r="T28" i="18"/>
  <c r="S28" i="18"/>
  <c r="R28" i="18"/>
  <c r="Q28" i="18"/>
  <c r="O28" i="18"/>
  <c r="N28" i="18"/>
  <c r="M28" i="18"/>
  <c r="L28" i="18"/>
  <c r="J28" i="18"/>
  <c r="I28" i="18"/>
  <c r="H28" i="18"/>
  <c r="G28" i="18"/>
  <c r="E28" i="18"/>
  <c r="D28" i="18"/>
  <c r="C28" i="18"/>
  <c r="B28" i="18"/>
  <c r="AS27" i="18"/>
  <c r="AR27" i="18"/>
  <c r="AQ27" i="18"/>
  <c r="AP27" i="18"/>
  <c r="AN27" i="18"/>
  <c r="AM27" i="18"/>
  <c r="AL27" i="18"/>
  <c r="AK27" i="18"/>
  <c r="AI27" i="18"/>
  <c r="AH27" i="18"/>
  <c r="AG27" i="18"/>
  <c r="AF27" i="18"/>
  <c r="AD27" i="18"/>
  <c r="AC27" i="18"/>
  <c r="AB27" i="18"/>
  <c r="AA27" i="18"/>
  <c r="Y27" i="18"/>
  <c r="X27" i="18"/>
  <c r="W27" i="18"/>
  <c r="V27" i="18"/>
  <c r="T27" i="18"/>
  <c r="S27" i="18"/>
  <c r="R27" i="18"/>
  <c r="Q27" i="18"/>
  <c r="O27" i="18"/>
  <c r="N27" i="18"/>
  <c r="M27" i="18"/>
  <c r="L27" i="18"/>
  <c r="J27" i="18"/>
  <c r="I27" i="18"/>
  <c r="H27" i="18"/>
  <c r="G27" i="18"/>
  <c r="E27" i="18"/>
  <c r="D27" i="18"/>
  <c r="C27" i="18"/>
  <c r="B27" i="18"/>
  <c r="AS26" i="18"/>
  <c r="AR26" i="18"/>
  <c r="AQ26" i="18"/>
  <c r="AP26" i="18"/>
  <c r="AN26" i="18"/>
  <c r="AM26" i="18"/>
  <c r="AL26" i="18"/>
  <c r="AK26" i="18"/>
  <c r="AI26" i="18"/>
  <c r="AH26" i="18"/>
  <c r="AG26" i="18"/>
  <c r="AF26" i="18"/>
  <c r="AD26" i="18"/>
  <c r="AC26" i="18"/>
  <c r="AB26" i="18"/>
  <c r="AA26" i="18"/>
  <c r="Y26" i="18"/>
  <c r="X26" i="18"/>
  <c r="W26" i="18"/>
  <c r="V26" i="18"/>
  <c r="T26" i="18"/>
  <c r="S26" i="18"/>
  <c r="R26" i="18"/>
  <c r="Q26" i="18"/>
  <c r="O26" i="18"/>
  <c r="N26" i="18"/>
  <c r="M26" i="18"/>
  <c r="L26" i="18"/>
  <c r="J26" i="18"/>
  <c r="I26" i="18"/>
  <c r="H26" i="18"/>
  <c r="G26" i="18"/>
  <c r="E26" i="18"/>
  <c r="D26" i="18"/>
  <c r="C26" i="18"/>
  <c r="B26" i="18"/>
  <c r="AS25" i="18"/>
  <c r="AR25" i="18"/>
  <c r="AQ25" i="18"/>
  <c r="AP25" i="18"/>
  <c r="AN25" i="18"/>
  <c r="AM25" i="18"/>
  <c r="AL25" i="18"/>
  <c r="AK25" i="18"/>
  <c r="AI25" i="18"/>
  <c r="AH25" i="18"/>
  <c r="AG25" i="18"/>
  <c r="AF25" i="18"/>
  <c r="AD25" i="18"/>
  <c r="AC25" i="18"/>
  <c r="AB25" i="18"/>
  <c r="AA25" i="18"/>
  <c r="Y25" i="18"/>
  <c r="X25" i="18"/>
  <c r="W25" i="18"/>
  <c r="V25" i="18"/>
  <c r="T25" i="18"/>
  <c r="S25" i="18"/>
  <c r="R25" i="18"/>
  <c r="Q25" i="18"/>
  <c r="O25" i="18"/>
  <c r="N25" i="18"/>
  <c r="M25" i="18"/>
  <c r="L25" i="18"/>
  <c r="J25" i="18"/>
  <c r="I25" i="18"/>
  <c r="H25" i="18"/>
  <c r="G25" i="18"/>
  <c r="E25" i="18"/>
  <c r="D25" i="18"/>
  <c r="C25" i="18"/>
  <c r="B25" i="18"/>
  <c r="AS24" i="18"/>
  <c r="AR24" i="18"/>
  <c r="AQ24" i="18"/>
  <c r="AP24" i="18"/>
  <c r="AN24" i="18"/>
  <c r="AM24" i="18"/>
  <c r="AL24" i="18"/>
  <c r="AK24" i="18"/>
  <c r="AI24" i="18"/>
  <c r="AH24" i="18"/>
  <c r="AG24" i="18"/>
  <c r="AF24" i="18"/>
  <c r="AD24" i="18"/>
  <c r="AC24" i="18"/>
  <c r="AB24" i="18"/>
  <c r="AA24" i="18"/>
  <c r="Y24" i="18"/>
  <c r="X24" i="18"/>
  <c r="W24" i="18"/>
  <c r="V24" i="18"/>
  <c r="T24" i="18"/>
  <c r="S24" i="18"/>
  <c r="R24" i="18"/>
  <c r="Q24" i="18"/>
  <c r="O24" i="18"/>
  <c r="N24" i="18"/>
  <c r="M24" i="18"/>
  <c r="L24" i="18"/>
  <c r="J24" i="18"/>
  <c r="I24" i="18"/>
  <c r="H24" i="18"/>
  <c r="G24" i="18"/>
  <c r="E24" i="18"/>
  <c r="D24" i="18"/>
  <c r="C24" i="18"/>
  <c r="B24" i="18"/>
  <c r="AS23" i="18"/>
  <c r="AR23" i="18"/>
  <c r="AQ23" i="18"/>
  <c r="AP23" i="18"/>
  <c r="AN23" i="18"/>
  <c r="AM23" i="18"/>
  <c r="AL23" i="18"/>
  <c r="AK23" i="18"/>
  <c r="AI23" i="18"/>
  <c r="AH23" i="18"/>
  <c r="AG23" i="18"/>
  <c r="AF23" i="18"/>
  <c r="AD23" i="18"/>
  <c r="AC23" i="18"/>
  <c r="AB23" i="18"/>
  <c r="AA23" i="18"/>
  <c r="Y23" i="18"/>
  <c r="X23" i="18"/>
  <c r="W23" i="18"/>
  <c r="V23" i="18"/>
  <c r="T23" i="18"/>
  <c r="S23" i="18"/>
  <c r="R23" i="18"/>
  <c r="Q23" i="18"/>
  <c r="O23" i="18"/>
  <c r="N23" i="18"/>
  <c r="M23" i="18"/>
  <c r="L23" i="18"/>
  <c r="J23" i="18"/>
  <c r="I23" i="18"/>
  <c r="H23" i="18"/>
  <c r="G23" i="18"/>
  <c r="E23" i="18"/>
  <c r="D23" i="18"/>
  <c r="C23" i="18"/>
  <c r="B23" i="18"/>
  <c r="AS22" i="18"/>
  <c r="AR22" i="18"/>
  <c r="AQ22" i="18"/>
  <c r="AP22" i="18"/>
  <c r="AN22" i="18"/>
  <c r="AM22" i="18"/>
  <c r="AL22" i="18"/>
  <c r="AK22" i="18"/>
  <c r="AI22" i="18"/>
  <c r="AH22" i="18"/>
  <c r="AG22" i="18"/>
  <c r="AF22" i="18"/>
  <c r="AD22" i="18"/>
  <c r="AC22" i="18"/>
  <c r="AB22" i="18"/>
  <c r="AA22" i="18"/>
  <c r="Y22" i="18"/>
  <c r="X22" i="18"/>
  <c r="W22" i="18"/>
  <c r="V22" i="18"/>
  <c r="T22" i="18"/>
  <c r="S22" i="18"/>
  <c r="R22" i="18"/>
  <c r="Q22" i="18"/>
  <c r="O22" i="18"/>
  <c r="N22" i="18"/>
  <c r="M22" i="18"/>
  <c r="L22" i="18"/>
  <c r="J22" i="18"/>
  <c r="I22" i="18"/>
  <c r="H22" i="18"/>
  <c r="G22" i="18"/>
  <c r="E22" i="18"/>
  <c r="D22" i="18"/>
  <c r="C22" i="18"/>
  <c r="B22" i="18"/>
  <c r="AS21" i="18"/>
  <c r="AR21" i="18"/>
  <c r="AQ21" i="18"/>
  <c r="AP21" i="18"/>
  <c r="AN21" i="18"/>
  <c r="AM21" i="18"/>
  <c r="AL21" i="18"/>
  <c r="AK21" i="18"/>
  <c r="AI21" i="18"/>
  <c r="AH21" i="18"/>
  <c r="AG21" i="18"/>
  <c r="AF21" i="18"/>
  <c r="AD21" i="18"/>
  <c r="AC21" i="18"/>
  <c r="AB21" i="18"/>
  <c r="AA21" i="18"/>
  <c r="Y21" i="18"/>
  <c r="X21" i="18"/>
  <c r="W21" i="18"/>
  <c r="V21" i="18"/>
  <c r="T21" i="18"/>
  <c r="S21" i="18"/>
  <c r="R21" i="18"/>
  <c r="Q21" i="18"/>
  <c r="O21" i="18"/>
  <c r="N21" i="18"/>
  <c r="M21" i="18"/>
  <c r="L21" i="18"/>
  <c r="J21" i="18"/>
  <c r="I21" i="18"/>
  <c r="H21" i="18"/>
  <c r="G21" i="18"/>
  <c r="E21" i="18"/>
  <c r="D21" i="18"/>
  <c r="C21" i="18"/>
  <c r="B21" i="18"/>
  <c r="AS20" i="18"/>
  <c r="AR20" i="18"/>
  <c r="AQ20" i="18"/>
  <c r="AP20" i="18"/>
  <c r="AN20" i="18"/>
  <c r="AM20" i="18"/>
  <c r="AL20" i="18"/>
  <c r="AK20" i="18"/>
  <c r="AI20" i="18"/>
  <c r="AH20" i="18"/>
  <c r="AG20" i="18"/>
  <c r="AF20" i="18"/>
  <c r="AD20" i="18"/>
  <c r="AC20" i="18"/>
  <c r="AB20" i="18"/>
  <c r="AA20" i="18"/>
  <c r="Y20" i="18"/>
  <c r="X20" i="18"/>
  <c r="W20" i="18"/>
  <c r="V20" i="18"/>
  <c r="T20" i="18"/>
  <c r="S20" i="18"/>
  <c r="R20" i="18"/>
  <c r="Q20" i="18"/>
  <c r="O20" i="18"/>
  <c r="N20" i="18"/>
  <c r="M20" i="18"/>
  <c r="L20" i="18"/>
  <c r="J20" i="18"/>
  <c r="I20" i="18"/>
  <c r="H20" i="18"/>
  <c r="G20" i="18"/>
  <c r="E20" i="18"/>
  <c r="D20" i="18"/>
  <c r="C20" i="18"/>
  <c r="B20" i="18"/>
  <c r="AS19" i="18"/>
  <c r="AR19" i="18"/>
  <c r="AQ19" i="18"/>
  <c r="AP19" i="18"/>
  <c r="AN19" i="18"/>
  <c r="AM19" i="18"/>
  <c r="AL19" i="18"/>
  <c r="AK19" i="18"/>
  <c r="AI19" i="18"/>
  <c r="AH19" i="18"/>
  <c r="AG19" i="18"/>
  <c r="AF19" i="18"/>
  <c r="AD19" i="18"/>
  <c r="AC19" i="18"/>
  <c r="AB19" i="18"/>
  <c r="AA19" i="18"/>
  <c r="Y19" i="18"/>
  <c r="X19" i="18"/>
  <c r="W19" i="18"/>
  <c r="V19" i="18"/>
  <c r="T19" i="18"/>
  <c r="S19" i="18"/>
  <c r="R19" i="18"/>
  <c r="Q19" i="18"/>
  <c r="O19" i="18"/>
  <c r="N19" i="18"/>
  <c r="M19" i="18"/>
  <c r="L19" i="18"/>
  <c r="J19" i="18"/>
  <c r="I19" i="18"/>
  <c r="H19" i="18"/>
  <c r="G19" i="18"/>
  <c r="E19" i="18"/>
  <c r="D19" i="18"/>
  <c r="C19" i="18"/>
  <c r="B19" i="18"/>
  <c r="AS18" i="18"/>
  <c r="AR18" i="18"/>
  <c r="AQ18" i="18"/>
  <c r="AP18" i="18"/>
  <c r="AN18" i="18"/>
  <c r="AM18" i="18"/>
  <c r="AL18" i="18"/>
  <c r="AK18" i="18"/>
  <c r="AI18" i="18"/>
  <c r="AH18" i="18"/>
  <c r="AG18" i="18"/>
  <c r="AF18" i="18"/>
  <c r="AD18" i="18"/>
  <c r="AC18" i="18"/>
  <c r="AB18" i="18"/>
  <c r="AA18" i="18"/>
  <c r="Y18" i="18"/>
  <c r="X18" i="18"/>
  <c r="W18" i="18"/>
  <c r="V18" i="18"/>
  <c r="T18" i="18"/>
  <c r="S18" i="18"/>
  <c r="R18" i="18"/>
  <c r="Q18" i="18"/>
  <c r="O18" i="18"/>
  <c r="N18" i="18"/>
  <c r="M18" i="18"/>
  <c r="L18" i="18"/>
  <c r="J18" i="18"/>
  <c r="I18" i="18"/>
  <c r="H18" i="18"/>
  <c r="G18" i="18"/>
  <c r="E18" i="18"/>
  <c r="D18" i="18"/>
  <c r="C18" i="18"/>
  <c r="B18" i="18"/>
  <c r="AS17" i="18"/>
  <c r="AR17" i="18"/>
  <c r="AQ17" i="18"/>
  <c r="AP17" i="18"/>
  <c r="AN17" i="18"/>
  <c r="AM17" i="18"/>
  <c r="AL17" i="18"/>
  <c r="AK17" i="18"/>
  <c r="AI17" i="18"/>
  <c r="AH17" i="18"/>
  <c r="AG17" i="18"/>
  <c r="AF17" i="18"/>
  <c r="AD17" i="18"/>
  <c r="AC17" i="18"/>
  <c r="AB17" i="18"/>
  <c r="AA17" i="18"/>
  <c r="Y17" i="18"/>
  <c r="X17" i="18"/>
  <c r="W17" i="18"/>
  <c r="V17" i="18"/>
  <c r="T17" i="18"/>
  <c r="S17" i="18"/>
  <c r="R17" i="18"/>
  <c r="Q17" i="18"/>
  <c r="O17" i="18"/>
  <c r="N17" i="18"/>
  <c r="M17" i="18"/>
  <c r="L17" i="18"/>
  <c r="J17" i="18"/>
  <c r="I17" i="18"/>
  <c r="H17" i="18"/>
  <c r="G17" i="18"/>
  <c r="E17" i="18"/>
  <c r="D17" i="18"/>
  <c r="C17" i="18"/>
  <c r="B17" i="18"/>
  <c r="AS16" i="18"/>
  <c r="AR16" i="18"/>
  <c r="AQ16" i="18"/>
  <c r="AP16" i="18"/>
  <c r="AN16" i="18"/>
  <c r="AM16" i="18"/>
  <c r="AL16" i="18"/>
  <c r="AK16" i="18"/>
  <c r="AI16" i="18"/>
  <c r="AH16" i="18"/>
  <c r="AG16" i="18"/>
  <c r="AF16" i="18"/>
  <c r="AD16" i="18"/>
  <c r="AC16" i="18"/>
  <c r="AB16" i="18"/>
  <c r="AA16" i="18"/>
  <c r="Y16" i="18"/>
  <c r="X16" i="18"/>
  <c r="W16" i="18"/>
  <c r="V16" i="18"/>
  <c r="T16" i="18"/>
  <c r="S16" i="18"/>
  <c r="R16" i="18"/>
  <c r="Q16" i="18"/>
  <c r="O16" i="18"/>
  <c r="N16" i="18"/>
  <c r="M16" i="18"/>
  <c r="L16" i="18"/>
  <c r="J16" i="18"/>
  <c r="I16" i="18"/>
  <c r="H16" i="18"/>
  <c r="G16" i="18"/>
  <c r="E16" i="18"/>
  <c r="D16" i="18"/>
  <c r="C16" i="18"/>
  <c r="B16" i="18"/>
  <c r="AS15" i="18"/>
  <c r="AR15" i="18"/>
  <c r="AQ15" i="18"/>
  <c r="AP15" i="18"/>
  <c r="AN15" i="18"/>
  <c r="AM15" i="18"/>
  <c r="AL15" i="18"/>
  <c r="AK15" i="18"/>
  <c r="AI15" i="18"/>
  <c r="AH15" i="18"/>
  <c r="AG15" i="18"/>
  <c r="AF15" i="18"/>
  <c r="AD15" i="18"/>
  <c r="AC15" i="18"/>
  <c r="AB15" i="18"/>
  <c r="AA15" i="18"/>
  <c r="Y15" i="18"/>
  <c r="X15" i="18"/>
  <c r="W15" i="18"/>
  <c r="V15" i="18"/>
  <c r="T15" i="18"/>
  <c r="S15" i="18"/>
  <c r="R15" i="18"/>
  <c r="Q15" i="18"/>
  <c r="O15" i="18"/>
  <c r="N15" i="18"/>
  <c r="M15" i="18"/>
  <c r="L15" i="18"/>
  <c r="J15" i="18"/>
  <c r="I15" i="18"/>
  <c r="H15" i="18"/>
  <c r="G15" i="18"/>
  <c r="E15" i="18"/>
  <c r="D15" i="18"/>
  <c r="C15" i="18"/>
  <c r="B15" i="18"/>
  <c r="AS14" i="18"/>
  <c r="AR14" i="18"/>
  <c r="AQ14" i="18"/>
  <c r="AP14" i="18"/>
  <c r="AN14" i="18"/>
  <c r="AM14" i="18"/>
  <c r="AL14" i="18"/>
  <c r="AK14" i="18"/>
  <c r="AI14" i="18"/>
  <c r="AH14" i="18"/>
  <c r="AG14" i="18"/>
  <c r="AF14" i="18"/>
  <c r="AD14" i="18"/>
  <c r="AC14" i="18"/>
  <c r="AB14" i="18"/>
  <c r="AA14" i="18"/>
  <c r="Y14" i="18"/>
  <c r="X14" i="18"/>
  <c r="W14" i="18"/>
  <c r="V14" i="18"/>
  <c r="T14" i="18"/>
  <c r="S14" i="18"/>
  <c r="R14" i="18"/>
  <c r="Q14" i="18"/>
  <c r="O14" i="18"/>
  <c r="N14" i="18"/>
  <c r="M14" i="18"/>
  <c r="L14" i="18"/>
  <c r="J14" i="18"/>
  <c r="I14" i="18"/>
  <c r="H14" i="18"/>
  <c r="G14" i="18"/>
  <c r="E14" i="18"/>
  <c r="D14" i="18"/>
  <c r="C14" i="18"/>
  <c r="B14" i="18"/>
  <c r="AS13" i="18"/>
  <c r="AR13" i="18"/>
  <c r="AQ13" i="18"/>
  <c r="AP13" i="18"/>
  <c r="AN13" i="18"/>
  <c r="AM13" i="18"/>
  <c r="AL13" i="18"/>
  <c r="AK13" i="18"/>
  <c r="AI13" i="18"/>
  <c r="AH13" i="18"/>
  <c r="AG13" i="18"/>
  <c r="AF13" i="18"/>
  <c r="AD13" i="18"/>
  <c r="AC13" i="18"/>
  <c r="AB13" i="18"/>
  <c r="AA13" i="18"/>
  <c r="Y13" i="18"/>
  <c r="X13" i="18"/>
  <c r="W13" i="18"/>
  <c r="V13" i="18"/>
  <c r="T13" i="18"/>
  <c r="S13" i="18"/>
  <c r="R13" i="18"/>
  <c r="Q13" i="18"/>
  <c r="O13" i="18"/>
  <c r="N13" i="18"/>
  <c r="M13" i="18"/>
  <c r="L13" i="18"/>
  <c r="J13" i="18"/>
  <c r="I13" i="18"/>
  <c r="H13" i="18"/>
  <c r="G13" i="18"/>
  <c r="E13" i="18"/>
  <c r="D13" i="18"/>
  <c r="C13" i="18"/>
  <c r="B13" i="18"/>
  <c r="AS12" i="18"/>
  <c r="AR12" i="18"/>
  <c r="AQ12" i="18"/>
  <c r="AP12" i="18"/>
  <c r="AN12" i="18"/>
  <c r="AM12" i="18"/>
  <c r="AL12" i="18"/>
  <c r="AK12" i="18"/>
  <c r="AI12" i="18"/>
  <c r="AH12" i="18"/>
  <c r="AG12" i="18"/>
  <c r="AF12" i="18"/>
  <c r="AD12" i="18"/>
  <c r="AC12" i="18"/>
  <c r="AB12" i="18"/>
  <c r="AA12" i="18"/>
  <c r="Y12" i="18"/>
  <c r="X12" i="18"/>
  <c r="W12" i="18"/>
  <c r="V12" i="18"/>
  <c r="T12" i="18"/>
  <c r="S12" i="18"/>
  <c r="R12" i="18"/>
  <c r="Q12" i="18"/>
  <c r="O12" i="18"/>
  <c r="N12" i="18"/>
  <c r="M12" i="18"/>
  <c r="L12" i="18"/>
  <c r="J12" i="18"/>
  <c r="I12" i="18"/>
  <c r="H12" i="18"/>
  <c r="G12" i="18"/>
  <c r="E12" i="18"/>
  <c r="D12" i="18"/>
  <c r="C12" i="18"/>
  <c r="B12" i="18"/>
  <c r="AS11" i="18"/>
  <c r="AR11" i="18"/>
  <c r="AQ11" i="18"/>
  <c r="AP11" i="18"/>
  <c r="AN11" i="18"/>
  <c r="AM11" i="18"/>
  <c r="AL11" i="18"/>
  <c r="AK11" i="18"/>
  <c r="AI11" i="18"/>
  <c r="AH11" i="18"/>
  <c r="AG11" i="18"/>
  <c r="AF11" i="18"/>
  <c r="AD11" i="18"/>
  <c r="AC11" i="18"/>
  <c r="AB11" i="18"/>
  <c r="AA11" i="18"/>
  <c r="Y11" i="18"/>
  <c r="X11" i="18"/>
  <c r="W11" i="18"/>
  <c r="V11" i="18"/>
  <c r="T11" i="18"/>
  <c r="S11" i="18"/>
  <c r="R11" i="18"/>
  <c r="Q11" i="18"/>
  <c r="O11" i="18"/>
  <c r="N11" i="18"/>
  <c r="M11" i="18"/>
  <c r="L11" i="18"/>
  <c r="J11" i="18"/>
  <c r="I11" i="18"/>
  <c r="H11" i="18"/>
  <c r="G11" i="18"/>
  <c r="E11" i="18"/>
  <c r="D11" i="18"/>
  <c r="C11" i="18"/>
  <c r="B11" i="18"/>
  <c r="AS10" i="18"/>
  <c r="AR10" i="18"/>
  <c r="AQ10" i="18"/>
  <c r="AP10" i="18"/>
  <c r="AN10" i="18"/>
  <c r="AM10" i="18"/>
  <c r="AL10" i="18"/>
  <c r="AK10" i="18"/>
  <c r="AI10" i="18"/>
  <c r="AH10" i="18"/>
  <c r="AG10" i="18"/>
  <c r="AF10" i="18"/>
  <c r="AD10" i="18"/>
  <c r="AC10" i="18"/>
  <c r="AB10" i="18"/>
  <c r="AA10" i="18"/>
  <c r="Y10" i="18"/>
  <c r="X10" i="18"/>
  <c r="W10" i="18"/>
  <c r="V10" i="18"/>
  <c r="T10" i="18"/>
  <c r="S10" i="18"/>
  <c r="R10" i="18"/>
  <c r="Q10" i="18"/>
  <c r="O10" i="18"/>
  <c r="N10" i="18"/>
  <c r="M10" i="18"/>
  <c r="L10" i="18"/>
  <c r="J10" i="18"/>
  <c r="I10" i="18"/>
  <c r="H10" i="18"/>
  <c r="G10" i="18"/>
  <c r="E10" i="18"/>
  <c r="D10" i="18"/>
  <c r="C10" i="18"/>
  <c r="B10" i="18"/>
  <c r="AS9" i="18"/>
  <c r="AR9" i="18"/>
  <c r="AQ9" i="18"/>
  <c r="AP9" i="18"/>
  <c r="AN9" i="18"/>
  <c r="AM9" i="18"/>
  <c r="AL9" i="18"/>
  <c r="AK9" i="18"/>
  <c r="AI9" i="18"/>
  <c r="AH9" i="18"/>
  <c r="AG9" i="18"/>
  <c r="AF9" i="18"/>
  <c r="AD9" i="18"/>
  <c r="AC9" i="18"/>
  <c r="AB9" i="18"/>
  <c r="AA9" i="18"/>
  <c r="Y9" i="18"/>
  <c r="X9" i="18"/>
  <c r="W9" i="18"/>
  <c r="V9" i="18"/>
  <c r="T9" i="18"/>
  <c r="S9" i="18"/>
  <c r="R9" i="18"/>
  <c r="Q9" i="18"/>
  <c r="O9" i="18"/>
  <c r="N9" i="18"/>
  <c r="M9" i="18"/>
  <c r="L9" i="18"/>
  <c r="J9" i="18"/>
  <c r="I9" i="18"/>
  <c r="H9" i="18"/>
  <c r="G9" i="18"/>
  <c r="E9" i="18"/>
  <c r="D9" i="18"/>
  <c r="C9" i="18"/>
  <c r="B9" i="18"/>
  <c r="AS8" i="18"/>
  <c r="AR8" i="18"/>
  <c r="AQ8" i="18"/>
  <c r="AP8" i="18"/>
  <c r="AN8" i="18"/>
  <c r="AM8" i="18"/>
  <c r="AL8" i="18"/>
  <c r="AK8" i="18"/>
  <c r="AI8" i="18"/>
  <c r="AH8" i="18"/>
  <c r="AG8" i="18"/>
  <c r="AF8" i="18"/>
  <c r="AD8" i="18"/>
  <c r="AC8" i="18"/>
  <c r="AB8" i="18"/>
  <c r="AA8" i="18"/>
  <c r="Y8" i="18"/>
  <c r="X8" i="18"/>
  <c r="W8" i="18"/>
  <c r="V8" i="18"/>
  <c r="T8" i="18"/>
  <c r="S8" i="18"/>
  <c r="R8" i="18"/>
  <c r="Q8" i="18"/>
  <c r="O8" i="18"/>
  <c r="N8" i="18"/>
  <c r="M8" i="18"/>
  <c r="L8" i="18"/>
  <c r="J8" i="18"/>
  <c r="I8" i="18"/>
  <c r="H8" i="18"/>
  <c r="G8" i="18"/>
  <c r="E8" i="18"/>
  <c r="D8" i="18"/>
  <c r="C8" i="18"/>
  <c r="B8" i="18"/>
  <c r="AS7" i="18"/>
  <c r="AR7" i="18"/>
  <c r="AQ7" i="18"/>
  <c r="AP7" i="18"/>
  <c r="AN7" i="18"/>
  <c r="AM7" i="18"/>
  <c r="AL7" i="18"/>
  <c r="AK7" i="18"/>
  <c r="AI7" i="18"/>
  <c r="AH7" i="18"/>
  <c r="AG7" i="18"/>
  <c r="AF7" i="18"/>
  <c r="AD7" i="18"/>
  <c r="AC7" i="18"/>
  <c r="AB7" i="18"/>
  <c r="AA7" i="18"/>
  <c r="Y7" i="18"/>
  <c r="X7" i="18"/>
  <c r="W7" i="18"/>
  <c r="V7" i="18"/>
  <c r="T7" i="18"/>
  <c r="S7" i="18"/>
  <c r="R7" i="18"/>
  <c r="Q7" i="18"/>
  <c r="O7" i="18"/>
  <c r="N7" i="18"/>
  <c r="M7" i="18"/>
  <c r="L7" i="18"/>
  <c r="J7" i="18"/>
  <c r="I7" i="18"/>
  <c r="H7" i="18"/>
  <c r="G7" i="18"/>
  <c r="E7" i="18"/>
  <c r="D7" i="18"/>
  <c r="C7" i="18"/>
  <c r="B7" i="18"/>
  <c r="AS6" i="18"/>
  <c r="AR6" i="18"/>
  <c r="AQ6" i="18"/>
  <c r="AP6" i="18"/>
  <c r="AN6" i="18"/>
  <c r="AM6" i="18"/>
  <c r="AL6" i="18"/>
  <c r="AK6" i="18"/>
  <c r="AI6" i="18"/>
  <c r="AH6" i="18"/>
  <c r="AG6" i="18"/>
  <c r="AF6" i="18"/>
  <c r="AD6" i="18"/>
  <c r="AC6" i="18"/>
  <c r="AB6" i="18"/>
  <c r="AA6" i="18"/>
  <c r="Y6" i="18"/>
  <c r="X6" i="18"/>
  <c r="W6" i="18"/>
  <c r="V6" i="18"/>
  <c r="T6" i="18"/>
  <c r="S6" i="18"/>
  <c r="R6" i="18"/>
  <c r="Q6" i="18"/>
  <c r="O6" i="18"/>
  <c r="N6" i="18"/>
  <c r="M6" i="18"/>
  <c r="L6" i="18"/>
  <c r="J6" i="18"/>
  <c r="I6" i="18"/>
  <c r="H6" i="18"/>
  <c r="G6" i="18"/>
  <c r="E6" i="18"/>
  <c r="D6" i="18"/>
  <c r="C6" i="18"/>
  <c r="B6" i="18"/>
  <c r="AS5" i="18"/>
  <c r="AR5" i="18"/>
  <c r="AQ5" i="18"/>
  <c r="AP5" i="18"/>
  <c r="AN5" i="18"/>
  <c r="AM5" i="18"/>
  <c r="AL5" i="18"/>
  <c r="AK5" i="18"/>
  <c r="AI5" i="18"/>
  <c r="AH5" i="18"/>
  <c r="AG5" i="18"/>
  <c r="AF5" i="18"/>
  <c r="AD5" i="18"/>
  <c r="AC5" i="18"/>
  <c r="AB5" i="18"/>
  <c r="AA5" i="18"/>
  <c r="Y5" i="18"/>
  <c r="X5" i="18"/>
  <c r="W5" i="18"/>
  <c r="V5" i="18"/>
  <c r="T5" i="18"/>
  <c r="S5" i="18"/>
  <c r="R5" i="18"/>
  <c r="Q5" i="18"/>
  <c r="O5" i="18"/>
  <c r="N5" i="18"/>
  <c r="M5" i="18"/>
  <c r="L5" i="18"/>
  <c r="J5" i="18"/>
  <c r="I5" i="18"/>
  <c r="H5" i="18"/>
  <c r="G5" i="18"/>
  <c r="E5" i="18"/>
  <c r="D5" i="18"/>
  <c r="C5" i="18"/>
  <c r="B5" i="18"/>
  <c r="AS4" i="18"/>
  <c r="AR4" i="18"/>
  <c r="AQ4" i="18"/>
  <c r="AP4" i="18"/>
  <c r="AN4" i="18"/>
  <c r="AM4" i="18"/>
  <c r="AL4" i="18"/>
  <c r="AK4" i="18"/>
  <c r="AI4" i="18"/>
  <c r="AH4" i="18"/>
  <c r="AG4" i="18"/>
  <c r="AF4" i="18"/>
  <c r="AD4" i="18"/>
  <c r="AC4" i="18"/>
  <c r="AB4" i="18"/>
  <c r="AA4" i="18"/>
  <c r="Y4" i="18"/>
  <c r="X4" i="18"/>
  <c r="W4" i="18"/>
  <c r="V4" i="18"/>
  <c r="T4" i="18"/>
  <c r="S4" i="18"/>
  <c r="R4" i="18"/>
  <c r="Q4" i="18"/>
  <c r="O4" i="18"/>
  <c r="N4" i="18"/>
  <c r="M4" i="18"/>
  <c r="L4" i="18"/>
  <c r="J4" i="18"/>
  <c r="I4" i="18"/>
  <c r="H4" i="18"/>
  <c r="G4" i="18"/>
  <c r="E4" i="18"/>
  <c r="D4" i="18"/>
  <c r="C4" i="18"/>
  <c r="B4" i="18"/>
  <c r="AS3" i="18"/>
  <c r="AR3" i="18"/>
  <c r="AQ3" i="18"/>
  <c r="AP3" i="18"/>
  <c r="AN3" i="18"/>
  <c r="AM3" i="18"/>
  <c r="AL3" i="18"/>
  <c r="AK3" i="18"/>
  <c r="AI3" i="18"/>
  <c r="AH3" i="18"/>
  <c r="AG3" i="18"/>
  <c r="AF3" i="18"/>
  <c r="AD3" i="18"/>
  <c r="AC3" i="18"/>
  <c r="AB3" i="18"/>
  <c r="AA3" i="18"/>
  <c r="Y3" i="18"/>
  <c r="X3" i="18"/>
  <c r="W3" i="18"/>
  <c r="V3" i="18"/>
  <c r="T3" i="18"/>
  <c r="S3" i="18"/>
  <c r="R3" i="18"/>
  <c r="Q3" i="18"/>
  <c r="O3" i="18"/>
  <c r="N3" i="18"/>
  <c r="M3" i="18"/>
  <c r="L3" i="18"/>
  <c r="J3" i="18"/>
  <c r="I3" i="18"/>
  <c r="H3" i="18"/>
  <c r="G3" i="18"/>
  <c r="E3" i="18"/>
  <c r="D3" i="18"/>
  <c r="C3" i="18"/>
  <c r="B3" i="18"/>
  <c r="AS2" i="18"/>
  <c r="AR2" i="18"/>
  <c r="AQ2" i="18"/>
  <c r="AP2" i="18"/>
  <c r="AN2" i="18"/>
  <c r="AM2" i="18"/>
  <c r="AL2" i="18"/>
  <c r="AK2" i="18"/>
  <c r="AI2" i="18"/>
  <c r="AH2" i="18"/>
  <c r="AG2" i="18"/>
  <c r="AF2" i="18"/>
  <c r="AD2" i="18"/>
  <c r="AC2" i="18"/>
  <c r="AB2" i="18"/>
  <c r="AA2" i="18"/>
  <c r="Y2" i="18"/>
  <c r="X2" i="18"/>
  <c r="W2" i="18"/>
  <c r="V2" i="18"/>
  <c r="T2" i="18"/>
  <c r="S2" i="18"/>
  <c r="R2" i="18"/>
  <c r="Q2" i="18"/>
  <c r="O2" i="18"/>
  <c r="N2" i="18"/>
  <c r="M2" i="18"/>
  <c r="L2" i="18"/>
  <c r="J2" i="18"/>
  <c r="I2" i="18"/>
  <c r="H2" i="18"/>
  <c r="G2" i="18"/>
  <c r="E2" i="18"/>
  <c r="D2" i="18"/>
  <c r="C2" i="18"/>
  <c r="B2" i="18"/>
  <c r="AS38" i="8"/>
  <c r="AR38" i="8"/>
  <c r="AQ38" i="8"/>
  <c r="AP38" i="8"/>
  <c r="AS37" i="8"/>
  <c r="AR37" i="8"/>
  <c r="AQ37" i="8"/>
  <c r="AP37" i="8"/>
  <c r="AS36" i="8"/>
  <c r="AR36" i="8"/>
  <c r="AQ36" i="8"/>
  <c r="AP36" i="8"/>
  <c r="AS35" i="8"/>
  <c r="AR35" i="8"/>
  <c r="AQ35" i="8"/>
  <c r="AP35" i="8"/>
  <c r="AS34" i="8"/>
  <c r="AR34" i="8"/>
  <c r="AQ34" i="8"/>
  <c r="AP34" i="8"/>
  <c r="AS33" i="8"/>
  <c r="AR33" i="8"/>
  <c r="AQ33" i="8"/>
  <c r="AP33" i="8"/>
  <c r="AS32" i="8"/>
  <c r="AR32" i="8"/>
  <c r="AQ32" i="8"/>
  <c r="AP32" i="8"/>
  <c r="AS31" i="8"/>
  <c r="AR31" i="8"/>
  <c r="AQ31" i="8"/>
  <c r="AP31" i="8"/>
  <c r="AS30" i="8"/>
  <c r="AR30" i="8"/>
  <c r="AQ30" i="8"/>
  <c r="AP30" i="8"/>
  <c r="AS29" i="8"/>
  <c r="AR29" i="8"/>
  <c r="AQ29" i="8"/>
  <c r="AP29" i="8"/>
  <c r="AS28" i="8"/>
  <c r="AR28" i="8"/>
  <c r="AQ28" i="8"/>
  <c r="AP28" i="8"/>
  <c r="AS27" i="8"/>
  <c r="AR27" i="8"/>
  <c r="AQ27" i="8"/>
  <c r="AP27" i="8"/>
  <c r="AS26" i="8"/>
  <c r="AR26" i="8"/>
  <c r="AQ26" i="8"/>
  <c r="AP26" i="8"/>
  <c r="AS25" i="8"/>
  <c r="AR25" i="8"/>
  <c r="AQ25" i="8"/>
  <c r="AP25" i="8"/>
  <c r="AS24" i="8"/>
  <c r="AR24" i="8"/>
  <c r="AQ24" i="8"/>
  <c r="AP24" i="8"/>
  <c r="AS23" i="8"/>
  <c r="AR23" i="8"/>
  <c r="AQ23" i="8"/>
  <c r="AP23" i="8"/>
  <c r="AS22" i="8"/>
  <c r="AR22" i="8"/>
  <c r="AQ22" i="8"/>
  <c r="AP22" i="8"/>
  <c r="AS21" i="8"/>
  <c r="AR21" i="8"/>
  <c r="AQ21" i="8"/>
  <c r="AP21" i="8"/>
  <c r="AS20" i="8"/>
  <c r="AR20" i="8"/>
  <c r="AQ20" i="8"/>
  <c r="AP20" i="8"/>
  <c r="AS19" i="8"/>
  <c r="AR19" i="8"/>
  <c r="AQ19" i="8"/>
  <c r="AP19" i="8"/>
  <c r="AS18" i="8"/>
  <c r="AR18" i="8"/>
  <c r="AQ18" i="8"/>
  <c r="AP18" i="8"/>
  <c r="AS17" i="8"/>
  <c r="AR17" i="8"/>
  <c r="AQ17" i="8"/>
  <c r="AP17" i="8"/>
  <c r="AS16" i="8"/>
  <c r="AR16" i="8"/>
  <c r="AQ16" i="8"/>
  <c r="AP16" i="8"/>
  <c r="AS15" i="8"/>
  <c r="AR15" i="8"/>
  <c r="AQ15" i="8"/>
  <c r="AP15" i="8"/>
  <c r="AS14" i="8"/>
  <c r="AR14" i="8"/>
  <c r="AQ14" i="8"/>
  <c r="AP14" i="8"/>
  <c r="AS13" i="8"/>
  <c r="AR13" i="8"/>
  <c r="AQ13" i="8"/>
  <c r="AP13" i="8"/>
  <c r="AS12" i="8"/>
  <c r="AR12" i="8"/>
  <c r="AQ12" i="8"/>
  <c r="AP12" i="8"/>
  <c r="AS11" i="8"/>
  <c r="AR11" i="8"/>
  <c r="AQ11" i="8"/>
  <c r="AP11" i="8"/>
  <c r="AS10" i="8"/>
  <c r="AR10" i="8"/>
  <c r="AQ10" i="8"/>
  <c r="AP10" i="8"/>
  <c r="AS9" i="8"/>
  <c r="AR9" i="8"/>
  <c r="AQ9" i="8"/>
  <c r="AP9" i="8"/>
  <c r="AS8" i="8"/>
  <c r="AR8" i="8"/>
  <c r="AQ8" i="8"/>
  <c r="AP8" i="8"/>
  <c r="AS7" i="8"/>
  <c r="AR7" i="8"/>
  <c r="AQ7" i="8"/>
  <c r="AP7" i="8"/>
  <c r="AS6" i="8"/>
  <c r="AR6" i="8"/>
  <c r="AQ6" i="8"/>
  <c r="AP6" i="8"/>
  <c r="AS5" i="8"/>
  <c r="AR5" i="8"/>
  <c r="AQ5" i="8"/>
  <c r="AP5" i="8"/>
  <c r="AS4" i="8"/>
  <c r="AR4" i="8"/>
  <c r="AQ4" i="8"/>
  <c r="AP4" i="8"/>
  <c r="AS3" i="8"/>
  <c r="AR3" i="8"/>
  <c r="AQ3" i="8"/>
  <c r="AP3" i="8"/>
  <c r="AS2" i="8"/>
  <c r="AR2" i="8"/>
  <c r="AQ2" i="8"/>
  <c r="AP2" i="8"/>
  <c r="AN38" i="8"/>
  <c r="AM38" i="8"/>
  <c r="AL38" i="8"/>
  <c r="AK38" i="8"/>
  <c r="AN37" i="8"/>
  <c r="AM37" i="8"/>
  <c r="AL37" i="8"/>
  <c r="AK37" i="8"/>
  <c r="AN36" i="8"/>
  <c r="AM36" i="8"/>
  <c r="AL36" i="8"/>
  <c r="AK36" i="8"/>
  <c r="AN35" i="8"/>
  <c r="AM35" i="8"/>
  <c r="AL35" i="8"/>
  <c r="AK35" i="8"/>
  <c r="AN34" i="8"/>
  <c r="AM34" i="8"/>
  <c r="AL34" i="8"/>
  <c r="AK34" i="8"/>
  <c r="AN33" i="8"/>
  <c r="AM33" i="8"/>
  <c r="AL33" i="8"/>
  <c r="AK33" i="8"/>
  <c r="AN32" i="8"/>
  <c r="AM32" i="8"/>
  <c r="AL32" i="8"/>
  <c r="AK32" i="8"/>
  <c r="AN31" i="8"/>
  <c r="AM31" i="8"/>
  <c r="AL31" i="8"/>
  <c r="AK31" i="8"/>
  <c r="AN30" i="8"/>
  <c r="AM30" i="8"/>
  <c r="AL30" i="8"/>
  <c r="AK30" i="8"/>
  <c r="AN29" i="8"/>
  <c r="AM29" i="8"/>
  <c r="AL29" i="8"/>
  <c r="AK29" i="8"/>
  <c r="AN28" i="8"/>
  <c r="AM28" i="8"/>
  <c r="AL28" i="8"/>
  <c r="AK28" i="8"/>
  <c r="AN27" i="8"/>
  <c r="AM27" i="8"/>
  <c r="AL27" i="8"/>
  <c r="AK27" i="8"/>
  <c r="AN26" i="8"/>
  <c r="AM26" i="8"/>
  <c r="AL26" i="8"/>
  <c r="AK26" i="8"/>
  <c r="AN25" i="8"/>
  <c r="AM25" i="8"/>
  <c r="AL25" i="8"/>
  <c r="AK25" i="8"/>
  <c r="AN24" i="8"/>
  <c r="AM24" i="8"/>
  <c r="AL24" i="8"/>
  <c r="AK24" i="8"/>
  <c r="AN23" i="8"/>
  <c r="AM23" i="8"/>
  <c r="AL23" i="8"/>
  <c r="AK23" i="8"/>
  <c r="AN22" i="8"/>
  <c r="AM22" i="8"/>
  <c r="AL22" i="8"/>
  <c r="AK22" i="8"/>
  <c r="AN21" i="8"/>
  <c r="AM21" i="8"/>
  <c r="AL21" i="8"/>
  <c r="AK21" i="8"/>
  <c r="AN20" i="8"/>
  <c r="AM20" i="8"/>
  <c r="AL20" i="8"/>
  <c r="AK20" i="8"/>
  <c r="AN19" i="8"/>
  <c r="AM19" i="8"/>
  <c r="AL19" i="8"/>
  <c r="AK19" i="8"/>
  <c r="AN18" i="8"/>
  <c r="AM18" i="8"/>
  <c r="AL18" i="8"/>
  <c r="AK18" i="8"/>
  <c r="AN17" i="8"/>
  <c r="AM17" i="8"/>
  <c r="AL17" i="8"/>
  <c r="AK17" i="8"/>
  <c r="AN16" i="8"/>
  <c r="AM16" i="8"/>
  <c r="AL16" i="8"/>
  <c r="AK16" i="8"/>
  <c r="AN15" i="8"/>
  <c r="AM15" i="8"/>
  <c r="AL15" i="8"/>
  <c r="AK15" i="8"/>
  <c r="AN14" i="8"/>
  <c r="AM14" i="8"/>
  <c r="AL14" i="8"/>
  <c r="AK14" i="8"/>
  <c r="AN13" i="8"/>
  <c r="AM13" i="8"/>
  <c r="AL13" i="8"/>
  <c r="AK13" i="8"/>
  <c r="AN12" i="8"/>
  <c r="AM12" i="8"/>
  <c r="AL12" i="8"/>
  <c r="AK12" i="8"/>
  <c r="AN11" i="8"/>
  <c r="AM11" i="8"/>
  <c r="AL11" i="8"/>
  <c r="AK11" i="8"/>
  <c r="AN10" i="8"/>
  <c r="AM10" i="8"/>
  <c r="AL10" i="8"/>
  <c r="AK10" i="8"/>
  <c r="AN9" i="8"/>
  <c r="AM9" i="8"/>
  <c r="AL9" i="8"/>
  <c r="AK9" i="8"/>
  <c r="AN8" i="8"/>
  <c r="AM8" i="8"/>
  <c r="AL8" i="8"/>
  <c r="AK8" i="8"/>
  <c r="AN7" i="8"/>
  <c r="AM7" i="8"/>
  <c r="AL7" i="8"/>
  <c r="AK7" i="8"/>
  <c r="AN6" i="8"/>
  <c r="AM6" i="8"/>
  <c r="AL6" i="8"/>
  <c r="AK6" i="8"/>
  <c r="AN5" i="8"/>
  <c r="AM5" i="8"/>
  <c r="AL5" i="8"/>
  <c r="AK5" i="8"/>
  <c r="AN4" i="8"/>
  <c r="AM4" i="8"/>
  <c r="AL4" i="8"/>
  <c r="AK4" i="8"/>
  <c r="AN3" i="8"/>
  <c r="AM3" i="8"/>
  <c r="AL3" i="8"/>
  <c r="AK3" i="8"/>
  <c r="AN2" i="8"/>
  <c r="AM2" i="8"/>
  <c r="AL2" i="8"/>
  <c r="AK2" i="8"/>
  <c r="AI38" i="8"/>
  <c r="AH38" i="8"/>
  <c r="AG38" i="8"/>
  <c r="AF38" i="8"/>
  <c r="AI37" i="8"/>
  <c r="AH37" i="8"/>
  <c r="AG37" i="8"/>
  <c r="AF37" i="8"/>
  <c r="AI36" i="8"/>
  <c r="AH36" i="8"/>
  <c r="AG36" i="8"/>
  <c r="AF36" i="8"/>
  <c r="AI35" i="8"/>
  <c r="AH35" i="8"/>
  <c r="AG35" i="8"/>
  <c r="AF35" i="8"/>
  <c r="AI34" i="8"/>
  <c r="AH34" i="8"/>
  <c r="AG34" i="8"/>
  <c r="AF34" i="8"/>
  <c r="AI33" i="8"/>
  <c r="AH33" i="8"/>
  <c r="AG33" i="8"/>
  <c r="AF33" i="8"/>
  <c r="AI32" i="8"/>
  <c r="AH32" i="8"/>
  <c r="AG32" i="8"/>
  <c r="AF32" i="8"/>
  <c r="AI31" i="8"/>
  <c r="AH31" i="8"/>
  <c r="AG31" i="8"/>
  <c r="AF31" i="8"/>
  <c r="AI30" i="8"/>
  <c r="AH30" i="8"/>
  <c r="AG30" i="8"/>
  <c r="AF30" i="8"/>
  <c r="AI29" i="8"/>
  <c r="AH29" i="8"/>
  <c r="AG29" i="8"/>
  <c r="AF29" i="8"/>
  <c r="AI28" i="8"/>
  <c r="AH28" i="8"/>
  <c r="AG28" i="8"/>
  <c r="AF28" i="8"/>
  <c r="AI27" i="8"/>
  <c r="AH27" i="8"/>
  <c r="AG27" i="8"/>
  <c r="AF27" i="8"/>
  <c r="AI26" i="8"/>
  <c r="AH26" i="8"/>
  <c r="AG26" i="8"/>
  <c r="AF26" i="8"/>
  <c r="AI25" i="8"/>
  <c r="AH25" i="8"/>
  <c r="AG25" i="8"/>
  <c r="AF25" i="8"/>
  <c r="AI24" i="8"/>
  <c r="AH24" i="8"/>
  <c r="AG24" i="8"/>
  <c r="AF24" i="8"/>
  <c r="AI23" i="8"/>
  <c r="AH23" i="8"/>
  <c r="AG23" i="8"/>
  <c r="AF23" i="8"/>
  <c r="AI22" i="8"/>
  <c r="AH22" i="8"/>
  <c r="AG22" i="8"/>
  <c r="AF22" i="8"/>
  <c r="AI21" i="8"/>
  <c r="AH21" i="8"/>
  <c r="AG21" i="8"/>
  <c r="AF21" i="8"/>
  <c r="AI20" i="8"/>
  <c r="AH20" i="8"/>
  <c r="AG20" i="8"/>
  <c r="AF20" i="8"/>
  <c r="AI19" i="8"/>
  <c r="AH19" i="8"/>
  <c r="AG19" i="8"/>
  <c r="AF19" i="8"/>
  <c r="AI18" i="8"/>
  <c r="AH18" i="8"/>
  <c r="AG18" i="8"/>
  <c r="AF18" i="8"/>
  <c r="AI17" i="8"/>
  <c r="AH17" i="8"/>
  <c r="AG17" i="8"/>
  <c r="AF17" i="8"/>
  <c r="AI16" i="8"/>
  <c r="AH16" i="8"/>
  <c r="AG16" i="8"/>
  <c r="AF16" i="8"/>
  <c r="AI15" i="8"/>
  <c r="AH15" i="8"/>
  <c r="AG15" i="8"/>
  <c r="AF15" i="8"/>
  <c r="AI14" i="8"/>
  <c r="AH14" i="8"/>
  <c r="AG14" i="8"/>
  <c r="AF14" i="8"/>
  <c r="AI13" i="8"/>
  <c r="AH13" i="8"/>
  <c r="AG13" i="8"/>
  <c r="AF13" i="8"/>
  <c r="AI12" i="8"/>
  <c r="AH12" i="8"/>
  <c r="AG12" i="8"/>
  <c r="AF12" i="8"/>
  <c r="AI11" i="8"/>
  <c r="AH11" i="8"/>
  <c r="AG11" i="8"/>
  <c r="AF11" i="8"/>
  <c r="AI10" i="8"/>
  <c r="AH10" i="8"/>
  <c r="AG10" i="8"/>
  <c r="AF10" i="8"/>
  <c r="AI9" i="8"/>
  <c r="AH9" i="8"/>
  <c r="AG9" i="8"/>
  <c r="AF9" i="8"/>
  <c r="AI8" i="8"/>
  <c r="AH8" i="8"/>
  <c r="AG8" i="8"/>
  <c r="AF8" i="8"/>
  <c r="AI7" i="8"/>
  <c r="AH7" i="8"/>
  <c r="AG7" i="8"/>
  <c r="AF7" i="8"/>
  <c r="AI6" i="8"/>
  <c r="AH6" i="8"/>
  <c r="AG6" i="8"/>
  <c r="AF6" i="8"/>
  <c r="AI5" i="8"/>
  <c r="AH5" i="8"/>
  <c r="AG5" i="8"/>
  <c r="AF5" i="8"/>
  <c r="AI4" i="8"/>
  <c r="AH4" i="8"/>
  <c r="AG4" i="8"/>
  <c r="AF4" i="8"/>
  <c r="AI3" i="8"/>
  <c r="AH3" i="8"/>
  <c r="AG3" i="8"/>
  <c r="AF3" i="8"/>
  <c r="AI2" i="8"/>
  <c r="AH2" i="8"/>
  <c r="AG2" i="8"/>
  <c r="AF2" i="8"/>
  <c r="AD38" i="8"/>
  <c r="AC38" i="8"/>
  <c r="AB38" i="8"/>
  <c r="AA38" i="8"/>
  <c r="AD37" i="8"/>
  <c r="AC37" i="8"/>
  <c r="AB37" i="8"/>
  <c r="AA37" i="8"/>
  <c r="AD36" i="8"/>
  <c r="AC36" i="8"/>
  <c r="AB36" i="8"/>
  <c r="AA36" i="8"/>
  <c r="AD35" i="8"/>
  <c r="AC35" i="8"/>
  <c r="AB35" i="8"/>
  <c r="AA35" i="8"/>
  <c r="AD34" i="8"/>
  <c r="AC34" i="8"/>
  <c r="AB34" i="8"/>
  <c r="AA34" i="8"/>
  <c r="AD33" i="8"/>
  <c r="AC33" i="8"/>
  <c r="AB33" i="8"/>
  <c r="AA33" i="8"/>
  <c r="AD32" i="8"/>
  <c r="AC32" i="8"/>
  <c r="AB32" i="8"/>
  <c r="AA32" i="8"/>
  <c r="AD31" i="8"/>
  <c r="AC31" i="8"/>
  <c r="AB31" i="8"/>
  <c r="AA31" i="8"/>
  <c r="AD30" i="8"/>
  <c r="AC30" i="8"/>
  <c r="AB30" i="8"/>
  <c r="AA30" i="8"/>
  <c r="AD29" i="8"/>
  <c r="AC29" i="8"/>
  <c r="AB29" i="8"/>
  <c r="AA29" i="8"/>
  <c r="AD28" i="8"/>
  <c r="AC28" i="8"/>
  <c r="AB28" i="8"/>
  <c r="AA28" i="8"/>
  <c r="AD27" i="8"/>
  <c r="AC27" i="8"/>
  <c r="AB27" i="8"/>
  <c r="AA27" i="8"/>
  <c r="AD26" i="8"/>
  <c r="AC26" i="8"/>
  <c r="AB26" i="8"/>
  <c r="AA26" i="8"/>
  <c r="AD25" i="8"/>
  <c r="AC25" i="8"/>
  <c r="AB25" i="8"/>
  <c r="AA25" i="8"/>
  <c r="AD24" i="8"/>
  <c r="AC24" i="8"/>
  <c r="AB24" i="8"/>
  <c r="AA24" i="8"/>
  <c r="AD23" i="8"/>
  <c r="AC23" i="8"/>
  <c r="AB23" i="8"/>
  <c r="AA23" i="8"/>
  <c r="AD22" i="8"/>
  <c r="AC22" i="8"/>
  <c r="AB22" i="8"/>
  <c r="AA22" i="8"/>
  <c r="AD21" i="8"/>
  <c r="AC21" i="8"/>
  <c r="AB21" i="8"/>
  <c r="AA21" i="8"/>
  <c r="AD20" i="8"/>
  <c r="AC20" i="8"/>
  <c r="AB20" i="8"/>
  <c r="AA20" i="8"/>
  <c r="AD19" i="8"/>
  <c r="AC19" i="8"/>
  <c r="AB19" i="8"/>
  <c r="AA19" i="8"/>
  <c r="AD18" i="8"/>
  <c r="AC18" i="8"/>
  <c r="AB18" i="8"/>
  <c r="AA18" i="8"/>
  <c r="AD17" i="8"/>
  <c r="AC17" i="8"/>
  <c r="AB17" i="8"/>
  <c r="AA17" i="8"/>
  <c r="AD16" i="8"/>
  <c r="AC16" i="8"/>
  <c r="AB16" i="8"/>
  <c r="AA16" i="8"/>
  <c r="AD15" i="8"/>
  <c r="AC15" i="8"/>
  <c r="AB15" i="8"/>
  <c r="AA15" i="8"/>
  <c r="AD14" i="8"/>
  <c r="AC14" i="8"/>
  <c r="AB14" i="8"/>
  <c r="AA14" i="8"/>
  <c r="AD13" i="8"/>
  <c r="AC13" i="8"/>
  <c r="AB13" i="8"/>
  <c r="AA13" i="8"/>
  <c r="AD12" i="8"/>
  <c r="AC12" i="8"/>
  <c r="AB12" i="8"/>
  <c r="AA12" i="8"/>
  <c r="AD11" i="8"/>
  <c r="AC11" i="8"/>
  <c r="AB11" i="8"/>
  <c r="AA11" i="8"/>
  <c r="AD10" i="8"/>
  <c r="AC10" i="8"/>
  <c r="AB10" i="8"/>
  <c r="AA10" i="8"/>
  <c r="AD9" i="8"/>
  <c r="AC9" i="8"/>
  <c r="AB9" i="8"/>
  <c r="AA9" i="8"/>
  <c r="AD8" i="8"/>
  <c r="AC8" i="8"/>
  <c r="AB8" i="8"/>
  <c r="AA8" i="8"/>
  <c r="AD7" i="8"/>
  <c r="AC7" i="8"/>
  <c r="AB7" i="8"/>
  <c r="AA7" i="8"/>
  <c r="AD6" i="8"/>
  <c r="AC6" i="8"/>
  <c r="AB6" i="8"/>
  <c r="AA6" i="8"/>
  <c r="AD5" i="8"/>
  <c r="AC5" i="8"/>
  <c r="AB5" i="8"/>
  <c r="AA5" i="8"/>
  <c r="AD4" i="8"/>
  <c r="AC4" i="8"/>
  <c r="AB4" i="8"/>
  <c r="AA4" i="8"/>
  <c r="AD3" i="8"/>
  <c r="AC3" i="8"/>
  <c r="AB3" i="8"/>
  <c r="AA3" i="8"/>
  <c r="AD2" i="8"/>
  <c r="AC2" i="8"/>
  <c r="AB2" i="8"/>
  <c r="AA2" i="8"/>
  <c r="Y38" i="8"/>
  <c r="X38" i="8"/>
  <c r="W38" i="8"/>
  <c r="V38" i="8"/>
  <c r="Y37" i="8"/>
  <c r="X37" i="8"/>
  <c r="W37" i="8"/>
  <c r="V37" i="8"/>
  <c r="Y36" i="8"/>
  <c r="X36" i="8"/>
  <c r="W36" i="8"/>
  <c r="V36" i="8"/>
  <c r="Y35" i="8"/>
  <c r="X35" i="8"/>
  <c r="W35" i="8"/>
  <c r="V35" i="8"/>
  <c r="Y34" i="8"/>
  <c r="X34" i="8"/>
  <c r="W34" i="8"/>
  <c r="V34" i="8"/>
  <c r="Y33" i="8"/>
  <c r="X33" i="8"/>
  <c r="W33" i="8"/>
  <c r="V33" i="8"/>
  <c r="Y32" i="8"/>
  <c r="X32" i="8"/>
  <c r="W32" i="8"/>
  <c r="V32" i="8"/>
  <c r="Y31" i="8"/>
  <c r="X31" i="8"/>
  <c r="W31" i="8"/>
  <c r="V31" i="8"/>
  <c r="Y30" i="8"/>
  <c r="X30" i="8"/>
  <c r="W30" i="8"/>
  <c r="V30" i="8"/>
  <c r="Y29" i="8"/>
  <c r="X29" i="8"/>
  <c r="W29" i="8"/>
  <c r="V29" i="8"/>
  <c r="Y28" i="8"/>
  <c r="X28" i="8"/>
  <c r="W28" i="8"/>
  <c r="V28" i="8"/>
  <c r="Y27" i="8"/>
  <c r="X27" i="8"/>
  <c r="W27" i="8"/>
  <c r="V27" i="8"/>
  <c r="Y26" i="8"/>
  <c r="X26" i="8"/>
  <c r="W26" i="8"/>
  <c r="V26" i="8"/>
  <c r="Y25" i="8"/>
  <c r="X25" i="8"/>
  <c r="W25" i="8"/>
  <c r="V25" i="8"/>
  <c r="Y24" i="8"/>
  <c r="X24" i="8"/>
  <c r="W24" i="8"/>
  <c r="V24" i="8"/>
  <c r="Y23" i="8"/>
  <c r="X23" i="8"/>
  <c r="W23" i="8"/>
  <c r="V23" i="8"/>
  <c r="Y22" i="8"/>
  <c r="X22" i="8"/>
  <c r="W22" i="8"/>
  <c r="V22" i="8"/>
  <c r="Y21" i="8"/>
  <c r="X21" i="8"/>
  <c r="W21" i="8"/>
  <c r="V21" i="8"/>
  <c r="Y20" i="8"/>
  <c r="X20" i="8"/>
  <c r="W20" i="8"/>
  <c r="V20" i="8"/>
  <c r="Y19" i="8"/>
  <c r="X19" i="8"/>
  <c r="W19" i="8"/>
  <c r="V19" i="8"/>
  <c r="Y18" i="8"/>
  <c r="X18" i="8"/>
  <c r="W18" i="8"/>
  <c r="V18" i="8"/>
  <c r="Y17" i="8"/>
  <c r="X17" i="8"/>
  <c r="W17" i="8"/>
  <c r="V17" i="8"/>
  <c r="Y16" i="8"/>
  <c r="X16" i="8"/>
  <c r="W16" i="8"/>
  <c r="V16" i="8"/>
  <c r="Y15" i="8"/>
  <c r="X15" i="8"/>
  <c r="W15" i="8"/>
  <c r="V15" i="8"/>
  <c r="Y14" i="8"/>
  <c r="X14" i="8"/>
  <c r="W14" i="8"/>
  <c r="V14" i="8"/>
  <c r="Y13" i="8"/>
  <c r="X13" i="8"/>
  <c r="W13" i="8"/>
  <c r="V13" i="8"/>
  <c r="Y12" i="8"/>
  <c r="X12" i="8"/>
  <c r="W12" i="8"/>
  <c r="V12" i="8"/>
  <c r="Y11" i="8"/>
  <c r="X11" i="8"/>
  <c r="W11" i="8"/>
  <c r="V11" i="8"/>
  <c r="Y10" i="8"/>
  <c r="X10" i="8"/>
  <c r="W10" i="8"/>
  <c r="V10" i="8"/>
  <c r="Y9" i="8"/>
  <c r="X9" i="8"/>
  <c r="W9" i="8"/>
  <c r="V9" i="8"/>
  <c r="Y8" i="8"/>
  <c r="X8" i="8"/>
  <c r="W8" i="8"/>
  <c r="V8" i="8"/>
  <c r="Y7" i="8"/>
  <c r="X7" i="8"/>
  <c r="W7" i="8"/>
  <c r="V7" i="8"/>
  <c r="Y6" i="8"/>
  <c r="X6" i="8"/>
  <c r="W6" i="8"/>
  <c r="V6" i="8"/>
  <c r="Y5" i="8"/>
  <c r="X5" i="8"/>
  <c r="W5" i="8"/>
  <c r="V5" i="8"/>
  <c r="Y4" i="8"/>
  <c r="X4" i="8"/>
  <c r="W4" i="8"/>
  <c r="V4" i="8"/>
  <c r="Y3" i="8"/>
  <c r="X3" i="8"/>
  <c r="W3" i="8"/>
  <c r="V3" i="8"/>
  <c r="Y2" i="8"/>
  <c r="X2" i="8"/>
  <c r="W2" i="8"/>
  <c r="V2" i="8"/>
  <c r="T38" i="8"/>
  <c r="S38" i="8"/>
  <c r="R38" i="8"/>
  <c r="Q38" i="8"/>
  <c r="T37" i="8"/>
  <c r="S37" i="8"/>
  <c r="R37" i="8"/>
  <c r="Q37" i="8"/>
  <c r="T36" i="8"/>
  <c r="S36" i="8"/>
  <c r="R36" i="8"/>
  <c r="Q36" i="8"/>
  <c r="T35" i="8"/>
  <c r="S35" i="8"/>
  <c r="R35" i="8"/>
  <c r="Q35" i="8"/>
  <c r="T34" i="8"/>
  <c r="S34" i="8"/>
  <c r="R34" i="8"/>
  <c r="Q34" i="8"/>
  <c r="T33" i="8"/>
  <c r="S33" i="8"/>
  <c r="R33" i="8"/>
  <c r="Q33" i="8"/>
  <c r="T32" i="8"/>
  <c r="S32" i="8"/>
  <c r="R32" i="8"/>
  <c r="Q32" i="8"/>
  <c r="T31" i="8"/>
  <c r="S31" i="8"/>
  <c r="R31" i="8"/>
  <c r="Q31" i="8"/>
  <c r="T30" i="8"/>
  <c r="S30" i="8"/>
  <c r="R30" i="8"/>
  <c r="Q30" i="8"/>
  <c r="T29" i="8"/>
  <c r="S29" i="8"/>
  <c r="R29" i="8"/>
  <c r="Q29" i="8"/>
  <c r="T28" i="8"/>
  <c r="S28" i="8"/>
  <c r="R28" i="8"/>
  <c r="Q28" i="8"/>
  <c r="T27" i="8"/>
  <c r="S27" i="8"/>
  <c r="R27" i="8"/>
  <c r="Q27" i="8"/>
  <c r="T26" i="8"/>
  <c r="S26" i="8"/>
  <c r="R26" i="8"/>
  <c r="Q26" i="8"/>
  <c r="T25" i="8"/>
  <c r="S25" i="8"/>
  <c r="R25" i="8"/>
  <c r="Q25" i="8"/>
  <c r="T24" i="8"/>
  <c r="S24" i="8"/>
  <c r="R24" i="8"/>
  <c r="Q24" i="8"/>
  <c r="T23" i="8"/>
  <c r="S23" i="8"/>
  <c r="R23" i="8"/>
  <c r="Q23" i="8"/>
  <c r="T22" i="8"/>
  <c r="S22" i="8"/>
  <c r="R22" i="8"/>
  <c r="Q22" i="8"/>
  <c r="T21" i="8"/>
  <c r="S21" i="8"/>
  <c r="R21" i="8"/>
  <c r="Q21" i="8"/>
  <c r="T20" i="8"/>
  <c r="S20" i="8"/>
  <c r="R20" i="8"/>
  <c r="Q20" i="8"/>
  <c r="T19" i="8"/>
  <c r="S19" i="8"/>
  <c r="R19" i="8"/>
  <c r="Q19" i="8"/>
  <c r="T18" i="8"/>
  <c r="S18" i="8"/>
  <c r="R18" i="8"/>
  <c r="Q18" i="8"/>
  <c r="T17" i="8"/>
  <c r="S17" i="8"/>
  <c r="R17" i="8"/>
  <c r="Q17" i="8"/>
  <c r="T16" i="8"/>
  <c r="S16" i="8"/>
  <c r="R16" i="8"/>
  <c r="Q16" i="8"/>
  <c r="T15" i="8"/>
  <c r="S15" i="8"/>
  <c r="R15" i="8"/>
  <c r="Q15" i="8"/>
  <c r="T14" i="8"/>
  <c r="S14" i="8"/>
  <c r="R14" i="8"/>
  <c r="Q14" i="8"/>
  <c r="T13" i="8"/>
  <c r="S13" i="8"/>
  <c r="R13" i="8"/>
  <c r="Q13" i="8"/>
  <c r="T12" i="8"/>
  <c r="S12" i="8"/>
  <c r="R12" i="8"/>
  <c r="Q12" i="8"/>
  <c r="T11" i="8"/>
  <c r="S11" i="8"/>
  <c r="R11" i="8"/>
  <c r="Q11" i="8"/>
  <c r="T10" i="8"/>
  <c r="S10" i="8"/>
  <c r="R10" i="8"/>
  <c r="Q10" i="8"/>
  <c r="T9" i="8"/>
  <c r="S9" i="8"/>
  <c r="R9" i="8"/>
  <c r="Q9" i="8"/>
  <c r="T8" i="8"/>
  <c r="S8" i="8"/>
  <c r="R8" i="8"/>
  <c r="Q8" i="8"/>
  <c r="T7" i="8"/>
  <c r="S7" i="8"/>
  <c r="R7" i="8"/>
  <c r="Q7" i="8"/>
  <c r="T6" i="8"/>
  <c r="S6" i="8"/>
  <c r="R6" i="8"/>
  <c r="Q6" i="8"/>
  <c r="T5" i="8"/>
  <c r="S5" i="8"/>
  <c r="R5" i="8"/>
  <c r="Q5" i="8"/>
  <c r="T4" i="8"/>
  <c r="S4" i="8"/>
  <c r="R4" i="8"/>
  <c r="Q4" i="8"/>
  <c r="T3" i="8"/>
  <c r="S3" i="8"/>
  <c r="R3" i="8"/>
  <c r="Q3" i="8"/>
  <c r="T2" i="8"/>
  <c r="S2" i="8"/>
  <c r="R2" i="8"/>
  <c r="Q2" i="8"/>
  <c r="O38" i="8"/>
  <c r="N38" i="8"/>
  <c r="M38" i="8"/>
  <c r="L38" i="8"/>
  <c r="O37" i="8"/>
  <c r="N37" i="8"/>
  <c r="M37" i="8"/>
  <c r="L37" i="8"/>
  <c r="O36" i="8"/>
  <c r="N36" i="8"/>
  <c r="M36" i="8"/>
  <c r="L36" i="8"/>
  <c r="O35" i="8"/>
  <c r="N35" i="8"/>
  <c r="M35" i="8"/>
  <c r="L35" i="8"/>
  <c r="O34" i="8"/>
  <c r="N34" i="8"/>
  <c r="M34" i="8"/>
  <c r="L34" i="8"/>
  <c r="O33" i="8"/>
  <c r="N33" i="8"/>
  <c r="M33" i="8"/>
  <c r="L33" i="8"/>
  <c r="O32" i="8"/>
  <c r="N32" i="8"/>
  <c r="M32" i="8"/>
  <c r="L32" i="8"/>
  <c r="O31" i="8"/>
  <c r="N31" i="8"/>
  <c r="M31" i="8"/>
  <c r="L31" i="8"/>
  <c r="O30" i="8"/>
  <c r="N30" i="8"/>
  <c r="M30" i="8"/>
  <c r="L30" i="8"/>
  <c r="O29" i="8"/>
  <c r="N29" i="8"/>
  <c r="M29" i="8"/>
  <c r="L29" i="8"/>
  <c r="O28" i="8"/>
  <c r="N28" i="8"/>
  <c r="M28" i="8"/>
  <c r="L28" i="8"/>
  <c r="O27" i="8"/>
  <c r="N27" i="8"/>
  <c r="M27" i="8"/>
  <c r="L27" i="8"/>
  <c r="O26" i="8"/>
  <c r="N26" i="8"/>
  <c r="M26" i="8"/>
  <c r="L26" i="8"/>
  <c r="O25" i="8"/>
  <c r="N25" i="8"/>
  <c r="M25" i="8"/>
  <c r="L25" i="8"/>
  <c r="O24" i="8"/>
  <c r="N24" i="8"/>
  <c r="M24" i="8"/>
  <c r="L24" i="8"/>
  <c r="O23" i="8"/>
  <c r="N23" i="8"/>
  <c r="M23" i="8"/>
  <c r="L23" i="8"/>
  <c r="O22" i="8"/>
  <c r="N22" i="8"/>
  <c r="M22" i="8"/>
  <c r="L22" i="8"/>
  <c r="O21" i="8"/>
  <c r="N21" i="8"/>
  <c r="M21" i="8"/>
  <c r="L21" i="8"/>
  <c r="O20" i="8"/>
  <c r="N20" i="8"/>
  <c r="M20" i="8"/>
  <c r="L20" i="8"/>
  <c r="O19" i="8"/>
  <c r="N19" i="8"/>
  <c r="M19" i="8"/>
  <c r="L19" i="8"/>
  <c r="O18" i="8"/>
  <c r="N18" i="8"/>
  <c r="M18" i="8"/>
  <c r="L18" i="8"/>
  <c r="O17" i="8"/>
  <c r="N17" i="8"/>
  <c r="M17" i="8"/>
  <c r="L17" i="8"/>
  <c r="O16" i="8"/>
  <c r="N16" i="8"/>
  <c r="M16" i="8"/>
  <c r="L16" i="8"/>
  <c r="O15" i="8"/>
  <c r="N15" i="8"/>
  <c r="M15" i="8"/>
  <c r="L15" i="8"/>
  <c r="O14" i="8"/>
  <c r="N14" i="8"/>
  <c r="M14" i="8"/>
  <c r="L14" i="8"/>
  <c r="O13" i="8"/>
  <c r="N13" i="8"/>
  <c r="M13" i="8"/>
  <c r="L13" i="8"/>
  <c r="O12" i="8"/>
  <c r="N12" i="8"/>
  <c r="M12" i="8"/>
  <c r="L12" i="8"/>
  <c r="O11" i="8"/>
  <c r="N11" i="8"/>
  <c r="M11" i="8"/>
  <c r="L11" i="8"/>
  <c r="O10" i="8"/>
  <c r="N10" i="8"/>
  <c r="M10" i="8"/>
  <c r="L10" i="8"/>
  <c r="O9" i="8"/>
  <c r="N9" i="8"/>
  <c r="M9" i="8"/>
  <c r="L9" i="8"/>
  <c r="O8" i="8"/>
  <c r="N8" i="8"/>
  <c r="M8" i="8"/>
  <c r="L8" i="8"/>
  <c r="O7" i="8"/>
  <c r="N7" i="8"/>
  <c r="M7" i="8"/>
  <c r="L7" i="8"/>
  <c r="O6" i="8"/>
  <c r="N6" i="8"/>
  <c r="M6" i="8"/>
  <c r="L6" i="8"/>
  <c r="O5" i="8"/>
  <c r="N5" i="8"/>
  <c r="M5" i="8"/>
  <c r="L5" i="8"/>
  <c r="O4" i="8"/>
  <c r="N4" i="8"/>
  <c r="M4" i="8"/>
  <c r="L4" i="8"/>
  <c r="O3" i="8"/>
  <c r="N3" i="8"/>
  <c r="M3" i="8"/>
  <c r="L3" i="8"/>
  <c r="O2" i="8"/>
  <c r="N2" i="8"/>
  <c r="M2" i="8"/>
  <c r="L2" i="8"/>
  <c r="J38" i="8"/>
  <c r="I38" i="8"/>
  <c r="H38" i="8"/>
  <c r="G38" i="8"/>
  <c r="J37" i="8"/>
  <c r="I37" i="8"/>
  <c r="H37" i="8"/>
  <c r="G37" i="8"/>
  <c r="J36" i="8"/>
  <c r="I36" i="8"/>
  <c r="H36" i="8"/>
  <c r="G36" i="8"/>
  <c r="J35" i="8"/>
  <c r="I35" i="8"/>
  <c r="H35" i="8"/>
  <c r="G35" i="8"/>
  <c r="J34" i="8"/>
  <c r="I34" i="8"/>
  <c r="H34" i="8"/>
  <c r="G34" i="8"/>
  <c r="J33" i="8"/>
  <c r="I33" i="8"/>
  <c r="H33" i="8"/>
  <c r="G33" i="8"/>
  <c r="J32" i="8"/>
  <c r="I32" i="8"/>
  <c r="H32" i="8"/>
  <c r="G32" i="8"/>
  <c r="J31" i="8"/>
  <c r="I31" i="8"/>
  <c r="H31" i="8"/>
  <c r="G31" i="8"/>
  <c r="J30" i="8"/>
  <c r="I30" i="8"/>
  <c r="H30" i="8"/>
  <c r="G30" i="8"/>
  <c r="J29" i="8"/>
  <c r="I29" i="8"/>
  <c r="H29" i="8"/>
  <c r="G29" i="8"/>
  <c r="J28" i="8"/>
  <c r="I28" i="8"/>
  <c r="H28" i="8"/>
  <c r="G28" i="8"/>
  <c r="J27" i="8"/>
  <c r="I27" i="8"/>
  <c r="H27" i="8"/>
  <c r="G27" i="8"/>
  <c r="J26" i="8"/>
  <c r="I26" i="8"/>
  <c r="H26" i="8"/>
  <c r="G26" i="8"/>
  <c r="J25" i="8"/>
  <c r="I25" i="8"/>
  <c r="H25" i="8"/>
  <c r="G25" i="8"/>
  <c r="J24" i="8"/>
  <c r="I24" i="8"/>
  <c r="H24" i="8"/>
  <c r="G24" i="8"/>
  <c r="J23" i="8"/>
  <c r="I23" i="8"/>
  <c r="H23" i="8"/>
  <c r="G23" i="8"/>
  <c r="J22" i="8"/>
  <c r="I22" i="8"/>
  <c r="H22" i="8"/>
  <c r="G22" i="8"/>
  <c r="J21" i="8"/>
  <c r="I21" i="8"/>
  <c r="H21" i="8"/>
  <c r="G21" i="8"/>
  <c r="J20" i="8"/>
  <c r="I20" i="8"/>
  <c r="H20" i="8"/>
  <c r="G20" i="8"/>
  <c r="J19" i="8"/>
  <c r="I19" i="8"/>
  <c r="H19" i="8"/>
  <c r="G19" i="8"/>
  <c r="J18" i="8"/>
  <c r="I18" i="8"/>
  <c r="H18" i="8"/>
  <c r="G18" i="8"/>
  <c r="J17" i="8"/>
  <c r="I17" i="8"/>
  <c r="H17" i="8"/>
  <c r="G17" i="8"/>
  <c r="J16" i="8"/>
  <c r="I16" i="8"/>
  <c r="H16" i="8"/>
  <c r="G16" i="8"/>
  <c r="J15" i="8"/>
  <c r="I15" i="8"/>
  <c r="H15" i="8"/>
  <c r="G15" i="8"/>
  <c r="J14" i="8"/>
  <c r="I14" i="8"/>
  <c r="H14" i="8"/>
  <c r="G14" i="8"/>
  <c r="J13" i="8"/>
  <c r="I13" i="8"/>
  <c r="H13" i="8"/>
  <c r="G13" i="8"/>
  <c r="J12" i="8"/>
  <c r="I12" i="8"/>
  <c r="H12" i="8"/>
  <c r="G12" i="8"/>
  <c r="J11" i="8"/>
  <c r="I11" i="8"/>
  <c r="H11" i="8"/>
  <c r="G11" i="8"/>
  <c r="J10" i="8"/>
  <c r="I10" i="8"/>
  <c r="H10" i="8"/>
  <c r="G10" i="8"/>
  <c r="J9" i="8"/>
  <c r="I9" i="8"/>
  <c r="H9" i="8"/>
  <c r="G9" i="8"/>
  <c r="J8" i="8"/>
  <c r="I8" i="8"/>
  <c r="H8" i="8"/>
  <c r="G8" i="8"/>
  <c r="J7" i="8"/>
  <c r="I7" i="8"/>
  <c r="H7" i="8"/>
  <c r="G7" i="8"/>
  <c r="J6" i="8"/>
  <c r="I6" i="8"/>
  <c r="H6" i="8"/>
  <c r="G6" i="8"/>
  <c r="J5" i="8"/>
  <c r="I5" i="8"/>
  <c r="H5" i="8"/>
  <c r="G5" i="8"/>
  <c r="J4" i="8"/>
  <c r="I4" i="8"/>
  <c r="H4" i="8"/>
  <c r="G4" i="8"/>
  <c r="J3" i="8"/>
  <c r="I3" i="8"/>
  <c r="H3" i="8"/>
  <c r="G3" i="8"/>
  <c r="J2" i="8"/>
  <c r="I2" i="8"/>
  <c r="H2" i="8"/>
  <c r="G2" i="8"/>
  <c r="B3" i="8"/>
  <c r="C3" i="8"/>
  <c r="D3" i="8"/>
  <c r="E3" i="8"/>
  <c r="B4" i="8"/>
  <c r="C4" i="8"/>
  <c r="D4" i="8"/>
  <c r="E4" i="8"/>
  <c r="B5" i="8"/>
  <c r="C5" i="8"/>
  <c r="D5" i="8"/>
  <c r="E5" i="8"/>
  <c r="B6" i="8"/>
  <c r="C6" i="8"/>
  <c r="D6" i="8"/>
  <c r="E6" i="8"/>
  <c r="B7" i="8"/>
  <c r="C7" i="8"/>
  <c r="D7" i="8"/>
  <c r="E7" i="8"/>
  <c r="B8" i="8"/>
  <c r="C8" i="8"/>
  <c r="D8" i="8"/>
  <c r="E8" i="8"/>
  <c r="B9" i="8"/>
  <c r="C9" i="8"/>
  <c r="D9" i="8"/>
  <c r="E9" i="8"/>
  <c r="B10" i="8"/>
  <c r="C10" i="8"/>
  <c r="D10" i="8"/>
  <c r="E10" i="8"/>
  <c r="B11" i="8"/>
  <c r="C11" i="8"/>
  <c r="D11" i="8"/>
  <c r="E11" i="8"/>
  <c r="B12" i="8"/>
  <c r="C12" i="8"/>
  <c r="D12" i="8"/>
  <c r="E12" i="8"/>
  <c r="B13" i="8"/>
  <c r="C13" i="8"/>
  <c r="D13" i="8"/>
  <c r="E13" i="8"/>
  <c r="B14" i="8"/>
  <c r="C14" i="8"/>
  <c r="D14" i="8"/>
  <c r="E14" i="8"/>
  <c r="B15" i="8"/>
  <c r="C15" i="8"/>
  <c r="D15" i="8"/>
  <c r="E15" i="8"/>
  <c r="B16" i="8"/>
  <c r="C16" i="8"/>
  <c r="D16" i="8"/>
  <c r="E16" i="8"/>
  <c r="B17" i="8"/>
  <c r="C17" i="8"/>
  <c r="D17" i="8"/>
  <c r="E17" i="8"/>
  <c r="B18" i="8"/>
  <c r="C18" i="8"/>
  <c r="D18" i="8"/>
  <c r="E18" i="8"/>
  <c r="B19" i="8"/>
  <c r="C19" i="8"/>
  <c r="D19" i="8"/>
  <c r="E19" i="8"/>
  <c r="B20" i="8"/>
  <c r="C20" i="8"/>
  <c r="D20" i="8"/>
  <c r="E20" i="8"/>
  <c r="B21" i="8"/>
  <c r="C21" i="8"/>
  <c r="D21" i="8"/>
  <c r="E21" i="8"/>
  <c r="B22" i="8"/>
  <c r="C22" i="8"/>
  <c r="D22" i="8"/>
  <c r="E22" i="8"/>
  <c r="B23" i="8"/>
  <c r="C23" i="8"/>
  <c r="D23" i="8"/>
  <c r="E23" i="8"/>
  <c r="B24" i="8"/>
  <c r="C24" i="8"/>
  <c r="D24" i="8"/>
  <c r="E24" i="8"/>
  <c r="B25" i="8"/>
  <c r="C25" i="8"/>
  <c r="D25" i="8"/>
  <c r="E25" i="8"/>
  <c r="B26" i="8"/>
  <c r="C26" i="8"/>
  <c r="D26" i="8"/>
  <c r="E26" i="8"/>
  <c r="B27" i="8"/>
  <c r="C27" i="8"/>
  <c r="D27" i="8"/>
  <c r="E27" i="8"/>
  <c r="B28" i="8"/>
  <c r="C28" i="8"/>
  <c r="D28" i="8"/>
  <c r="E28" i="8"/>
  <c r="B29" i="8"/>
  <c r="C29" i="8"/>
  <c r="D29" i="8"/>
  <c r="E29" i="8"/>
  <c r="B30" i="8"/>
  <c r="C30" i="8"/>
  <c r="D30" i="8"/>
  <c r="E30" i="8"/>
  <c r="B31" i="8"/>
  <c r="C31" i="8"/>
  <c r="D31" i="8"/>
  <c r="E31" i="8"/>
  <c r="B32" i="8"/>
  <c r="C32" i="8"/>
  <c r="D32" i="8"/>
  <c r="E32" i="8"/>
  <c r="B33" i="8"/>
  <c r="C33" i="8"/>
  <c r="D33" i="8"/>
  <c r="E33" i="8"/>
  <c r="B34" i="8"/>
  <c r="C34" i="8"/>
  <c r="D34" i="8"/>
  <c r="E34" i="8"/>
  <c r="B35" i="8"/>
  <c r="C35" i="8"/>
  <c r="D35" i="8"/>
  <c r="E35" i="8"/>
  <c r="B36" i="8"/>
  <c r="C36" i="8"/>
  <c r="D36" i="8"/>
  <c r="E36" i="8"/>
  <c r="B37" i="8"/>
  <c r="C37" i="8"/>
  <c r="D37" i="8"/>
  <c r="E37" i="8"/>
  <c r="B38" i="8"/>
  <c r="C38" i="8"/>
  <c r="D38" i="8"/>
  <c r="E38" i="8"/>
  <c r="E2" i="8"/>
  <c r="D2" i="8"/>
  <c r="C2" i="8"/>
  <c r="B2" i="8"/>
  <c r="AS38" i="7"/>
  <c r="AR38" i="7"/>
  <c r="AQ38" i="7"/>
  <c r="AP38" i="7"/>
  <c r="AS37" i="7"/>
  <c r="AR37" i="7"/>
  <c r="AQ37" i="7"/>
  <c r="AP37" i="7"/>
  <c r="AS36" i="7"/>
  <c r="AR36" i="7"/>
  <c r="AQ36" i="7"/>
  <c r="AP36" i="7"/>
  <c r="AS35" i="7"/>
  <c r="AR35" i="7"/>
  <c r="AQ35" i="7"/>
  <c r="AP35" i="7"/>
  <c r="AS34" i="7"/>
  <c r="AR34" i="7"/>
  <c r="AQ34" i="7"/>
  <c r="AP34" i="7"/>
  <c r="AS33" i="7"/>
  <c r="AR33" i="7"/>
  <c r="AQ33" i="7"/>
  <c r="AP33" i="7"/>
  <c r="AS32" i="7"/>
  <c r="AR32" i="7"/>
  <c r="AQ32" i="7"/>
  <c r="AP32" i="7"/>
  <c r="AS31" i="7"/>
  <c r="AR31" i="7"/>
  <c r="AQ31" i="7"/>
  <c r="AP31" i="7"/>
  <c r="AS30" i="7"/>
  <c r="AR30" i="7"/>
  <c r="AQ30" i="7"/>
  <c r="AP30" i="7"/>
  <c r="AS29" i="7"/>
  <c r="AR29" i="7"/>
  <c r="AQ29" i="7"/>
  <c r="AP29" i="7"/>
  <c r="AS28" i="7"/>
  <c r="AR28" i="7"/>
  <c r="AQ28" i="7"/>
  <c r="AP28" i="7"/>
  <c r="AS27" i="7"/>
  <c r="AR27" i="7"/>
  <c r="AQ27" i="7"/>
  <c r="AP27" i="7"/>
  <c r="AS26" i="7"/>
  <c r="AR26" i="7"/>
  <c r="AQ26" i="7"/>
  <c r="AP26" i="7"/>
  <c r="AS25" i="7"/>
  <c r="AR25" i="7"/>
  <c r="AQ25" i="7"/>
  <c r="AP25" i="7"/>
  <c r="AS24" i="7"/>
  <c r="AR24" i="7"/>
  <c r="AQ24" i="7"/>
  <c r="AP24" i="7"/>
  <c r="AS23" i="7"/>
  <c r="AR23" i="7"/>
  <c r="AQ23" i="7"/>
  <c r="AP23" i="7"/>
  <c r="AS22" i="7"/>
  <c r="AR22" i="7"/>
  <c r="AQ22" i="7"/>
  <c r="AP22" i="7"/>
  <c r="AS21" i="7"/>
  <c r="AR21" i="7"/>
  <c r="AQ21" i="7"/>
  <c r="AP21" i="7"/>
  <c r="AS20" i="7"/>
  <c r="AR20" i="7"/>
  <c r="AQ20" i="7"/>
  <c r="AP20" i="7"/>
  <c r="AS19" i="7"/>
  <c r="AR19" i="7"/>
  <c r="AQ19" i="7"/>
  <c r="AP19" i="7"/>
  <c r="AS18" i="7"/>
  <c r="AR18" i="7"/>
  <c r="AQ18" i="7"/>
  <c r="AP18" i="7"/>
  <c r="AS17" i="7"/>
  <c r="AR17" i="7"/>
  <c r="AQ17" i="7"/>
  <c r="AP17" i="7"/>
  <c r="AS16" i="7"/>
  <c r="AR16" i="7"/>
  <c r="AQ16" i="7"/>
  <c r="AP16" i="7"/>
  <c r="AS15" i="7"/>
  <c r="AR15" i="7"/>
  <c r="AQ15" i="7"/>
  <c r="AP15" i="7"/>
  <c r="AS14" i="7"/>
  <c r="AR14" i="7"/>
  <c r="AQ14" i="7"/>
  <c r="AP14" i="7"/>
  <c r="AS13" i="7"/>
  <c r="AR13" i="7"/>
  <c r="AQ13" i="7"/>
  <c r="AP13" i="7"/>
  <c r="AS12" i="7"/>
  <c r="AR12" i="7"/>
  <c r="AQ12" i="7"/>
  <c r="AP12" i="7"/>
  <c r="AS11" i="7"/>
  <c r="AR11" i="7"/>
  <c r="AQ11" i="7"/>
  <c r="AP11" i="7"/>
  <c r="AS10" i="7"/>
  <c r="AR10" i="7"/>
  <c r="AQ10" i="7"/>
  <c r="AP10" i="7"/>
  <c r="AS9" i="7"/>
  <c r="AR9" i="7"/>
  <c r="AQ9" i="7"/>
  <c r="AP9" i="7"/>
  <c r="AS8" i="7"/>
  <c r="AR8" i="7"/>
  <c r="AQ8" i="7"/>
  <c r="AP8" i="7"/>
  <c r="AS7" i="7"/>
  <c r="AR7" i="7"/>
  <c r="AQ7" i="7"/>
  <c r="AP7" i="7"/>
  <c r="AS6" i="7"/>
  <c r="AR6" i="7"/>
  <c r="AQ6" i="7"/>
  <c r="AP6" i="7"/>
  <c r="AS5" i="7"/>
  <c r="AR5" i="7"/>
  <c r="AQ5" i="7"/>
  <c r="AP5" i="7"/>
  <c r="AS4" i="7"/>
  <c r="AR4" i="7"/>
  <c r="AQ4" i="7"/>
  <c r="AP4" i="7"/>
  <c r="AS3" i="7"/>
  <c r="AR3" i="7"/>
  <c r="AQ3" i="7"/>
  <c r="AP3" i="7"/>
  <c r="AS2" i="7"/>
  <c r="AR2" i="7"/>
  <c r="AQ2" i="7"/>
  <c r="AP2" i="7"/>
  <c r="AN38" i="7"/>
  <c r="AM38" i="7"/>
  <c r="AL38" i="7"/>
  <c r="AK38" i="7"/>
  <c r="AN37" i="7"/>
  <c r="AM37" i="7"/>
  <c r="AL37" i="7"/>
  <c r="AK37" i="7"/>
  <c r="AN36" i="7"/>
  <c r="AM36" i="7"/>
  <c r="AL36" i="7"/>
  <c r="AK36" i="7"/>
  <c r="AN35" i="7"/>
  <c r="AM35" i="7"/>
  <c r="AL35" i="7"/>
  <c r="AK35" i="7"/>
  <c r="AN34" i="7"/>
  <c r="AM34" i="7"/>
  <c r="AL34" i="7"/>
  <c r="AK34" i="7"/>
  <c r="AN33" i="7"/>
  <c r="AM33" i="7"/>
  <c r="AL33" i="7"/>
  <c r="AK33" i="7"/>
  <c r="AN32" i="7"/>
  <c r="AM32" i="7"/>
  <c r="AL32" i="7"/>
  <c r="AK32" i="7"/>
  <c r="AN31" i="7"/>
  <c r="AM31" i="7"/>
  <c r="AL31" i="7"/>
  <c r="AK31" i="7"/>
  <c r="AN30" i="7"/>
  <c r="AM30" i="7"/>
  <c r="AL30" i="7"/>
  <c r="AK30" i="7"/>
  <c r="AN29" i="7"/>
  <c r="AM29" i="7"/>
  <c r="AL29" i="7"/>
  <c r="AK29" i="7"/>
  <c r="AN28" i="7"/>
  <c r="AM28" i="7"/>
  <c r="AL28" i="7"/>
  <c r="AK28" i="7"/>
  <c r="AN27" i="7"/>
  <c r="AM27" i="7"/>
  <c r="AL27" i="7"/>
  <c r="AK27" i="7"/>
  <c r="AN26" i="7"/>
  <c r="AM26" i="7"/>
  <c r="AL26" i="7"/>
  <c r="AK26" i="7"/>
  <c r="AN25" i="7"/>
  <c r="AM25" i="7"/>
  <c r="AL25" i="7"/>
  <c r="AK25" i="7"/>
  <c r="AN24" i="7"/>
  <c r="AM24" i="7"/>
  <c r="AL24" i="7"/>
  <c r="AK24" i="7"/>
  <c r="AN23" i="7"/>
  <c r="AM23" i="7"/>
  <c r="AL23" i="7"/>
  <c r="AK23" i="7"/>
  <c r="AN22" i="7"/>
  <c r="AM22" i="7"/>
  <c r="AL22" i="7"/>
  <c r="AK22" i="7"/>
  <c r="AN21" i="7"/>
  <c r="AM21" i="7"/>
  <c r="AL21" i="7"/>
  <c r="AK21" i="7"/>
  <c r="AN20" i="7"/>
  <c r="AM20" i="7"/>
  <c r="AL20" i="7"/>
  <c r="AK20" i="7"/>
  <c r="AN19" i="7"/>
  <c r="AM19" i="7"/>
  <c r="AL19" i="7"/>
  <c r="AK19" i="7"/>
  <c r="AN18" i="7"/>
  <c r="AM18" i="7"/>
  <c r="AL18" i="7"/>
  <c r="AK18" i="7"/>
  <c r="AN17" i="7"/>
  <c r="AM17" i="7"/>
  <c r="AL17" i="7"/>
  <c r="AK17" i="7"/>
  <c r="AN16" i="7"/>
  <c r="AM16" i="7"/>
  <c r="AL16" i="7"/>
  <c r="AK16" i="7"/>
  <c r="AN15" i="7"/>
  <c r="AM15" i="7"/>
  <c r="AL15" i="7"/>
  <c r="AK15" i="7"/>
  <c r="AN14" i="7"/>
  <c r="AM14" i="7"/>
  <c r="AL14" i="7"/>
  <c r="AK14" i="7"/>
  <c r="AN13" i="7"/>
  <c r="AM13" i="7"/>
  <c r="AL13" i="7"/>
  <c r="AK13" i="7"/>
  <c r="AN12" i="7"/>
  <c r="AM12" i="7"/>
  <c r="AL12" i="7"/>
  <c r="AK12" i="7"/>
  <c r="AN11" i="7"/>
  <c r="AM11" i="7"/>
  <c r="AL11" i="7"/>
  <c r="AK11" i="7"/>
  <c r="AN10" i="7"/>
  <c r="AM10" i="7"/>
  <c r="AL10" i="7"/>
  <c r="AK10" i="7"/>
  <c r="AN9" i="7"/>
  <c r="AM9" i="7"/>
  <c r="AL9" i="7"/>
  <c r="AK9" i="7"/>
  <c r="AN8" i="7"/>
  <c r="AM8" i="7"/>
  <c r="AL8" i="7"/>
  <c r="AK8" i="7"/>
  <c r="AN7" i="7"/>
  <c r="AM7" i="7"/>
  <c r="AL7" i="7"/>
  <c r="AK7" i="7"/>
  <c r="AN6" i="7"/>
  <c r="AM6" i="7"/>
  <c r="AL6" i="7"/>
  <c r="AK6" i="7"/>
  <c r="AN5" i="7"/>
  <c r="AM5" i="7"/>
  <c r="AL5" i="7"/>
  <c r="AK5" i="7"/>
  <c r="AN4" i="7"/>
  <c r="AM4" i="7"/>
  <c r="AL4" i="7"/>
  <c r="AK4" i="7"/>
  <c r="AN3" i="7"/>
  <c r="AM3" i="7"/>
  <c r="AL3" i="7"/>
  <c r="AK3" i="7"/>
  <c r="AN2" i="7"/>
  <c r="AM2" i="7"/>
  <c r="AL2" i="7"/>
  <c r="AK2" i="7"/>
  <c r="AI38" i="7"/>
  <c r="AH38" i="7"/>
  <c r="AG38" i="7"/>
  <c r="AF38" i="7"/>
  <c r="AI37" i="7"/>
  <c r="AH37" i="7"/>
  <c r="AG37" i="7"/>
  <c r="AF37" i="7"/>
  <c r="AI36" i="7"/>
  <c r="AH36" i="7"/>
  <c r="AG36" i="7"/>
  <c r="AF36" i="7"/>
  <c r="AI35" i="7"/>
  <c r="AH35" i="7"/>
  <c r="AG35" i="7"/>
  <c r="AF35" i="7"/>
  <c r="AI34" i="7"/>
  <c r="AH34" i="7"/>
  <c r="AG34" i="7"/>
  <c r="AF34" i="7"/>
  <c r="AI33" i="7"/>
  <c r="AH33" i="7"/>
  <c r="AG33" i="7"/>
  <c r="AF33" i="7"/>
  <c r="AI32" i="7"/>
  <c r="AH32" i="7"/>
  <c r="AG32" i="7"/>
  <c r="AF32" i="7"/>
  <c r="AI31" i="7"/>
  <c r="AH31" i="7"/>
  <c r="AG31" i="7"/>
  <c r="AF31" i="7"/>
  <c r="AI30" i="7"/>
  <c r="AH30" i="7"/>
  <c r="AG30" i="7"/>
  <c r="AF30" i="7"/>
  <c r="AI29" i="7"/>
  <c r="AH29" i="7"/>
  <c r="AG29" i="7"/>
  <c r="AF29" i="7"/>
  <c r="AI28" i="7"/>
  <c r="AH28" i="7"/>
  <c r="AG28" i="7"/>
  <c r="AF28" i="7"/>
  <c r="AI27" i="7"/>
  <c r="AH27" i="7"/>
  <c r="AG27" i="7"/>
  <c r="AF27" i="7"/>
  <c r="AI26" i="7"/>
  <c r="AH26" i="7"/>
  <c r="AG26" i="7"/>
  <c r="AF26" i="7"/>
  <c r="AI25" i="7"/>
  <c r="AH25" i="7"/>
  <c r="AG25" i="7"/>
  <c r="AF25" i="7"/>
  <c r="AI24" i="7"/>
  <c r="AH24" i="7"/>
  <c r="AG24" i="7"/>
  <c r="AF24" i="7"/>
  <c r="AI23" i="7"/>
  <c r="AH23" i="7"/>
  <c r="AG23" i="7"/>
  <c r="AF23" i="7"/>
  <c r="AI22" i="7"/>
  <c r="AH22" i="7"/>
  <c r="AG22" i="7"/>
  <c r="AF22" i="7"/>
  <c r="AI21" i="7"/>
  <c r="AH21" i="7"/>
  <c r="AG21" i="7"/>
  <c r="AF21" i="7"/>
  <c r="AI20" i="7"/>
  <c r="AH20" i="7"/>
  <c r="AG20" i="7"/>
  <c r="AF20" i="7"/>
  <c r="AI19" i="7"/>
  <c r="AH19" i="7"/>
  <c r="AG19" i="7"/>
  <c r="AF19" i="7"/>
  <c r="AI18" i="7"/>
  <c r="AH18" i="7"/>
  <c r="AG18" i="7"/>
  <c r="AF18" i="7"/>
  <c r="AI17" i="7"/>
  <c r="AH17" i="7"/>
  <c r="AG17" i="7"/>
  <c r="AF17" i="7"/>
  <c r="AI16" i="7"/>
  <c r="AH16" i="7"/>
  <c r="AG16" i="7"/>
  <c r="AF16" i="7"/>
  <c r="AI15" i="7"/>
  <c r="AH15" i="7"/>
  <c r="AG15" i="7"/>
  <c r="AF15" i="7"/>
  <c r="AI14" i="7"/>
  <c r="AH14" i="7"/>
  <c r="AG14" i="7"/>
  <c r="AF14" i="7"/>
  <c r="AI13" i="7"/>
  <c r="AH13" i="7"/>
  <c r="AG13" i="7"/>
  <c r="AF13" i="7"/>
  <c r="AI12" i="7"/>
  <c r="AH12" i="7"/>
  <c r="AG12" i="7"/>
  <c r="AF12" i="7"/>
  <c r="AI11" i="7"/>
  <c r="AH11" i="7"/>
  <c r="AG11" i="7"/>
  <c r="AF11" i="7"/>
  <c r="AI10" i="7"/>
  <c r="AH10" i="7"/>
  <c r="AG10" i="7"/>
  <c r="AF10" i="7"/>
  <c r="AI9" i="7"/>
  <c r="AH9" i="7"/>
  <c r="AG9" i="7"/>
  <c r="AF9" i="7"/>
  <c r="AI8" i="7"/>
  <c r="AH8" i="7"/>
  <c r="AG8" i="7"/>
  <c r="AF8" i="7"/>
  <c r="AI7" i="7"/>
  <c r="AH7" i="7"/>
  <c r="AG7" i="7"/>
  <c r="AF7" i="7"/>
  <c r="AI6" i="7"/>
  <c r="AH6" i="7"/>
  <c r="AG6" i="7"/>
  <c r="AF6" i="7"/>
  <c r="AI5" i="7"/>
  <c r="AH5" i="7"/>
  <c r="AG5" i="7"/>
  <c r="AF5" i="7"/>
  <c r="AI4" i="7"/>
  <c r="AH4" i="7"/>
  <c r="AG4" i="7"/>
  <c r="AF4" i="7"/>
  <c r="AI3" i="7"/>
  <c r="AH3" i="7"/>
  <c r="AG3" i="7"/>
  <c r="AF3" i="7"/>
  <c r="AI2" i="7"/>
  <c r="AH2" i="7"/>
  <c r="AG2" i="7"/>
  <c r="AF2" i="7"/>
  <c r="AD38" i="7"/>
  <c r="AC38" i="7"/>
  <c r="AB38" i="7"/>
  <c r="AA38" i="7"/>
  <c r="AD37" i="7"/>
  <c r="AC37" i="7"/>
  <c r="AB37" i="7"/>
  <c r="AA37" i="7"/>
  <c r="AD36" i="7"/>
  <c r="AC36" i="7"/>
  <c r="AB36" i="7"/>
  <c r="AA36" i="7"/>
  <c r="AD35" i="7"/>
  <c r="AC35" i="7"/>
  <c r="AB35" i="7"/>
  <c r="AA35" i="7"/>
  <c r="AD34" i="7"/>
  <c r="AC34" i="7"/>
  <c r="AB34" i="7"/>
  <c r="AA34" i="7"/>
  <c r="AD33" i="7"/>
  <c r="AC33" i="7"/>
  <c r="AB33" i="7"/>
  <c r="AA33" i="7"/>
  <c r="AD32" i="7"/>
  <c r="AC32" i="7"/>
  <c r="AB32" i="7"/>
  <c r="AA32" i="7"/>
  <c r="AD31" i="7"/>
  <c r="AC31" i="7"/>
  <c r="AB31" i="7"/>
  <c r="AA31" i="7"/>
  <c r="AD30" i="7"/>
  <c r="AC30" i="7"/>
  <c r="AB30" i="7"/>
  <c r="AA30" i="7"/>
  <c r="AD29" i="7"/>
  <c r="AC29" i="7"/>
  <c r="AB29" i="7"/>
  <c r="AA29" i="7"/>
  <c r="AD28" i="7"/>
  <c r="AC28" i="7"/>
  <c r="AB28" i="7"/>
  <c r="AA28" i="7"/>
  <c r="AD27" i="7"/>
  <c r="AC27" i="7"/>
  <c r="AB27" i="7"/>
  <c r="AA27" i="7"/>
  <c r="AD26" i="7"/>
  <c r="AC26" i="7"/>
  <c r="AB26" i="7"/>
  <c r="AA26" i="7"/>
  <c r="AD25" i="7"/>
  <c r="AC25" i="7"/>
  <c r="AB25" i="7"/>
  <c r="AA25" i="7"/>
  <c r="AD24" i="7"/>
  <c r="AC24" i="7"/>
  <c r="AB24" i="7"/>
  <c r="AA24" i="7"/>
  <c r="AD23" i="7"/>
  <c r="AC23" i="7"/>
  <c r="AB23" i="7"/>
  <c r="AA23" i="7"/>
  <c r="AD22" i="7"/>
  <c r="AC22" i="7"/>
  <c r="AB22" i="7"/>
  <c r="AA22" i="7"/>
  <c r="AD21" i="7"/>
  <c r="AC21" i="7"/>
  <c r="AB21" i="7"/>
  <c r="AA21" i="7"/>
  <c r="AD20" i="7"/>
  <c r="AC20" i="7"/>
  <c r="AB20" i="7"/>
  <c r="AA20" i="7"/>
  <c r="AD19" i="7"/>
  <c r="AC19" i="7"/>
  <c r="AB19" i="7"/>
  <c r="AA19" i="7"/>
  <c r="AD18" i="7"/>
  <c r="AC18" i="7"/>
  <c r="AB18" i="7"/>
  <c r="AA18" i="7"/>
  <c r="AD17" i="7"/>
  <c r="AC17" i="7"/>
  <c r="AB17" i="7"/>
  <c r="AA17" i="7"/>
  <c r="AD16" i="7"/>
  <c r="AC16" i="7"/>
  <c r="AB16" i="7"/>
  <c r="AA16" i="7"/>
  <c r="AD15" i="7"/>
  <c r="AC15" i="7"/>
  <c r="AB15" i="7"/>
  <c r="AA15" i="7"/>
  <c r="AD14" i="7"/>
  <c r="AC14" i="7"/>
  <c r="AB14" i="7"/>
  <c r="AA14" i="7"/>
  <c r="AD13" i="7"/>
  <c r="AC13" i="7"/>
  <c r="AB13" i="7"/>
  <c r="AA13" i="7"/>
  <c r="AD12" i="7"/>
  <c r="AC12" i="7"/>
  <c r="AB12" i="7"/>
  <c r="AA12" i="7"/>
  <c r="AD11" i="7"/>
  <c r="AC11" i="7"/>
  <c r="AB11" i="7"/>
  <c r="AA11" i="7"/>
  <c r="AD10" i="7"/>
  <c r="AC10" i="7"/>
  <c r="AB10" i="7"/>
  <c r="AA10" i="7"/>
  <c r="AD9" i="7"/>
  <c r="AC9" i="7"/>
  <c r="AB9" i="7"/>
  <c r="AA9" i="7"/>
  <c r="AD8" i="7"/>
  <c r="AC8" i="7"/>
  <c r="AB8" i="7"/>
  <c r="AA8" i="7"/>
  <c r="AD7" i="7"/>
  <c r="AC7" i="7"/>
  <c r="AB7" i="7"/>
  <c r="AA7" i="7"/>
  <c r="AD6" i="7"/>
  <c r="AC6" i="7"/>
  <c r="AB6" i="7"/>
  <c r="AA6" i="7"/>
  <c r="AD5" i="7"/>
  <c r="AC5" i="7"/>
  <c r="AB5" i="7"/>
  <c r="AA5" i="7"/>
  <c r="AD4" i="7"/>
  <c r="AC4" i="7"/>
  <c r="AB4" i="7"/>
  <c r="AA4" i="7"/>
  <c r="AD3" i="7"/>
  <c r="AC3" i="7"/>
  <c r="AB3" i="7"/>
  <c r="AA3" i="7"/>
  <c r="AD2" i="7"/>
  <c r="AC2" i="7"/>
  <c r="AB2" i="7"/>
  <c r="AA2" i="7"/>
  <c r="Y38" i="7"/>
  <c r="X38" i="7"/>
  <c r="W38" i="7"/>
  <c r="V38" i="7"/>
  <c r="Y37" i="7"/>
  <c r="X37" i="7"/>
  <c r="W37" i="7"/>
  <c r="V37" i="7"/>
  <c r="Y36" i="7"/>
  <c r="X36" i="7"/>
  <c r="W36" i="7"/>
  <c r="V36" i="7"/>
  <c r="Y35" i="7"/>
  <c r="X35" i="7"/>
  <c r="W35" i="7"/>
  <c r="V35" i="7"/>
  <c r="Y34" i="7"/>
  <c r="X34" i="7"/>
  <c r="W34" i="7"/>
  <c r="V34" i="7"/>
  <c r="Y33" i="7"/>
  <c r="X33" i="7"/>
  <c r="W33" i="7"/>
  <c r="V33" i="7"/>
  <c r="Y32" i="7"/>
  <c r="X32" i="7"/>
  <c r="W32" i="7"/>
  <c r="V32" i="7"/>
  <c r="Y31" i="7"/>
  <c r="X31" i="7"/>
  <c r="W31" i="7"/>
  <c r="V31" i="7"/>
  <c r="Y30" i="7"/>
  <c r="X30" i="7"/>
  <c r="W30" i="7"/>
  <c r="V30" i="7"/>
  <c r="Y29" i="7"/>
  <c r="X29" i="7"/>
  <c r="W29" i="7"/>
  <c r="V29" i="7"/>
  <c r="Y28" i="7"/>
  <c r="X28" i="7"/>
  <c r="W28" i="7"/>
  <c r="V28" i="7"/>
  <c r="Y27" i="7"/>
  <c r="X27" i="7"/>
  <c r="W27" i="7"/>
  <c r="V27" i="7"/>
  <c r="Y26" i="7"/>
  <c r="X26" i="7"/>
  <c r="W26" i="7"/>
  <c r="V26" i="7"/>
  <c r="Y25" i="7"/>
  <c r="X25" i="7"/>
  <c r="W25" i="7"/>
  <c r="V25" i="7"/>
  <c r="Y24" i="7"/>
  <c r="X24" i="7"/>
  <c r="W24" i="7"/>
  <c r="V24" i="7"/>
  <c r="Y23" i="7"/>
  <c r="X23" i="7"/>
  <c r="W23" i="7"/>
  <c r="V23" i="7"/>
  <c r="Y22" i="7"/>
  <c r="X22" i="7"/>
  <c r="W22" i="7"/>
  <c r="V22" i="7"/>
  <c r="Y21" i="7"/>
  <c r="X21" i="7"/>
  <c r="W21" i="7"/>
  <c r="V21" i="7"/>
  <c r="Y20" i="7"/>
  <c r="X20" i="7"/>
  <c r="W20" i="7"/>
  <c r="V20" i="7"/>
  <c r="Y19" i="7"/>
  <c r="X19" i="7"/>
  <c r="W19" i="7"/>
  <c r="V19" i="7"/>
  <c r="Y18" i="7"/>
  <c r="X18" i="7"/>
  <c r="W18" i="7"/>
  <c r="V18" i="7"/>
  <c r="Y17" i="7"/>
  <c r="X17" i="7"/>
  <c r="W17" i="7"/>
  <c r="V17" i="7"/>
  <c r="Y16" i="7"/>
  <c r="X16" i="7"/>
  <c r="W16" i="7"/>
  <c r="V16" i="7"/>
  <c r="Y15" i="7"/>
  <c r="X15" i="7"/>
  <c r="W15" i="7"/>
  <c r="V15" i="7"/>
  <c r="Y14" i="7"/>
  <c r="X14" i="7"/>
  <c r="W14" i="7"/>
  <c r="V14" i="7"/>
  <c r="Y13" i="7"/>
  <c r="X13" i="7"/>
  <c r="W13" i="7"/>
  <c r="V13" i="7"/>
  <c r="Y12" i="7"/>
  <c r="X12" i="7"/>
  <c r="W12" i="7"/>
  <c r="V12" i="7"/>
  <c r="Y11" i="7"/>
  <c r="X11" i="7"/>
  <c r="W11" i="7"/>
  <c r="V11" i="7"/>
  <c r="Y10" i="7"/>
  <c r="X10" i="7"/>
  <c r="W10" i="7"/>
  <c r="V10" i="7"/>
  <c r="Y9" i="7"/>
  <c r="X9" i="7"/>
  <c r="W9" i="7"/>
  <c r="V9" i="7"/>
  <c r="Y8" i="7"/>
  <c r="X8" i="7"/>
  <c r="W8" i="7"/>
  <c r="V8" i="7"/>
  <c r="Y7" i="7"/>
  <c r="X7" i="7"/>
  <c r="W7" i="7"/>
  <c r="V7" i="7"/>
  <c r="Y6" i="7"/>
  <c r="X6" i="7"/>
  <c r="W6" i="7"/>
  <c r="V6" i="7"/>
  <c r="Y5" i="7"/>
  <c r="X5" i="7"/>
  <c r="W5" i="7"/>
  <c r="V5" i="7"/>
  <c r="Y4" i="7"/>
  <c r="X4" i="7"/>
  <c r="W4" i="7"/>
  <c r="V4" i="7"/>
  <c r="Y3" i="7"/>
  <c r="X3" i="7"/>
  <c r="W3" i="7"/>
  <c r="V3" i="7"/>
  <c r="Y2" i="7"/>
  <c r="X2" i="7"/>
  <c r="W2" i="7"/>
  <c r="V2" i="7"/>
  <c r="T38" i="7"/>
  <c r="S38" i="7"/>
  <c r="R38" i="7"/>
  <c r="Q38" i="7"/>
  <c r="T37" i="7"/>
  <c r="S37" i="7"/>
  <c r="R37" i="7"/>
  <c r="Q37" i="7"/>
  <c r="T36" i="7"/>
  <c r="S36" i="7"/>
  <c r="R36" i="7"/>
  <c r="Q36" i="7"/>
  <c r="T35" i="7"/>
  <c r="S35" i="7"/>
  <c r="R35" i="7"/>
  <c r="Q35" i="7"/>
  <c r="T34" i="7"/>
  <c r="S34" i="7"/>
  <c r="R34" i="7"/>
  <c r="Q34" i="7"/>
  <c r="T33" i="7"/>
  <c r="S33" i="7"/>
  <c r="R33" i="7"/>
  <c r="Q33" i="7"/>
  <c r="T32" i="7"/>
  <c r="S32" i="7"/>
  <c r="R32" i="7"/>
  <c r="Q32" i="7"/>
  <c r="T31" i="7"/>
  <c r="S31" i="7"/>
  <c r="R31" i="7"/>
  <c r="Q31" i="7"/>
  <c r="T30" i="7"/>
  <c r="S30" i="7"/>
  <c r="R30" i="7"/>
  <c r="Q30" i="7"/>
  <c r="T29" i="7"/>
  <c r="S29" i="7"/>
  <c r="R29" i="7"/>
  <c r="Q29" i="7"/>
  <c r="T28" i="7"/>
  <c r="S28" i="7"/>
  <c r="R28" i="7"/>
  <c r="Q28" i="7"/>
  <c r="T27" i="7"/>
  <c r="S27" i="7"/>
  <c r="R27" i="7"/>
  <c r="Q27" i="7"/>
  <c r="T26" i="7"/>
  <c r="S26" i="7"/>
  <c r="R26" i="7"/>
  <c r="Q26" i="7"/>
  <c r="T25" i="7"/>
  <c r="S25" i="7"/>
  <c r="R25" i="7"/>
  <c r="Q25" i="7"/>
  <c r="T24" i="7"/>
  <c r="S24" i="7"/>
  <c r="R24" i="7"/>
  <c r="Q24" i="7"/>
  <c r="T23" i="7"/>
  <c r="S23" i="7"/>
  <c r="R23" i="7"/>
  <c r="Q23" i="7"/>
  <c r="T22" i="7"/>
  <c r="S22" i="7"/>
  <c r="R22" i="7"/>
  <c r="Q22" i="7"/>
  <c r="T21" i="7"/>
  <c r="S21" i="7"/>
  <c r="R21" i="7"/>
  <c r="Q21" i="7"/>
  <c r="T20" i="7"/>
  <c r="S20" i="7"/>
  <c r="R20" i="7"/>
  <c r="Q20" i="7"/>
  <c r="T19" i="7"/>
  <c r="S19" i="7"/>
  <c r="R19" i="7"/>
  <c r="Q19" i="7"/>
  <c r="T18" i="7"/>
  <c r="S18" i="7"/>
  <c r="R18" i="7"/>
  <c r="Q18" i="7"/>
  <c r="T17" i="7"/>
  <c r="S17" i="7"/>
  <c r="R17" i="7"/>
  <c r="Q17" i="7"/>
  <c r="T16" i="7"/>
  <c r="S16" i="7"/>
  <c r="R16" i="7"/>
  <c r="Q16" i="7"/>
  <c r="T15" i="7"/>
  <c r="S15" i="7"/>
  <c r="R15" i="7"/>
  <c r="Q15" i="7"/>
  <c r="T14" i="7"/>
  <c r="S14" i="7"/>
  <c r="R14" i="7"/>
  <c r="Q14" i="7"/>
  <c r="T13" i="7"/>
  <c r="S13" i="7"/>
  <c r="R13" i="7"/>
  <c r="Q13" i="7"/>
  <c r="T12" i="7"/>
  <c r="S12" i="7"/>
  <c r="R12" i="7"/>
  <c r="Q12" i="7"/>
  <c r="T11" i="7"/>
  <c r="S11" i="7"/>
  <c r="R11" i="7"/>
  <c r="Q11" i="7"/>
  <c r="T10" i="7"/>
  <c r="S10" i="7"/>
  <c r="R10" i="7"/>
  <c r="Q10" i="7"/>
  <c r="T9" i="7"/>
  <c r="S9" i="7"/>
  <c r="R9" i="7"/>
  <c r="Q9" i="7"/>
  <c r="T8" i="7"/>
  <c r="S8" i="7"/>
  <c r="R8" i="7"/>
  <c r="Q8" i="7"/>
  <c r="T7" i="7"/>
  <c r="S7" i="7"/>
  <c r="R7" i="7"/>
  <c r="Q7" i="7"/>
  <c r="T6" i="7"/>
  <c r="S6" i="7"/>
  <c r="R6" i="7"/>
  <c r="Q6" i="7"/>
  <c r="T5" i="7"/>
  <c r="S5" i="7"/>
  <c r="R5" i="7"/>
  <c r="Q5" i="7"/>
  <c r="T4" i="7"/>
  <c r="S4" i="7"/>
  <c r="R4" i="7"/>
  <c r="Q4" i="7"/>
  <c r="T3" i="7"/>
  <c r="S3" i="7"/>
  <c r="R3" i="7"/>
  <c r="Q3" i="7"/>
  <c r="T2" i="7"/>
  <c r="S2" i="7"/>
  <c r="R2" i="7"/>
  <c r="Q2" i="7"/>
  <c r="O38" i="7"/>
  <c r="N38" i="7"/>
  <c r="M38" i="7"/>
  <c r="L38" i="7"/>
  <c r="O37" i="7"/>
  <c r="N37" i="7"/>
  <c r="M37" i="7"/>
  <c r="L37" i="7"/>
  <c r="O36" i="7"/>
  <c r="N36" i="7"/>
  <c r="M36" i="7"/>
  <c r="L36" i="7"/>
  <c r="O35" i="7"/>
  <c r="N35" i="7"/>
  <c r="M35" i="7"/>
  <c r="L35" i="7"/>
  <c r="O34" i="7"/>
  <c r="N34" i="7"/>
  <c r="M34" i="7"/>
  <c r="L34" i="7"/>
  <c r="O33" i="7"/>
  <c r="N33" i="7"/>
  <c r="M33" i="7"/>
  <c r="L33" i="7"/>
  <c r="O32" i="7"/>
  <c r="N32" i="7"/>
  <c r="M32" i="7"/>
  <c r="L32" i="7"/>
  <c r="O31" i="7"/>
  <c r="N31" i="7"/>
  <c r="M31" i="7"/>
  <c r="L31" i="7"/>
  <c r="O30" i="7"/>
  <c r="N30" i="7"/>
  <c r="M30" i="7"/>
  <c r="L30" i="7"/>
  <c r="O29" i="7"/>
  <c r="N29" i="7"/>
  <c r="M29" i="7"/>
  <c r="L29" i="7"/>
  <c r="O28" i="7"/>
  <c r="N28" i="7"/>
  <c r="M28" i="7"/>
  <c r="L28" i="7"/>
  <c r="O27" i="7"/>
  <c r="N27" i="7"/>
  <c r="M27" i="7"/>
  <c r="L27" i="7"/>
  <c r="O26" i="7"/>
  <c r="N26" i="7"/>
  <c r="M26" i="7"/>
  <c r="L26" i="7"/>
  <c r="O25" i="7"/>
  <c r="N25" i="7"/>
  <c r="M25" i="7"/>
  <c r="L25" i="7"/>
  <c r="O24" i="7"/>
  <c r="N24" i="7"/>
  <c r="M24" i="7"/>
  <c r="L24" i="7"/>
  <c r="O23" i="7"/>
  <c r="N23" i="7"/>
  <c r="M23" i="7"/>
  <c r="L23" i="7"/>
  <c r="O22" i="7"/>
  <c r="N22" i="7"/>
  <c r="M22" i="7"/>
  <c r="L22" i="7"/>
  <c r="O21" i="7"/>
  <c r="N21" i="7"/>
  <c r="M21" i="7"/>
  <c r="L21" i="7"/>
  <c r="O20" i="7"/>
  <c r="N20" i="7"/>
  <c r="M20" i="7"/>
  <c r="L20" i="7"/>
  <c r="O19" i="7"/>
  <c r="N19" i="7"/>
  <c r="M19" i="7"/>
  <c r="L19" i="7"/>
  <c r="O18" i="7"/>
  <c r="N18" i="7"/>
  <c r="M18" i="7"/>
  <c r="L18" i="7"/>
  <c r="O17" i="7"/>
  <c r="N17" i="7"/>
  <c r="M17" i="7"/>
  <c r="L17" i="7"/>
  <c r="O16" i="7"/>
  <c r="N16" i="7"/>
  <c r="M16" i="7"/>
  <c r="L16" i="7"/>
  <c r="O15" i="7"/>
  <c r="N15" i="7"/>
  <c r="M15" i="7"/>
  <c r="L15" i="7"/>
  <c r="O14" i="7"/>
  <c r="N14" i="7"/>
  <c r="M14" i="7"/>
  <c r="L14" i="7"/>
  <c r="O13" i="7"/>
  <c r="N13" i="7"/>
  <c r="M13" i="7"/>
  <c r="L13" i="7"/>
  <c r="O12" i="7"/>
  <c r="N12" i="7"/>
  <c r="M12" i="7"/>
  <c r="L12" i="7"/>
  <c r="O11" i="7"/>
  <c r="N11" i="7"/>
  <c r="M11" i="7"/>
  <c r="L11" i="7"/>
  <c r="O10" i="7"/>
  <c r="N10" i="7"/>
  <c r="M10" i="7"/>
  <c r="L10" i="7"/>
  <c r="O9" i="7"/>
  <c r="N9" i="7"/>
  <c r="M9" i="7"/>
  <c r="L9" i="7"/>
  <c r="O8" i="7"/>
  <c r="N8" i="7"/>
  <c r="M8" i="7"/>
  <c r="L8" i="7"/>
  <c r="O7" i="7"/>
  <c r="N7" i="7"/>
  <c r="M7" i="7"/>
  <c r="L7" i="7"/>
  <c r="O6" i="7"/>
  <c r="N6" i="7"/>
  <c r="M6" i="7"/>
  <c r="L6" i="7"/>
  <c r="O5" i="7"/>
  <c r="N5" i="7"/>
  <c r="M5" i="7"/>
  <c r="L5" i="7"/>
  <c r="O4" i="7"/>
  <c r="N4" i="7"/>
  <c r="M4" i="7"/>
  <c r="L4" i="7"/>
  <c r="O3" i="7"/>
  <c r="N3" i="7"/>
  <c r="M3" i="7"/>
  <c r="L3" i="7"/>
  <c r="O2" i="7"/>
  <c r="N2" i="7"/>
  <c r="M2" i="7"/>
  <c r="L2" i="7"/>
  <c r="J38" i="7"/>
  <c r="I38" i="7"/>
  <c r="H38" i="7"/>
  <c r="G38" i="7"/>
  <c r="J37" i="7"/>
  <c r="I37" i="7"/>
  <c r="H37" i="7"/>
  <c r="G37" i="7"/>
  <c r="J36" i="7"/>
  <c r="I36" i="7"/>
  <c r="H36" i="7"/>
  <c r="G36" i="7"/>
  <c r="J35" i="7"/>
  <c r="I35" i="7"/>
  <c r="H35" i="7"/>
  <c r="G35" i="7"/>
  <c r="J34" i="7"/>
  <c r="I34" i="7"/>
  <c r="H34" i="7"/>
  <c r="G34" i="7"/>
  <c r="J33" i="7"/>
  <c r="I33" i="7"/>
  <c r="H33" i="7"/>
  <c r="G33" i="7"/>
  <c r="J32" i="7"/>
  <c r="I32" i="7"/>
  <c r="H32" i="7"/>
  <c r="G32" i="7"/>
  <c r="J31" i="7"/>
  <c r="I31" i="7"/>
  <c r="H31" i="7"/>
  <c r="G31" i="7"/>
  <c r="J30" i="7"/>
  <c r="I30" i="7"/>
  <c r="H30" i="7"/>
  <c r="G30" i="7"/>
  <c r="J29" i="7"/>
  <c r="I29" i="7"/>
  <c r="H29" i="7"/>
  <c r="G29" i="7"/>
  <c r="J28" i="7"/>
  <c r="I28" i="7"/>
  <c r="H28" i="7"/>
  <c r="G28" i="7"/>
  <c r="J27" i="7"/>
  <c r="I27" i="7"/>
  <c r="H27" i="7"/>
  <c r="G27" i="7"/>
  <c r="J26" i="7"/>
  <c r="I26" i="7"/>
  <c r="H26" i="7"/>
  <c r="G26" i="7"/>
  <c r="J25" i="7"/>
  <c r="I25" i="7"/>
  <c r="H25" i="7"/>
  <c r="G25" i="7"/>
  <c r="J24" i="7"/>
  <c r="I24" i="7"/>
  <c r="H24" i="7"/>
  <c r="G24" i="7"/>
  <c r="J23" i="7"/>
  <c r="I23" i="7"/>
  <c r="H23" i="7"/>
  <c r="G23" i="7"/>
  <c r="J22" i="7"/>
  <c r="I22" i="7"/>
  <c r="H22" i="7"/>
  <c r="G22" i="7"/>
  <c r="J21" i="7"/>
  <c r="I21" i="7"/>
  <c r="H21" i="7"/>
  <c r="G21" i="7"/>
  <c r="J20" i="7"/>
  <c r="I20" i="7"/>
  <c r="H20" i="7"/>
  <c r="G20" i="7"/>
  <c r="J19" i="7"/>
  <c r="I19" i="7"/>
  <c r="H19" i="7"/>
  <c r="G19" i="7"/>
  <c r="J18" i="7"/>
  <c r="I18" i="7"/>
  <c r="H18" i="7"/>
  <c r="G18" i="7"/>
  <c r="J17" i="7"/>
  <c r="I17" i="7"/>
  <c r="H17" i="7"/>
  <c r="G17" i="7"/>
  <c r="J16" i="7"/>
  <c r="I16" i="7"/>
  <c r="H16" i="7"/>
  <c r="G16" i="7"/>
  <c r="J15" i="7"/>
  <c r="I15" i="7"/>
  <c r="H15" i="7"/>
  <c r="G15" i="7"/>
  <c r="J14" i="7"/>
  <c r="I14" i="7"/>
  <c r="H14" i="7"/>
  <c r="G14" i="7"/>
  <c r="J13" i="7"/>
  <c r="I13" i="7"/>
  <c r="H13" i="7"/>
  <c r="G13" i="7"/>
  <c r="J12" i="7"/>
  <c r="I12" i="7"/>
  <c r="H12" i="7"/>
  <c r="G12" i="7"/>
  <c r="J11" i="7"/>
  <c r="I11" i="7"/>
  <c r="H11" i="7"/>
  <c r="G11" i="7"/>
  <c r="J10" i="7"/>
  <c r="I10" i="7"/>
  <c r="H10" i="7"/>
  <c r="G10" i="7"/>
  <c r="J9" i="7"/>
  <c r="I9" i="7"/>
  <c r="H9" i="7"/>
  <c r="G9" i="7"/>
  <c r="J8" i="7"/>
  <c r="I8" i="7"/>
  <c r="H8" i="7"/>
  <c r="G8" i="7"/>
  <c r="J7" i="7"/>
  <c r="I7" i="7"/>
  <c r="H7" i="7"/>
  <c r="G7" i="7"/>
  <c r="J6" i="7"/>
  <c r="I6" i="7"/>
  <c r="H6" i="7"/>
  <c r="G6" i="7"/>
  <c r="J5" i="7"/>
  <c r="I5" i="7"/>
  <c r="H5" i="7"/>
  <c r="G5" i="7"/>
  <c r="J4" i="7"/>
  <c r="I4" i="7"/>
  <c r="H4" i="7"/>
  <c r="G4" i="7"/>
  <c r="J3" i="7"/>
  <c r="I3" i="7"/>
  <c r="H3" i="7"/>
  <c r="G3" i="7"/>
  <c r="J2" i="7"/>
  <c r="I2" i="7"/>
  <c r="H2" i="7"/>
  <c r="G2" i="7"/>
  <c r="B3" i="7"/>
  <c r="C3" i="7"/>
  <c r="D3" i="7"/>
  <c r="E3" i="7"/>
  <c r="B4" i="7"/>
  <c r="C4" i="7"/>
  <c r="D4" i="7"/>
  <c r="E4" i="7"/>
  <c r="B5" i="7"/>
  <c r="C5" i="7"/>
  <c r="D5" i="7"/>
  <c r="E5" i="7"/>
  <c r="B6" i="7"/>
  <c r="C6" i="7"/>
  <c r="D6" i="7"/>
  <c r="E6" i="7"/>
  <c r="B7" i="7"/>
  <c r="C7" i="7"/>
  <c r="D7" i="7"/>
  <c r="E7" i="7"/>
  <c r="B8" i="7"/>
  <c r="C8" i="7"/>
  <c r="D8" i="7"/>
  <c r="E8" i="7"/>
  <c r="B9" i="7"/>
  <c r="C9" i="7"/>
  <c r="D9" i="7"/>
  <c r="E9" i="7"/>
  <c r="B10" i="7"/>
  <c r="C10" i="7"/>
  <c r="D10" i="7"/>
  <c r="E10" i="7"/>
  <c r="B11" i="7"/>
  <c r="C11" i="7"/>
  <c r="D11" i="7"/>
  <c r="E11" i="7"/>
  <c r="B12" i="7"/>
  <c r="C12" i="7"/>
  <c r="D12" i="7"/>
  <c r="E12" i="7"/>
  <c r="B13" i="7"/>
  <c r="C13" i="7"/>
  <c r="D13" i="7"/>
  <c r="E13" i="7"/>
  <c r="B14" i="7"/>
  <c r="C14" i="7"/>
  <c r="D14" i="7"/>
  <c r="E14" i="7"/>
  <c r="B15" i="7"/>
  <c r="C15" i="7"/>
  <c r="D15" i="7"/>
  <c r="E15" i="7"/>
  <c r="B16" i="7"/>
  <c r="C16" i="7"/>
  <c r="D16" i="7"/>
  <c r="E16" i="7"/>
  <c r="B17" i="7"/>
  <c r="C17" i="7"/>
  <c r="D17" i="7"/>
  <c r="E17" i="7"/>
  <c r="B18" i="7"/>
  <c r="C18" i="7"/>
  <c r="D18" i="7"/>
  <c r="E18" i="7"/>
  <c r="B19" i="7"/>
  <c r="C19" i="7"/>
  <c r="D19" i="7"/>
  <c r="E19" i="7"/>
  <c r="B20" i="7"/>
  <c r="C20" i="7"/>
  <c r="D20" i="7"/>
  <c r="E20" i="7"/>
  <c r="B21" i="7"/>
  <c r="C21" i="7"/>
  <c r="D21" i="7"/>
  <c r="E21" i="7"/>
  <c r="B22" i="7"/>
  <c r="C22" i="7"/>
  <c r="D22" i="7"/>
  <c r="E22" i="7"/>
  <c r="B23" i="7"/>
  <c r="C23" i="7"/>
  <c r="D23" i="7"/>
  <c r="E23" i="7"/>
  <c r="B24" i="7"/>
  <c r="C24" i="7"/>
  <c r="D24" i="7"/>
  <c r="E24" i="7"/>
  <c r="B25" i="7"/>
  <c r="C25" i="7"/>
  <c r="D25" i="7"/>
  <c r="E25" i="7"/>
  <c r="B26" i="7"/>
  <c r="C26" i="7"/>
  <c r="D26" i="7"/>
  <c r="E26" i="7"/>
  <c r="B27" i="7"/>
  <c r="C27" i="7"/>
  <c r="D27" i="7"/>
  <c r="E27" i="7"/>
  <c r="B28" i="7"/>
  <c r="C28" i="7"/>
  <c r="D28" i="7"/>
  <c r="E28" i="7"/>
  <c r="B29" i="7"/>
  <c r="C29" i="7"/>
  <c r="D29" i="7"/>
  <c r="E29" i="7"/>
  <c r="B30" i="7"/>
  <c r="C30" i="7"/>
  <c r="D30" i="7"/>
  <c r="E30" i="7"/>
  <c r="B31" i="7"/>
  <c r="C31" i="7"/>
  <c r="D31" i="7"/>
  <c r="E31" i="7"/>
  <c r="B32" i="7"/>
  <c r="C32" i="7"/>
  <c r="D32" i="7"/>
  <c r="E32" i="7"/>
  <c r="B33" i="7"/>
  <c r="C33" i="7"/>
  <c r="D33" i="7"/>
  <c r="E33" i="7"/>
  <c r="B34" i="7"/>
  <c r="C34" i="7"/>
  <c r="D34" i="7"/>
  <c r="E34" i="7"/>
  <c r="B35" i="7"/>
  <c r="C35" i="7"/>
  <c r="D35" i="7"/>
  <c r="E35" i="7"/>
  <c r="B36" i="7"/>
  <c r="C36" i="7"/>
  <c r="D36" i="7"/>
  <c r="E36" i="7"/>
  <c r="B37" i="7"/>
  <c r="C37" i="7"/>
  <c r="D37" i="7"/>
  <c r="E37" i="7"/>
  <c r="B38" i="7"/>
  <c r="C38" i="7"/>
  <c r="D38" i="7"/>
  <c r="E38" i="7"/>
  <c r="E2" i="7"/>
  <c r="D2" i="7"/>
  <c r="C2" i="7"/>
  <c r="B2" i="7"/>
  <c r="AS38" i="6"/>
  <c r="AR38" i="6"/>
  <c r="AQ38" i="6"/>
  <c r="AP38" i="6"/>
  <c r="AS37" i="6"/>
  <c r="AR37" i="6"/>
  <c r="AQ37" i="6"/>
  <c r="AP37" i="6"/>
  <c r="AS36" i="6"/>
  <c r="AR36" i="6"/>
  <c r="AQ36" i="6"/>
  <c r="AP36" i="6"/>
  <c r="AS35" i="6"/>
  <c r="AR35" i="6"/>
  <c r="AQ35" i="6"/>
  <c r="AP35" i="6"/>
  <c r="AS34" i="6"/>
  <c r="AR34" i="6"/>
  <c r="AQ34" i="6"/>
  <c r="AP34" i="6"/>
  <c r="AS33" i="6"/>
  <c r="AR33" i="6"/>
  <c r="AQ33" i="6"/>
  <c r="AP33" i="6"/>
  <c r="AS32" i="6"/>
  <c r="AR32" i="6"/>
  <c r="AQ32" i="6"/>
  <c r="AP32" i="6"/>
  <c r="AS31" i="6"/>
  <c r="AR31" i="6"/>
  <c r="AQ31" i="6"/>
  <c r="AP31" i="6"/>
  <c r="AS30" i="6"/>
  <c r="AR30" i="6"/>
  <c r="AQ30" i="6"/>
  <c r="AP30" i="6"/>
  <c r="AS29" i="6"/>
  <c r="AR29" i="6"/>
  <c r="AQ29" i="6"/>
  <c r="AP29" i="6"/>
  <c r="AS28" i="6"/>
  <c r="AR28" i="6"/>
  <c r="AQ28" i="6"/>
  <c r="AP28" i="6"/>
  <c r="AS27" i="6"/>
  <c r="AR27" i="6"/>
  <c r="AQ27" i="6"/>
  <c r="AP27" i="6"/>
  <c r="AS26" i="6"/>
  <c r="AR26" i="6"/>
  <c r="AQ26" i="6"/>
  <c r="AP26" i="6"/>
  <c r="AS25" i="6"/>
  <c r="AR25" i="6"/>
  <c r="AQ25" i="6"/>
  <c r="AP25" i="6"/>
  <c r="AS24" i="6"/>
  <c r="AR24" i="6"/>
  <c r="AQ24" i="6"/>
  <c r="AP24" i="6"/>
  <c r="AS23" i="6"/>
  <c r="AR23" i="6"/>
  <c r="AQ23" i="6"/>
  <c r="AP23" i="6"/>
  <c r="AS22" i="6"/>
  <c r="AR22" i="6"/>
  <c r="AQ22" i="6"/>
  <c r="AP22" i="6"/>
  <c r="AS21" i="6"/>
  <c r="AR21" i="6"/>
  <c r="AQ21" i="6"/>
  <c r="AP21" i="6"/>
  <c r="AS20" i="6"/>
  <c r="AR20" i="6"/>
  <c r="AQ20" i="6"/>
  <c r="AP20" i="6"/>
  <c r="AS19" i="6"/>
  <c r="AR19" i="6"/>
  <c r="AQ19" i="6"/>
  <c r="AP19" i="6"/>
  <c r="AS18" i="6"/>
  <c r="AR18" i="6"/>
  <c r="AQ18" i="6"/>
  <c r="AP18" i="6"/>
  <c r="AS17" i="6"/>
  <c r="AR17" i="6"/>
  <c r="AQ17" i="6"/>
  <c r="AP17" i="6"/>
  <c r="AS16" i="6"/>
  <c r="AR16" i="6"/>
  <c r="AQ16" i="6"/>
  <c r="AP16" i="6"/>
  <c r="AS15" i="6"/>
  <c r="AR15" i="6"/>
  <c r="AQ15" i="6"/>
  <c r="AP15" i="6"/>
  <c r="AS14" i="6"/>
  <c r="AR14" i="6"/>
  <c r="AQ14" i="6"/>
  <c r="AP14" i="6"/>
  <c r="AS13" i="6"/>
  <c r="AR13" i="6"/>
  <c r="AQ13" i="6"/>
  <c r="AP13" i="6"/>
  <c r="AS12" i="6"/>
  <c r="AR12" i="6"/>
  <c r="AQ12" i="6"/>
  <c r="AP12" i="6"/>
  <c r="AS11" i="6"/>
  <c r="AR11" i="6"/>
  <c r="AQ11" i="6"/>
  <c r="AP11" i="6"/>
  <c r="AS10" i="6"/>
  <c r="AR10" i="6"/>
  <c r="AQ10" i="6"/>
  <c r="AP10" i="6"/>
  <c r="AS9" i="6"/>
  <c r="AR9" i="6"/>
  <c r="AQ9" i="6"/>
  <c r="AP9" i="6"/>
  <c r="AS8" i="6"/>
  <c r="AR8" i="6"/>
  <c r="AQ8" i="6"/>
  <c r="AP8" i="6"/>
  <c r="AS7" i="6"/>
  <c r="AR7" i="6"/>
  <c r="AQ7" i="6"/>
  <c r="AP7" i="6"/>
  <c r="AS6" i="6"/>
  <c r="AR6" i="6"/>
  <c r="AQ6" i="6"/>
  <c r="AP6" i="6"/>
  <c r="AS5" i="6"/>
  <c r="AR5" i="6"/>
  <c r="AQ5" i="6"/>
  <c r="AP5" i="6"/>
  <c r="AS4" i="6"/>
  <c r="AR4" i="6"/>
  <c r="AQ4" i="6"/>
  <c r="AP4" i="6"/>
  <c r="AS3" i="6"/>
  <c r="AR3" i="6"/>
  <c r="AQ3" i="6"/>
  <c r="AP3" i="6"/>
  <c r="AS2" i="6"/>
  <c r="AR2" i="6"/>
  <c r="AQ2" i="6"/>
  <c r="AP2" i="6"/>
  <c r="AN38" i="6"/>
  <c r="AM38" i="6"/>
  <c r="AL38" i="6"/>
  <c r="AK38" i="6"/>
  <c r="AN37" i="6"/>
  <c r="AM37" i="6"/>
  <c r="AL37" i="6"/>
  <c r="AK37" i="6"/>
  <c r="AN36" i="6"/>
  <c r="AM36" i="6"/>
  <c r="AL36" i="6"/>
  <c r="AK36" i="6"/>
  <c r="AN35" i="6"/>
  <c r="AM35" i="6"/>
  <c r="AL35" i="6"/>
  <c r="AK35" i="6"/>
  <c r="AN34" i="6"/>
  <c r="AM34" i="6"/>
  <c r="AL34" i="6"/>
  <c r="AK34" i="6"/>
  <c r="AN33" i="6"/>
  <c r="AM33" i="6"/>
  <c r="AL33" i="6"/>
  <c r="AK33" i="6"/>
  <c r="AN32" i="6"/>
  <c r="AM32" i="6"/>
  <c r="AL32" i="6"/>
  <c r="AK32" i="6"/>
  <c r="AN31" i="6"/>
  <c r="AM31" i="6"/>
  <c r="AL31" i="6"/>
  <c r="AK31" i="6"/>
  <c r="AN30" i="6"/>
  <c r="AM30" i="6"/>
  <c r="AL30" i="6"/>
  <c r="AK30" i="6"/>
  <c r="AN29" i="6"/>
  <c r="AM29" i="6"/>
  <c r="AL29" i="6"/>
  <c r="AK29" i="6"/>
  <c r="AN28" i="6"/>
  <c r="AM28" i="6"/>
  <c r="AL28" i="6"/>
  <c r="AK28" i="6"/>
  <c r="AN27" i="6"/>
  <c r="AM27" i="6"/>
  <c r="AL27" i="6"/>
  <c r="AK27" i="6"/>
  <c r="AN26" i="6"/>
  <c r="AM26" i="6"/>
  <c r="AL26" i="6"/>
  <c r="AK26" i="6"/>
  <c r="AN25" i="6"/>
  <c r="AM25" i="6"/>
  <c r="AL25" i="6"/>
  <c r="AK25" i="6"/>
  <c r="AN24" i="6"/>
  <c r="AM24" i="6"/>
  <c r="AL24" i="6"/>
  <c r="AK24" i="6"/>
  <c r="AN23" i="6"/>
  <c r="AM23" i="6"/>
  <c r="AL23" i="6"/>
  <c r="AK23" i="6"/>
  <c r="AN22" i="6"/>
  <c r="AM22" i="6"/>
  <c r="AL22" i="6"/>
  <c r="AK22" i="6"/>
  <c r="AN21" i="6"/>
  <c r="AM21" i="6"/>
  <c r="AL21" i="6"/>
  <c r="AK21" i="6"/>
  <c r="AN20" i="6"/>
  <c r="AM20" i="6"/>
  <c r="AL20" i="6"/>
  <c r="AK20" i="6"/>
  <c r="AN19" i="6"/>
  <c r="AM19" i="6"/>
  <c r="AL19" i="6"/>
  <c r="AK19" i="6"/>
  <c r="AN18" i="6"/>
  <c r="AM18" i="6"/>
  <c r="AL18" i="6"/>
  <c r="AK18" i="6"/>
  <c r="AN17" i="6"/>
  <c r="AM17" i="6"/>
  <c r="AL17" i="6"/>
  <c r="AK17" i="6"/>
  <c r="AN16" i="6"/>
  <c r="AM16" i="6"/>
  <c r="AL16" i="6"/>
  <c r="AK16" i="6"/>
  <c r="AN15" i="6"/>
  <c r="AM15" i="6"/>
  <c r="AL15" i="6"/>
  <c r="AK15" i="6"/>
  <c r="AN14" i="6"/>
  <c r="AM14" i="6"/>
  <c r="AL14" i="6"/>
  <c r="AK14" i="6"/>
  <c r="AN13" i="6"/>
  <c r="AM13" i="6"/>
  <c r="AL13" i="6"/>
  <c r="AK13" i="6"/>
  <c r="AN12" i="6"/>
  <c r="AM12" i="6"/>
  <c r="AL12" i="6"/>
  <c r="AK12" i="6"/>
  <c r="AN11" i="6"/>
  <c r="AM11" i="6"/>
  <c r="AL11" i="6"/>
  <c r="AK11" i="6"/>
  <c r="AN10" i="6"/>
  <c r="AM10" i="6"/>
  <c r="AL10" i="6"/>
  <c r="AK10" i="6"/>
  <c r="AN9" i="6"/>
  <c r="AM9" i="6"/>
  <c r="AL9" i="6"/>
  <c r="AK9" i="6"/>
  <c r="AN8" i="6"/>
  <c r="AM8" i="6"/>
  <c r="AL8" i="6"/>
  <c r="AK8" i="6"/>
  <c r="AN7" i="6"/>
  <c r="AM7" i="6"/>
  <c r="AL7" i="6"/>
  <c r="AK7" i="6"/>
  <c r="AN6" i="6"/>
  <c r="AM6" i="6"/>
  <c r="AL6" i="6"/>
  <c r="AK6" i="6"/>
  <c r="AN5" i="6"/>
  <c r="AM5" i="6"/>
  <c r="AL5" i="6"/>
  <c r="AK5" i="6"/>
  <c r="AN4" i="6"/>
  <c r="AM4" i="6"/>
  <c r="AL4" i="6"/>
  <c r="AK4" i="6"/>
  <c r="AN3" i="6"/>
  <c r="AM3" i="6"/>
  <c r="AL3" i="6"/>
  <c r="AK3" i="6"/>
  <c r="AN2" i="6"/>
  <c r="AM2" i="6"/>
  <c r="AL2" i="6"/>
  <c r="AK2" i="6"/>
  <c r="AI38" i="6"/>
  <c r="AH38" i="6"/>
  <c r="AG38" i="6"/>
  <c r="AF38" i="6"/>
  <c r="AI37" i="6"/>
  <c r="AH37" i="6"/>
  <c r="AG37" i="6"/>
  <c r="AF37" i="6"/>
  <c r="AI36" i="6"/>
  <c r="AH36" i="6"/>
  <c r="AG36" i="6"/>
  <c r="AF36" i="6"/>
  <c r="AI35" i="6"/>
  <c r="AH35" i="6"/>
  <c r="AG35" i="6"/>
  <c r="AF35" i="6"/>
  <c r="AI34" i="6"/>
  <c r="AH34" i="6"/>
  <c r="AG34" i="6"/>
  <c r="AF34" i="6"/>
  <c r="AI33" i="6"/>
  <c r="AH33" i="6"/>
  <c r="AG33" i="6"/>
  <c r="AF33" i="6"/>
  <c r="AI32" i="6"/>
  <c r="AH32" i="6"/>
  <c r="AG32" i="6"/>
  <c r="AF32" i="6"/>
  <c r="AI31" i="6"/>
  <c r="AH31" i="6"/>
  <c r="AG31" i="6"/>
  <c r="AF31" i="6"/>
  <c r="AI30" i="6"/>
  <c r="AH30" i="6"/>
  <c r="AG30" i="6"/>
  <c r="AF30" i="6"/>
  <c r="AI29" i="6"/>
  <c r="AH29" i="6"/>
  <c r="AG29" i="6"/>
  <c r="AF29" i="6"/>
  <c r="AI28" i="6"/>
  <c r="AH28" i="6"/>
  <c r="AG28" i="6"/>
  <c r="AF28" i="6"/>
  <c r="AI27" i="6"/>
  <c r="AH27" i="6"/>
  <c r="AG27" i="6"/>
  <c r="AF27" i="6"/>
  <c r="AI26" i="6"/>
  <c r="AH26" i="6"/>
  <c r="AG26" i="6"/>
  <c r="AF26" i="6"/>
  <c r="AI25" i="6"/>
  <c r="AH25" i="6"/>
  <c r="AG25" i="6"/>
  <c r="AF25" i="6"/>
  <c r="AI24" i="6"/>
  <c r="AH24" i="6"/>
  <c r="AG24" i="6"/>
  <c r="AF24" i="6"/>
  <c r="AI23" i="6"/>
  <c r="AH23" i="6"/>
  <c r="AG23" i="6"/>
  <c r="AF23" i="6"/>
  <c r="AI22" i="6"/>
  <c r="AH22" i="6"/>
  <c r="AG22" i="6"/>
  <c r="AF22" i="6"/>
  <c r="AI21" i="6"/>
  <c r="AH21" i="6"/>
  <c r="AG21" i="6"/>
  <c r="AF21" i="6"/>
  <c r="AI20" i="6"/>
  <c r="AH20" i="6"/>
  <c r="AG20" i="6"/>
  <c r="AF20" i="6"/>
  <c r="AI19" i="6"/>
  <c r="AH19" i="6"/>
  <c r="AG19" i="6"/>
  <c r="AF19" i="6"/>
  <c r="AI18" i="6"/>
  <c r="AH18" i="6"/>
  <c r="AG18" i="6"/>
  <c r="AF18" i="6"/>
  <c r="AI17" i="6"/>
  <c r="AH17" i="6"/>
  <c r="AG17" i="6"/>
  <c r="AF17" i="6"/>
  <c r="AI16" i="6"/>
  <c r="AH16" i="6"/>
  <c r="AG16" i="6"/>
  <c r="AF16" i="6"/>
  <c r="AI15" i="6"/>
  <c r="AH15" i="6"/>
  <c r="AG15" i="6"/>
  <c r="AF15" i="6"/>
  <c r="AI14" i="6"/>
  <c r="AH14" i="6"/>
  <c r="AG14" i="6"/>
  <c r="AF14" i="6"/>
  <c r="AI13" i="6"/>
  <c r="AH13" i="6"/>
  <c r="AG13" i="6"/>
  <c r="AF13" i="6"/>
  <c r="AI12" i="6"/>
  <c r="AH12" i="6"/>
  <c r="AG12" i="6"/>
  <c r="AF12" i="6"/>
  <c r="AI11" i="6"/>
  <c r="AH11" i="6"/>
  <c r="AG11" i="6"/>
  <c r="AF11" i="6"/>
  <c r="AI10" i="6"/>
  <c r="AH10" i="6"/>
  <c r="AG10" i="6"/>
  <c r="AF10" i="6"/>
  <c r="AI9" i="6"/>
  <c r="AH9" i="6"/>
  <c r="AG9" i="6"/>
  <c r="AF9" i="6"/>
  <c r="AI8" i="6"/>
  <c r="AH8" i="6"/>
  <c r="AG8" i="6"/>
  <c r="AF8" i="6"/>
  <c r="AI7" i="6"/>
  <c r="AH7" i="6"/>
  <c r="AG7" i="6"/>
  <c r="AF7" i="6"/>
  <c r="AI6" i="6"/>
  <c r="AH6" i="6"/>
  <c r="AG6" i="6"/>
  <c r="AF6" i="6"/>
  <c r="AI5" i="6"/>
  <c r="AH5" i="6"/>
  <c r="AG5" i="6"/>
  <c r="AF5" i="6"/>
  <c r="AI4" i="6"/>
  <c r="AH4" i="6"/>
  <c r="AG4" i="6"/>
  <c r="AF4" i="6"/>
  <c r="AI3" i="6"/>
  <c r="AH3" i="6"/>
  <c r="AG3" i="6"/>
  <c r="AF3" i="6"/>
  <c r="AI2" i="6"/>
  <c r="AH2" i="6"/>
  <c r="AG2" i="6"/>
  <c r="AF2" i="6"/>
  <c r="AD38" i="6"/>
  <c r="AC38" i="6"/>
  <c r="AB38" i="6"/>
  <c r="AA38" i="6"/>
  <c r="AD37" i="6"/>
  <c r="AC37" i="6"/>
  <c r="AB37" i="6"/>
  <c r="AA37" i="6"/>
  <c r="AD36" i="6"/>
  <c r="AC36" i="6"/>
  <c r="AB36" i="6"/>
  <c r="AA36" i="6"/>
  <c r="AD35" i="6"/>
  <c r="AC35" i="6"/>
  <c r="AB35" i="6"/>
  <c r="AA35" i="6"/>
  <c r="AD34" i="6"/>
  <c r="AC34" i="6"/>
  <c r="AB34" i="6"/>
  <c r="AA34" i="6"/>
  <c r="AD33" i="6"/>
  <c r="AC33" i="6"/>
  <c r="AB33" i="6"/>
  <c r="AA33" i="6"/>
  <c r="AD32" i="6"/>
  <c r="AC32" i="6"/>
  <c r="AB32" i="6"/>
  <c r="AA32" i="6"/>
  <c r="AD31" i="6"/>
  <c r="AC31" i="6"/>
  <c r="AB31" i="6"/>
  <c r="AA31" i="6"/>
  <c r="AD30" i="6"/>
  <c r="AC30" i="6"/>
  <c r="AB30" i="6"/>
  <c r="AA30" i="6"/>
  <c r="AD29" i="6"/>
  <c r="AC29" i="6"/>
  <c r="AB29" i="6"/>
  <c r="AA29" i="6"/>
  <c r="AD28" i="6"/>
  <c r="AC28" i="6"/>
  <c r="AB28" i="6"/>
  <c r="AA28" i="6"/>
  <c r="AD27" i="6"/>
  <c r="AC27" i="6"/>
  <c r="AB27" i="6"/>
  <c r="AA27" i="6"/>
  <c r="AD26" i="6"/>
  <c r="AC26" i="6"/>
  <c r="AB26" i="6"/>
  <c r="AA26" i="6"/>
  <c r="AD25" i="6"/>
  <c r="AC25" i="6"/>
  <c r="AB25" i="6"/>
  <c r="AA25" i="6"/>
  <c r="AD24" i="6"/>
  <c r="AC24" i="6"/>
  <c r="AB24" i="6"/>
  <c r="AA24" i="6"/>
  <c r="AD23" i="6"/>
  <c r="AC23" i="6"/>
  <c r="AB23" i="6"/>
  <c r="AA23" i="6"/>
  <c r="AD22" i="6"/>
  <c r="AC22" i="6"/>
  <c r="AB22" i="6"/>
  <c r="AA22" i="6"/>
  <c r="AD21" i="6"/>
  <c r="AC21" i="6"/>
  <c r="AB21" i="6"/>
  <c r="AA21" i="6"/>
  <c r="AD20" i="6"/>
  <c r="AC20" i="6"/>
  <c r="AB20" i="6"/>
  <c r="AA20" i="6"/>
  <c r="AD19" i="6"/>
  <c r="AC19" i="6"/>
  <c r="AB19" i="6"/>
  <c r="AA19" i="6"/>
  <c r="AD18" i="6"/>
  <c r="AC18" i="6"/>
  <c r="AB18" i="6"/>
  <c r="AA18" i="6"/>
  <c r="AD17" i="6"/>
  <c r="AC17" i="6"/>
  <c r="AB17" i="6"/>
  <c r="AA17" i="6"/>
  <c r="AD16" i="6"/>
  <c r="AC16" i="6"/>
  <c r="AB16" i="6"/>
  <c r="AA16" i="6"/>
  <c r="AD15" i="6"/>
  <c r="AC15" i="6"/>
  <c r="AB15" i="6"/>
  <c r="AA15" i="6"/>
  <c r="AD14" i="6"/>
  <c r="AC14" i="6"/>
  <c r="AB14" i="6"/>
  <c r="AA14" i="6"/>
  <c r="AD13" i="6"/>
  <c r="AC13" i="6"/>
  <c r="AB13" i="6"/>
  <c r="AA13" i="6"/>
  <c r="AD12" i="6"/>
  <c r="AC12" i="6"/>
  <c r="AB12" i="6"/>
  <c r="AA12" i="6"/>
  <c r="AD11" i="6"/>
  <c r="AC11" i="6"/>
  <c r="AB11" i="6"/>
  <c r="AA11" i="6"/>
  <c r="AD10" i="6"/>
  <c r="AC10" i="6"/>
  <c r="AB10" i="6"/>
  <c r="AA10" i="6"/>
  <c r="AD9" i="6"/>
  <c r="AC9" i="6"/>
  <c r="AB9" i="6"/>
  <c r="AA9" i="6"/>
  <c r="AD8" i="6"/>
  <c r="AC8" i="6"/>
  <c r="AB8" i="6"/>
  <c r="AA8" i="6"/>
  <c r="AD7" i="6"/>
  <c r="AC7" i="6"/>
  <c r="AB7" i="6"/>
  <c r="AA7" i="6"/>
  <c r="AD6" i="6"/>
  <c r="AC6" i="6"/>
  <c r="AB6" i="6"/>
  <c r="AA6" i="6"/>
  <c r="AD5" i="6"/>
  <c r="AC5" i="6"/>
  <c r="AB5" i="6"/>
  <c r="AA5" i="6"/>
  <c r="AD4" i="6"/>
  <c r="AC4" i="6"/>
  <c r="AB4" i="6"/>
  <c r="AA4" i="6"/>
  <c r="AD3" i="6"/>
  <c r="AC3" i="6"/>
  <c r="AB3" i="6"/>
  <c r="AA3" i="6"/>
  <c r="AD2" i="6"/>
  <c r="AC2" i="6"/>
  <c r="AB2" i="6"/>
  <c r="AA2" i="6"/>
  <c r="Y38" i="6"/>
  <c r="X38" i="6"/>
  <c r="W38" i="6"/>
  <c r="V38" i="6"/>
  <c r="Y37" i="6"/>
  <c r="X37" i="6"/>
  <c r="W37" i="6"/>
  <c r="V37" i="6"/>
  <c r="Y36" i="6"/>
  <c r="X36" i="6"/>
  <c r="W36" i="6"/>
  <c r="V36" i="6"/>
  <c r="Y35" i="6"/>
  <c r="X35" i="6"/>
  <c r="W35" i="6"/>
  <c r="V35" i="6"/>
  <c r="Y34" i="6"/>
  <c r="X34" i="6"/>
  <c r="W34" i="6"/>
  <c r="V34" i="6"/>
  <c r="Y33" i="6"/>
  <c r="X33" i="6"/>
  <c r="W33" i="6"/>
  <c r="V33" i="6"/>
  <c r="Y32" i="6"/>
  <c r="X32" i="6"/>
  <c r="W32" i="6"/>
  <c r="V32" i="6"/>
  <c r="Y31" i="6"/>
  <c r="X31" i="6"/>
  <c r="W31" i="6"/>
  <c r="V31" i="6"/>
  <c r="Y30" i="6"/>
  <c r="X30" i="6"/>
  <c r="W30" i="6"/>
  <c r="V30" i="6"/>
  <c r="Y29" i="6"/>
  <c r="X29" i="6"/>
  <c r="W29" i="6"/>
  <c r="V29" i="6"/>
  <c r="Y28" i="6"/>
  <c r="X28" i="6"/>
  <c r="W28" i="6"/>
  <c r="V28" i="6"/>
  <c r="Y27" i="6"/>
  <c r="X27" i="6"/>
  <c r="W27" i="6"/>
  <c r="V27" i="6"/>
  <c r="Y26" i="6"/>
  <c r="X26" i="6"/>
  <c r="W26" i="6"/>
  <c r="V26" i="6"/>
  <c r="Y25" i="6"/>
  <c r="X25" i="6"/>
  <c r="W25" i="6"/>
  <c r="V25" i="6"/>
  <c r="Y24" i="6"/>
  <c r="X24" i="6"/>
  <c r="W24" i="6"/>
  <c r="V24" i="6"/>
  <c r="Y23" i="6"/>
  <c r="X23" i="6"/>
  <c r="W23" i="6"/>
  <c r="V23" i="6"/>
  <c r="Y22" i="6"/>
  <c r="X22" i="6"/>
  <c r="W22" i="6"/>
  <c r="V22" i="6"/>
  <c r="Y21" i="6"/>
  <c r="X21" i="6"/>
  <c r="W21" i="6"/>
  <c r="V21" i="6"/>
  <c r="Y20" i="6"/>
  <c r="X20" i="6"/>
  <c r="W20" i="6"/>
  <c r="V20" i="6"/>
  <c r="Y19" i="6"/>
  <c r="X19" i="6"/>
  <c r="W19" i="6"/>
  <c r="V19" i="6"/>
  <c r="Y18" i="6"/>
  <c r="X18" i="6"/>
  <c r="W18" i="6"/>
  <c r="V18" i="6"/>
  <c r="Y17" i="6"/>
  <c r="X17" i="6"/>
  <c r="W17" i="6"/>
  <c r="V17" i="6"/>
  <c r="Y16" i="6"/>
  <c r="X16" i="6"/>
  <c r="W16" i="6"/>
  <c r="V16" i="6"/>
  <c r="Y15" i="6"/>
  <c r="X15" i="6"/>
  <c r="W15" i="6"/>
  <c r="V15" i="6"/>
  <c r="Y14" i="6"/>
  <c r="X14" i="6"/>
  <c r="W14" i="6"/>
  <c r="V14" i="6"/>
  <c r="Y13" i="6"/>
  <c r="X13" i="6"/>
  <c r="W13" i="6"/>
  <c r="V13" i="6"/>
  <c r="Y12" i="6"/>
  <c r="X12" i="6"/>
  <c r="W12" i="6"/>
  <c r="V12" i="6"/>
  <c r="Y11" i="6"/>
  <c r="X11" i="6"/>
  <c r="W11" i="6"/>
  <c r="V11" i="6"/>
  <c r="Y10" i="6"/>
  <c r="X10" i="6"/>
  <c r="W10" i="6"/>
  <c r="V10" i="6"/>
  <c r="Y9" i="6"/>
  <c r="X9" i="6"/>
  <c r="W9" i="6"/>
  <c r="V9" i="6"/>
  <c r="Y8" i="6"/>
  <c r="X8" i="6"/>
  <c r="W8" i="6"/>
  <c r="V8" i="6"/>
  <c r="Y7" i="6"/>
  <c r="X7" i="6"/>
  <c r="W7" i="6"/>
  <c r="V7" i="6"/>
  <c r="Y6" i="6"/>
  <c r="X6" i="6"/>
  <c r="W6" i="6"/>
  <c r="V6" i="6"/>
  <c r="Y5" i="6"/>
  <c r="X5" i="6"/>
  <c r="W5" i="6"/>
  <c r="V5" i="6"/>
  <c r="Y4" i="6"/>
  <c r="X4" i="6"/>
  <c r="W4" i="6"/>
  <c r="V4" i="6"/>
  <c r="Y3" i="6"/>
  <c r="X3" i="6"/>
  <c r="W3" i="6"/>
  <c r="V3" i="6"/>
  <c r="Y2" i="6"/>
  <c r="X2" i="6"/>
  <c r="W2" i="6"/>
  <c r="V2" i="6"/>
  <c r="T38" i="6"/>
  <c r="S38" i="6"/>
  <c r="R38" i="6"/>
  <c r="Q38" i="6"/>
  <c r="T37" i="6"/>
  <c r="S37" i="6"/>
  <c r="R37" i="6"/>
  <c r="Q37" i="6"/>
  <c r="T36" i="6"/>
  <c r="S36" i="6"/>
  <c r="R36" i="6"/>
  <c r="Q36" i="6"/>
  <c r="T35" i="6"/>
  <c r="S35" i="6"/>
  <c r="R35" i="6"/>
  <c r="Q35" i="6"/>
  <c r="T34" i="6"/>
  <c r="S34" i="6"/>
  <c r="R34" i="6"/>
  <c r="Q34" i="6"/>
  <c r="T33" i="6"/>
  <c r="S33" i="6"/>
  <c r="R33" i="6"/>
  <c r="Q33" i="6"/>
  <c r="T32" i="6"/>
  <c r="S32" i="6"/>
  <c r="R32" i="6"/>
  <c r="Q32" i="6"/>
  <c r="T31" i="6"/>
  <c r="S31" i="6"/>
  <c r="R31" i="6"/>
  <c r="Q31" i="6"/>
  <c r="T30" i="6"/>
  <c r="S30" i="6"/>
  <c r="R30" i="6"/>
  <c r="Q30" i="6"/>
  <c r="T29" i="6"/>
  <c r="S29" i="6"/>
  <c r="R29" i="6"/>
  <c r="Q29" i="6"/>
  <c r="T28" i="6"/>
  <c r="S28" i="6"/>
  <c r="R28" i="6"/>
  <c r="Q28" i="6"/>
  <c r="T27" i="6"/>
  <c r="S27" i="6"/>
  <c r="R27" i="6"/>
  <c r="Q27" i="6"/>
  <c r="T26" i="6"/>
  <c r="S26" i="6"/>
  <c r="R26" i="6"/>
  <c r="Q26" i="6"/>
  <c r="T25" i="6"/>
  <c r="S25" i="6"/>
  <c r="R25" i="6"/>
  <c r="Q25" i="6"/>
  <c r="T24" i="6"/>
  <c r="S24" i="6"/>
  <c r="R24" i="6"/>
  <c r="Q24" i="6"/>
  <c r="T23" i="6"/>
  <c r="S23" i="6"/>
  <c r="R23" i="6"/>
  <c r="Q23" i="6"/>
  <c r="T22" i="6"/>
  <c r="S22" i="6"/>
  <c r="R22" i="6"/>
  <c r="Q22" i="6"/>
  <c r="T21" i="6"/>
  <c r="S21" i="6"/>
  <c r="R21" i="6"/>
  <c r="Q21" i="6"/>
  <c r="T20" i="6"/>
  <c r="S20" i="6"/>
  <c r="R20" i="6"/>
  <c r="Q20" i="6"/>
  <c r="T19" i="6"/>
  <c r="S19" i="6"/>
  <c r="R19" i="6"/>
  <c r="Q19" i="6"/>
  <c r="T18" i="6"/>
  <c r="S18" i="6"/>
  <c r="R18" i="6"/>
  <c r="Q18" i="6"/>
  <c r="T17" i="6"/>
  <c r="S17" i="6"/>
  <c r="R17" i="6"/>
  <c r="Q17" i="6"/>
  <c r="T16" i="6"/>
  <c r="S16" i="6"/>
  <c r="R16" i="6"/>
  <c r="Q16" i="6"/>
  <c r="T15" i="6"/>
  <c r="S15" i="6"/>
  <c r="R15" i="6"/>
  <c r="Q15" i="6"/>
  <c r="T14" i="6"/>
  <c r="S14" i="6"/>
  <c r="R14" i="6"/>
  <c r="Q14" i="6"/>
  <c r="T13" i="6"/>
  <c r="S13" i="6"/>
  <c r="R13" i="6"/>
  <c r="Q13" i="6"/>
  <c r="T12" i="6"/>
  <c r="S12" i="6"/>
  <c r="R12" i="6"/>
  <c r="Q12" i="6"/>
  <c r="T11" i="6"/>
  <c r="S11" i="6"/>
  <c r="R11" i="6"/>
  <c r="Q11" i="6"/>
  <c r="T10" i="6"/>
  <c r="S10" i="6"/>
  <c r="R10" i="6"/>
  <c r="Q10" i="6"/>
  <c r="T9" i="6"/>
  <c r="S9" i="6"/>
  <c r="R9" i="6"/>
  <c r="Q9" i="6"/>
  <c r="T8" i="6"/>
  <c r="S8" i="6"/>
  <c r="R8" i="6"/>
  <c r="Q8" i="6"/>
  <c r="T7" i="6"/>
  <c r="S7" i="6"/>
  <c r="R7" i="6"/>
  <c r="Q7" i="6"/>
  <c r="T6" i="6"/>
  <c r="S6" i="6"/>
  <c r="R6" i="6"/>
  <c r="Q6" i="6"/>
  <c r="T5" i="6"/>
  <c r="S5" i="6"/>
  <c r="R5" i="6"/>
  <c r="Q5" i="6"/>
  <c r="T4" i="6"/>
  <c r="S4" i="6"/>
  <c r="R4" i="6"/>
  <c r="Q4" i="6"/>
  <c r="T3" i="6"/>
  <c r="S3" i="6"/>
  <c r="R3" i="6"/>
  <c r="Q3" i="6"/>
  <c r="T2" i="6"/>
  <c r="S2" i="6"/>
  <c r="R2" i="6"/>
  <c r="Q2" i="6"/>
  <c r="O38" i="6"/>
  <c r="N38" i="6"/>
  <c r="M38" i="6"/>
  <c r="L38" i="6"/>
  <c r="O37" i="6"/>
  <c r="N37" i="6"/>
  <c r="M37" i="6"/>
  <c r="L37" i="6"/>
  <c r="O36" i="6"/>
  <c r="N36" i="6"/>
  <c r="M36" i="6"/>
  <c r="L36" i="6"/>
  <c r="O35" i="6"/>
  <c r="N35" i="6"/>
  <c r="M35" i="6"/>
  <c r="L35" i="6"/>
  <c r="O34" i="6"/>
  <c r="N34" i="6"/>
  <c r="M34" i="6"/>
  <c r="L34" i="6"/>
  <c r="O33" i="6"/>
  <c r="N33" i="6"/>
  <c r="M33" i="6"/>
  <c r="L33" i="6"/>
  <c r="O32" i="6"/>
  <c r="N32" i="6"/>
  <c r="M32" i="6"/>
  <c r="L32" i="6"/>
  <c r="O31" i="6"/>
  <c r="N31" i="6"/>
  <c r="M31" i="6"/>
  <c r="L31" i="6"/>
  <c r="O30" i="6"/>
  <c r="N30" i="6"/>
  <c r="M30" i="6"/>
  <c r="L30" i="6"/>
  <c r="O29" i="6"/>
  <c r="N29" i="6"/>
  <c r="M29" i="6"/>
  <c r="L29" i="6"/>
  <c r="O28" i="6"/>
  <c r="N28" i="6"/>
  <c r="M28" i="6"/>
  <c r="L28" i="6"/>
  <c r="O27" i="6"/>
  <c r="N27" i="6"/>
  <c r="M27" i="6"/>
  <c r="L27" i="6"/>
  <c r="O26" i="6"/>
  <c r="N26" i="6"/>
  <c r="M26" i="6"/>
  <c r="L26" i="6"/>
  <c r="O25" i="6"/>
  <c r="N25" i="6"/>
  <c r="M25" i="6"/>
  <c r="L25" i="6"/>
  <c r="O24" i="6"/>
  <c r="N24" i="6"/>
  <c r="M24" i="6"/>
  <c r="L24" i="6"/>
  <c r="O23" i="6"/>
  <c r="N23" i="6"/>
  <c r="M23" i="6"/>
  <c r="L23" i="6"/>
  <c r="O22" i="6"/>
  <c r="N22" i="6"/>
  <c r="M22" i="6"/>
  <c r="L22" i="6"/>
  <c r="O21" i="6"/>
  <c r="N21" i="6"/>
  <c r="M21" i="6"/>
  <c r="L21" i="6"/>
  <c r="O20" i="6"/>
  <c r="N20" i="6"/>
  <c r="M20" i="6"/>
  <c r="L20" i="6"/>
  <c r="O19" i="6"/>
  <c r="N19" i="6"/>
  <c r="M19" i="6"/>
  <c r="L19" i="6"/>
  <c r="O18" i="6"/>
  <c r="N18" i="6"/>
  <c r="M18" i="6"/>
  <c r="L18" i="6"/>
  <c r="O17" i="6"/>
  <c r="N17" i="6"/>
  <c r="M17" i="6"/>
  <c r="L17" i="6"/>
  <c r="O16" i="6"/>
  <c r="N16" i="6"/>
  <c r="M16" i="6"/>
  <c r="L16" i="6"/>
  <c r="O15" i="6"/>
  <c r="N15" i="6"/>
  <c r="M15" i="6"/>
  <c r="L15" i="6"/>
  <c r="O14" i="6"/>
  <c r="N14" i="6"/>
  <c r="M14" i="6"/>
  <c r="L14" i="6"/>
  <c r="O13" i="6"/>
  <c r="N13" i="6"/>
  <c r="M13" i="6"/>
  <c r="L13" i="6"/>
  <c r="O12" i="6"/>
  <c r="N12" i="6"/>
  <c r="M12" i="6"/>
  <c r="L12" i="6"/>
  <c r="O11" i="6"/>
  <c r="N11" i="6"/>
  <c r="M11" i="6"/>
  <c r="L11" i="6"/>
  <c r="O10" i="6"/>
  <c r="N10" i="6"/>
  <c r="M10" i="6"/>
  <c r="L10" i="6"/>
  <c r="O9" i="6"/>
  <c r="N9" i="6"/>
  <c r="M9" i="6"/>
  <c r="L9" i="6"/>
  <c r="O8" i="6"/>
  <c r="N8" i="6"/>
  <c r="M8" i="6"/>
  <c r="L8" i="6"/>
  <c r="O7" i="6"/>
  <c r="N7" i="6"/>
  <c r="M7" i="6"/>
  <c r="L7" i="6"/>
  <c r="O6" i="6"/>
  <c r="N6" i="6"/>
  <c r="M6" i="6"/>
  <c r="L6" i="6"/>
  <c r="O5" i="6"/>
  <c r="N5" i="6"/>
  <c r="M5" i="6"/>
  <c r="L5" i="6"/>
  <c r="O4" i="6"/>
  <c r="N4" i="6"/>
  <c r="M4" i="6"/>
  <c r="L4" i="6"/>
  <c r="O3" i="6"/>
  <c r="N3" i="6"/>
  <c r="M3" i="6"/>
  <c r="L3" i="6"/>
  <c r="O2" i="6"/>
  <c r="N2" i="6"/>
  <c r="M2" i="6"/>
  <c r="L2" i="6"/>
  <c r="J38" i="6" l="1"/>
  <c r="I38" i="6"/>
  <c r="H38" i="6"/>
  <c r="G38" i="6"/>
  <c r="J37" i="6"/>
  <c r="I37" i="6"/>
  <c r="H37" i="6"/>
  <c r="G37" i="6"/>
  <c r="J36" i="6"/>
  <c r="I36" i="6"/>
  <c r="H36" i="6"/>
  <c r="G36" i="6"/>
  <c r="J35" i="6"/>
  <c r="I35" i="6"/>
  <c r="H35" i="6"/>
  <c r="G35" i="6"/>
  <c r="J34" i="6"/>
  <c r="I34" i="6"/>
  <c r="H34" i="6"/>
  <c r="G34" i="6"/>
  <c r="J33" i="6"/>
  <c r="I33" i="6"/>
  <c r="H33" i="6"/>
  <c r="G33" i="6"/>
  <c r="J32" i="6"/>
  <c r="I32" i="6"/>
  <c r="H32" i="6"/>
  <c r="G32" i="6"/>
  <c r="J31" i="6"/>
  <c r="I31" i="6"/>
  <c r="H31" i="6"/>
  <c r="G31" i="6"/>
  <c r="J30" i="6"/>
  <c r="I30" i="6"/>
  <c r="H30" i="6"/>
  <c r="G30" i="6"/>
  <c r="J29" i="6"/>
  <c r="I29" i="6"/>
  <c r="H29" i="6"/>
  <c r="G29" i="6"/>
  <c r="J28" i="6"/>
  <c r="I28" i="6"/>
  <c r="H28" i="6"/>
  <c r="G28" i="6"/>
  <c r="J27" i="6"/>
  <c r="I27" i="6"/>
  <c r="H27" i="6"/>
  <c r="G27" i="6"/>
  <c r="J26" i="6"/>
  <c r="I26" i="6"/>
  <c r="H26" i="6"/>
  <c r="G26" i="6"/>
  <c r="J25" i="6"/>
  <c r="I25" i="6"/>
  <c r="H25" i="6"/>
  <c r="G25" i="6"/>
  <c r="J24" i="6"/>
  <c r="I24" i="6"/>
  <c r="H24" i="6"/>
  <c r="G24" i="6"/>
  <c r="J23" i="6"/>
  <c r="I23" i="6"/>
  <c r="H23" i="6"/>
  <c r="G23" i="6"/>
  <c r="J22" i="6"/>
  <c r="I22" i="6"/>
  <c r="H22" i="6"/>
  <c r="G22" i="6"/>
  <c r="J21" i="6"/>
  <c r="I21" i="6"/>
  <c r="H21" i="6"/>
  <c r="G21" i="6"/>
  <c r="J20" i="6"/>
  <c r="I20" i="6"/>
  <c r="H20" i="6"/>
  <c r="G20" i="6"/>
  <c r="J19" i="6"/>
  <c r="I19" i="6"/>
  <c r="H19" i="6"/>
  <c r="G19" i="6"/>
  <c r="J18" i="6"/>
  <c r="I18" i="6"/>
  <c r="H18" i="6"/>
  <c r="G18" i="6"/>
  <c r="J17" i="6"/>
  <c r="I17" i="6"/>
  <c r="H17" i="6"/>
  <c r="G17" i="6"/>
  <c r="J16" i="6"/>
  <c r="I16" i="6"/>
  <c r="H16" i="6"/>
  <c r="G16" i="6"/>
  <c r="J15" i="6"/>
  <c r="I15" i="6"/>
  <c r="H15" i="6"/>
  <c r="G15" i="6"/>
  <c r="J14" i="6"/>
  <c r="I14" i="6"/>
  <c r="H14" i="6"/>
  <c r="G14" i="6"/>
  <c r="J13" i="6"/>
  <c r="I13" i="6"/>
  <c r="H13" i="6"/>
  <c r="G13" i="6"/>
  <c r="J12" i="6"/>
  <c r="I12" i="6"/>
  <c r="H12" i="6"/>
  <c r="G12" i="6"/>
  <c r="J11" i="6"/>
  <c r="I11" i="6"/>
  <c r="H11" i="6"/>
  <c r="G11" i="6"/>
  <c r="J10" i="6"/>
  <c r="I10" i="6"/>
  <c r="H10" i="6"/>
  <c r="G10" i="6"/>
  <c r="J9" i="6"/>
  <c r="I9" i="6"/>
  <c r="H9" i="6"/>
  <c r="G9" i="6"/>
  <c r="J8" i="6"/>
  <c r="I8" i="6"/>
  <c r="H8" i="6"/>
  <c r="G8" i="6"/>
  <c r="J7" i="6"/>
  <c r="I7" i="6"/>
  <c r="H7" i="6"/>
  <c r="G7" i="6"/>
  <c r="J6" i="6"/>
  <c r="I6" i="6"/>
  <c r="H6" i="6"/>
  <c r="G6" i="6"/>
  <c r="J5" i="6"/>
  <c r="I5" i="6"/>
  <c r="H5" i="6"/>
  <c r="G5" i="6"/>
  <c r="J4" i="6"/>
  <c r="I4" i="6"/>
  <c r="H4" i="6"/>
  <c r="G4" i="6"/>
  <c r="J3" i="6"/>
  <c r="I3" i="6"/>
  <c r="H3" i="6"/>
  <c r="G3" i="6"/>
  <c r="J2" i="6"/>
  <c r="I2" i="6"/>
  <c r="H2" i="6"/>
  <c r="G2" i="6" l="1"/>
  <c r="D5" i="6" l="1"/>
  <c r="BC5" i="6"/>
  <c r="B5" i="3" s="1"/>
  <c r="BB14" i="6"/>
  <c r="E14" i="3" s="1"/>
  <c r="C14" i="6"/>
  <c r="BA28" i="6"/>
  <c r="D28" i="3" s="1"/>
  <c r="B28" i="6"/>
  <c r="E29" i="6"/>
  <c r="BD29" i="6"/>
  <c r="C29" i="3" s="1"/>
  <c r="BD16" i="6"/>
  <c r="C16" i="3" s="1"/>
  <c r="E16" i="6"/>
  <c r="D30" i="6"/>
  <c r="BC30" i="6"/>
  <c r="B30" i="3" s="1"/>
  <c r="C13" i="6"/>
  <c r="BB13" i="6"/>
  <c r="E13" i="3" s="1"/>
  <c r="BD22" i="6"/>
  <c r="C22" i="3" s="1"/>
  <c r="E22" i="6"/>
  <c r="B2" i="6"/>
  <c r="BA2" i="6"/>
  <c r="D2" i="3" s="1"/>
  <c r="D23" i="6"/>
  <c r="BC23" i="6"/>
  <c r="B23" i="3" s="1"/>
  <c r="BB6" i="6"/>
  <c r="E6" i="3" s="1"/>
  <c r="C6" i="6"/>
  <c r="BB38" i="6"/>
  <c r="E38" i="3" s="1"/>
  <c r="C38" i="6"/>
  <c r="BC9" i="6"/>
  <c r="B9" i="3" s="1"/>
  <c r="D9" i="6"/>
  <c r="BA32" i="6"/>
  <c r="D32" i="3" s="1"/>
  <c r="B32" i="6"/>
  <c r="BA6" i="6"/>
  <c r="D6" i="3" s="1"/>
  <c r="B6" i="6"/>
  <c r="BC15" i="6"/>
  <c r="B15" i="3" s="1"/>
  <c r="D15" i="6"/>
  <c r="E33" i="6"/>
  <c r="BD33" i="6"/>
  <c r="C33" i="3" s="1"/>
  <c r="BB30" i="6"/>
  <c r="E30" i="3" s="1"/>
  <c r="C30" i="6"/>
  <c r="E13" i="6"/>
  <c r="BD13" i="6"/>
  <c r="C13" i="3" s="1"/>
  <c r="BC14" i="6"/>
  <c r="B14" i="3" s="1"/>
  <c r="D14" i="6"/>
  <c r="BD32" i="6"/>
  <c r="C32" i="3" s="1"/>
  <c r="E32" i="6"/>
  <c r="BD19" i="6"/>
  <c r="C19" i="3" s="1"/>
  <c r="E19" i="6"/>
  <c r="BD6" i="6"/>
  <c r="C6" i="3" s="1"/>
  <c r="E6" i="6"/>
  <c r="C3" i="6"/>
  <c r="BB3" i="6"/>
  <c r="E3" i="3" s="1"/>
  <c r="B17" i="6"/>
  <c r="BA17" i="6"/>
  <c r="D17" i="3" s="1"/>
  <c r="C35" i="6"/>
  <c r="BB35" i="6"/>
  <c r="E35" i="3" s="1"/>
  <c r="BD31" i="6"/>
  <c r="C31" i="3" s="1"/>
  <c r="E31" i="6"/>
  <c r="C9" i="6"/>
  <c r="BB9" i="6"/>
  <c r="E9" i="3" s="1"/>
  <c r="BD18" i="6"/>
  <c r="C18" i="3" s="1"/>
  <c r="E18" i="6"/>
  <c r="BA23" i="6"/>
  <c r="D23" i="3" s="1"/>
  <c r="B23" i="6"/>
  <c r="BC32" i="6"/>
  <c r="B32" i="3" s="1"/>
  <c r="D32" i="6"/>
  <c r="BD23" i="6"/>
  <c r="C23" i="3" s="1"/>
  <c r="E23" i="6"/>
  <c r="BD10" i="6"/>
  <c r="C10" i="3" s="1"/>
  <c r="E10" i="6"/>
  <c r="BC24" i="6"/>
  <c r="B24" i="3" s="1"/>
  <c r="D24" i="6"/>
  <c r="C7" i="6"/>
  <c r="BB7" i="6"/>
  <c r="E7" i="3" s="1"/>
  <c r="C26" i="6"/>
  <c r="BB26" i="6"/>
  <c r="E26" i="3" s="1"/>
  <c r="D4" i="6"/>
  <c r="BC4" i="6"/>
  <c r="B4" i="3" s="1"/>
  <c r="BA14" i="6"/>
  <c r="D14" i="3" s="1"/>
  <c r="B14" i="6"/>
  <c r="D29" i="6"/>
  <c r="BC29" i="6"/>
  <c r="B29" i="3" s="1"/>
  <c r="BA7" i="6"/>
  <c r="D7" i="3" s="1"/>
  <c r="B7" i="6"/>
  <c r="BB12" i="6"/>
  <c r="E12" i="3" s="1"/>
  <c r="C12" i="6"/>
  <c r="D35" i="6"/>
  <c r="BC35" i="6"/>
  <c r="B35" i="3" s="1"/>
  <c r="BB31" i="6"/>
  <c r="E31" i="3" s="1"/>
  <c r="C31" i="6"/>
  <c r="C18" i="6"/>
  <c r="BB18" i="6"/>
  <c r="E18" i="3" s="1"/>
  <c r="BA38" i="6"/>
  <c r="D38" i="3" s="1"/>
  <c r="B38" i="6"/>
  <c r="BB11" i="6"/>
  <c r="E11" i="3" s="1"/>
  <c r="C11" i="6"/>
  <c r="BA12" i="6"/>
  <c r="D12" i="3" s="1"/>
  <c r="B12" i="6"/>
  <c r="BC8" i="6"/>
  <c r="B8" i="3" s="1"/>
  <c r="D8" i="6"/>
  <c r="BB36" i="6"/>
  <c r="E36" i="3" s="1"/>
  <c r="C36" i="6"/>
  <c r="C23" i="6"/>
  <c r="BB23" i="6"/>
  <c r="E23" i="3" s="1"/>
  <c r="BC20" i="6"/>
  <c r="B20" i="3" s="1"/>
  <c r="D20" i="6"/>
  <c r="C29" i="6"/>
  <c r="BB29" i="6"/>
  <c r="E29" i="3" s="1"/>
  <c r="BD38" i="6"/>
  <c r="C38" i="3" s="1"/>
  <c r="E38" i="6"/>
  <c r="BC7" i="6"/>
  <c r="B7" i="3" s="1"/>
  <c r="D7" i="6"/>
  <c r="BA36" i="6"/>
  <c r="D36" i="3" s="1"/>
  <c r="B36" i="6"/>
  <c r="E5" i="6"/>
  <c r="BD5" i="6"/>
  <c r="C5" i="3" s="1"/>
  <c r="B10" i="6"/>
  <c r="BA10" i="6"/>
  <c r="D10" i="3" s="1"/>
  <c r="BC19" i="6"/>
  <c r="B19" i="3" s="1"/>
  <c r="D19" i="6"/>
  <c r="BB28" i="6"/>
  <c r="E28" i="3" s="1"/>
  <c r="C28" i="6"/>
  <c r="BD37" i="6"/>
  <c r="C37" i="3" s="1"/>
  <c r="E37" i="6"/>
  <c r="BD9" i="6"/>
  <c r="C9" i="3" s="1"/>
  <c r="E9" i="6"/>
  <c r="B29" i="6"/>
  <c r="BA29" i="6"/>
  <c r="D29" i="3" s="1"/>
  <c r="C5" i="6"/>
  <c r="BB5" i="6"/>
  <c r="E5" i="3" s="1"/>
  <c r="BA5" i="6"/>
  <c r="D5" i="3" s="1"/>
  <c r="B5" i="6"/>
  <c r="B16" i="6"/>
  <c r="BA16" i="6"/>
  <c r="D16" i="3" s="1"/>
  <c r="BC25" i="6"/>
  <c r="B25" i="3" s="1"/>
  <c r="D25" i="6"/>
  <c r="BB34" i="6"/>
  <c r="E34" i="3" s="1"/>
  <c r="C34" i="6"/>
  <c r="C33" i="6"/>
  <c r="BB33" i="6"/>
  <c r="E33" i="3" s="1"/>
  <c r="BB20" i="6"/>
  <c r="E20" i="3" s="1"/>
  <c r="C20" i="6"/>
  <c r="BA34" i="6"/>
  <c r="D34" i="3" s="1"/>
  <c r="B34" i="6"/>
  <c r="BB32" i="6"/>
  <c r="E32" i="3" s="1"/>
  <c r="C32" i="6"/>
  <c r="BB19" i="6"/>
  <c r="E19" i="3" s="1"/>
  <c r="C19" i="6"/>
  <c r="BB25" i="6"/>
  <c r="E25" i="3" s="1"/>
  <c r="C25" i="6"/>
  <c r="BD27" i="6"/>
  <c r="C27" i="3" s="1"/>
  <c r="E27" i="6"/>
  <c r="BC28" i="6"/>
  <c r="B28" i="3" s="1"/>
  <c r="D28" i="6"/>
  <c r="BB4" i="6"/>
  <c r="E4" i="3" s="1"/>
  <c r="C4" i="6"/>
  <c r="BA18" i="6"/>
  <c r="D18" i="3" s="1"/>
  <c r="B18" i="6"/>
  <c r="B24" i="6"/>
  <c r="BA24" i="6"/>
  <c r="D24" i="3" s="1"/>
  <c r="C16" i="6"/>
  <c r="BB16" i="6"/>
  <c r="E16" i="3" s="1"/>
  <c r="BD25" i="6"/>
  <c r="C25" i="3" s="1"/>
  <c r="E25" i="6"/>
  <c r="BA30" i="6"/>
  <c r="D30" i="3" s="1"/>
  <c r="B30" i="6"/>
  <c r="D26" i="6"/>
  <c r="BC26" i="6"/>
  <c r="B26" i="3" s="1"/>
  <c r="BB15" i="6"/>
  <c r="E15" i="3" s="1"/>
  <c r="C15" i="6"/>
  <c r="BD24" i="6"/>
  <c r="C24" i="3" s="1"/>
  <c r="E24" i="6"/>
  <c r="BC38" i="6"/>
  <c r="B38" i="3" s="1"/>
  <c r="D38" i="6"/>
  <c r="BD11" i="6"/>
  <c r="C11" i="3" s="1"/>
  <c r="E11" i="6"/>
  <c r="B3" i="6"/>
  <c r="BA3" i="6"/>
  <c r="D3" i="3" s="1"/>
  <c r="BC12" i="6"/>
  <c r="B12" i="3" s="1"/>
  <c r="D12" i="6"/>
  <c r="C21" i="6"/>
  <c r="BB21" i="6"/>
  <c r="E21" i="3" s="1"/>
  <c r="BD30" i="6"/>
  <c r="C30" i="3" s="1"/>
  <c r="E30" i="6"/>
  <c r="BA35" i="6"/>
  <c r="D35" i="3" s="1"/>
  <c r="B35" i="6"/>
  <c r="BC11" i="6"/>
  <c r="B11" i="3" s="1"/>
  <c r="D11" i="6"/>
  <c r="B21" i="6"/>
  <c r="BA21" i="6"/>
  <c r="D21" i="3" s="1"/>
  <c r="E3" i="6"/>
  <c r="BD3" i="6"/>
  <c r="C3" i="3" s="1"/>
  <c r="BA8" i="6"/>
  <c r="D8" i="3" s="1"/>
  <c r="B8" i="6"/>
  <c r="B27" i="6"/>
  <c r="BA27" i="6"/>
  <c r="D27" i="3" s="1"/>
  <c r="BC36" i="6"/>
  <c r="B36" i="3" s="1"/>
  <c r="D36" i="6"/>
  <c r="BA20" i="6"/>
  <c r="D20" i="3" s="1"/>
  <c r="B20" i="6"/>
  <c r="BD34" i="6"/>
  <c r="C34" i="3" s="1"/>
  <c r="E34" i="6"/>
  <c r="E21" i="6"/>
  <c r="BD21" i="6"/>
  <c r="C21" i="3" s="1"/>
  <c r="D22" i="6"/>
  <c r="BC22" i="6"/>
  <c r="B22" i="3" s="1"/>
  <c r="BD14" i="6"/>
  <c r="C14" i="3" s="1"/>
  <c r="E14" i="6"/>
  <c r="BA19" i="6"/>
  <c r="D19" i="3" s="1"/>
  <c r="B19" i="6"/>
  <c r="BB24" i="6"/>
  <c r="E24" i="3" s="1"/>
  <c r="C24" i="6"/>
  <c r="BD20" i="6"/>
  <c r="C20" i="3" s="1"/>
  <c r="E20" i="6"/>
  <c r="B25" i="6"/>
  <c r="BA25" i="6"/>
  <c r="D25" i="3" s="1"/>
  <c r="D34" i="6"/>
  <c r="BC34" i="6"/>
  <c r="B34" i="3" s="1"/>
  <c r="BD7" i="6"/>
  <c r="C7" i="3" s="1"/>
  <c r="E7" i="6"/>
  <c r="D21" i="6"/>
  <c r="BC21" i="6"/>
  <c r="B21" i="3" s="1"/>
  <c r="D2" i="6"/>
  <c r="BC2" i="6"/>
  <c r="B2" i="3" s="1"/>
  <c r="BB17" i="6"/>
  <c r="E17" i="3" s="1"/>
  <c r="C17" i="6"/>
  <c r="D33" i="6"/>
  <c r="BC33" i="6"/>
  <c r="B33" i="3" s="1"/>
  <c r="BA11" i="6"/>
  <c r="D11" i="3" s="1"/>
  <c r="B11" i="6"/>
  <c r="BD12" i="6"/>
  <c r="C12" i="3" s="1"/>
  <c r="E12" i="6"/>
  <c r="B4" i="6"/>
  <c r="BA4" i="6"/>
  <c r="D4" i="3" s="1"/>
  <c r="D6" i="6"/>
  <c r="BC6" i="6"/>
  <c r="B6" i="3" s="1"/>
  <c r="BB8" i="6"/>
  <c r="E8" i="3" s="1"/>
  <c r="C8" i="6"/>
  <c r="BC37" i="6"/>
  <c r="B37" i="3" s="1"/>
  <c r="D37" i="6"/>
  <c r="BA15" i="6"/>
  <c r="D15" i="3" s="1"/>
  <c r="B15" i="6"/>
  <c r="BC17" i="6"/>
  <c r="B17" i="3" s="1"/>
  <c r="D17" i="6"/>
  <c r="E35" i="6"/>
  <c r="BD35" i="6"/>
  <c r="C35" i="3" s="1"/>
  <c r="BC10" i="6"/>
  <c r="B10" i="3" s="1"/>
  <c r="D10" i="6"/>
  <c r="E28" i="6"/>
  <c r="BD28" i="6"/>
  <c r="C28" i="3" s="1"/>
  <c r="B33" i="6"/>
  <c r="BA33" i="6"/>
  <c r="D33" i="3" s="1"/>
  <c r="BD15" i="6"/>
  <c r="C15" i="3" s="1"/>
  <c r="E15" i="6"/>
  <c r="D16" i="6"/>
  <c r="BC16" i="6"/>
  <c r="B16" i="3" s="1"/>
  <c r="D3" i="6"/>
  <c r="BC3" i="6"/>
  <c r="B3" i="3" s="1"/>
  <c r="B26" i="6"/>
  <c r="BA26" i="6"/>
  <c r="D26" i="3" s="1"/>
  <c r="BD8" i="6"/>
  <c r="C8" i="3" s="1"/>
  <c r="E8" i="6"/>
  <c r="B13" i="6"/>
  <c r="BA13" i="6"/>
  <c r="D13" i="3" s="1"/>
  <c r="BD2" i="6"/>
  <c r="C2" i="3" s="1"/>
  <c r="E2" i="6"/>
  <c r="C37" i="6"/>
  <c r="BB37" i="6"/>
  <c r="E37" i="3" s="1"/>
  <c r="BD26" i="6"/>
  <c r="C26" i="3" s="1"/>
  <c r="E26" i="6"/>
  <c r="BA31" i="6"/>
  <c r="D31" i="3" s="1"/>
  <c r="B31" i="6"/>
  <c r="BC27" i="6"/>
  <c r="B27" i="3" s="1"/>
  <c r="D27" i="6"/>
  <c r="BA37" i="6"/>
  <c r="D37" i="3" s="1"/>
  <c r="B37" i="6"/>
  <c r="C10" i="6"/>
  <c r="BB10" i="6"/>
  <c r="E10" i="3" s="1"/>
  <c r="BC13" i="6"/>
  <c r="B13" i="3" s="1"/>
  <c r="D13" i="6"/>
  <c r="BB22" i="6"/>
  <c r="E22" i="3" s="1"/>
  <c r="C22" i="6"/>
  <c r="E17" i="6"/>
  <c r="BD17" i="6"/>
  <c r="C17" i="3" s="1"/>
  <c r="BA22" i="6"/>
  <c r="D22" i="3" s="1"/>
  <c r="B22" i="6"/>
  <c r="BC31" i="6"/>
  <c r="B31" i="3" s="1"/>
  <c r="D31" i="6"/>
  <c r="C2" i="6"/>
  <c r="BB2" i="6"/>
  <c r="E2" i="3" s="1"/>
  <c r="E4" i="6"/>
  <c r="BD4" i="6"/>
  <c r="C4" i="3" s="1"/>
  <c r="B9" i="6"/>
  <c r="BA9" i="6"/>
  <c r="D9" i="3" s="1"/>
  <c r="BC18" i="6"/>
  <c r="B18" i="3" s="1"/>
  <c r="D18" i="6"/>
  <c r="C27" i="6"/>
  <c r="BB27" i="6"/>
  <c r="E27" i="3" s="1"/>
  <c r="BD36" i="6"/>
  <c r="C36" i="3" s="1"/>
  <c r="E36" i="6"/>
  <c r="S8" i="30" l="1"/>
  <c r="S7" i="30"/>
  <c r="S6" i="30"/>
  <c r="S5" i="30"/>
  <c r="S4" i="30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X2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L3" i="31"/>
  <c r="M3" i="31"/>
  <c r="N3" i="31"/>
  <c r="O3" i="31"/>
  <c r="L4" i="31"/>
  <c r="M4" i="31"/>
  <c r="N4" i="31"/>
  <c r="O4" i="31"/>
  <c r="L5" i="31"/>
  <c r="M5" i="31"/>
  <c r="N5" i="31"/>
  <c r="O5" i="31"/>
  <c r="L6" i="31"/>
  <c r="M6" i="31"/>
  <c r="N6" i="31"/>
  <c r="O6" i="31"/>
  <c r="L7" i="31"/>
  <c r="M7" i="31"/>
  <c r="N7" i="31"/>
  <c r="O7" i="31"/>
  <c r="L8" i="31"/>
  <c r="M8" i="31"/>
  <c r="N8" i="31"/>
  <c r="O8" i="31"/>
  <c r="L9" i="31"/>
  <c r="M9" i="31"/>
  <c r="N9" i="31"/>
  <c r="O9" i="31"/>
  <c r="L10" i="31"/>
  <c r="M10" i="31"/>
  <c r="N10" i="31"/>
  <c r="O10" i="31"/>
  <c r="L11" i="31"/>
  <c r="M11" i="31"/>
  <c r="N11" i="31"/>
  <c r="O11" i="31"/>
  <c r="L12" i="31"/>
  <c r="M12" i="31"/>
  <c r="N12" i="31"/>
  <c r="O12" i="31"/>
  <c r="L13" i="31"/>
  <c r="M13" i="31"/>
  <c r="N13" i="31"/>
  <c r="O13" i="31"/>
  <c r="L14" i="31"/>
  <c r="M14" i="31"/>
  <c r="N14" i="31"/>
  <c r="O14" i="31"/>
  <c r="L15" i="31"/>
  <c r="M15" i="31"/>
  <c r="N15" i="31"/>
  <c r="O15" i="31"/>
  <c r="L16" i="31"/>
  <c r="M16" i="31"/>
  <c r="N16" i="31"/>
  <c r="O16" i="31"/>
  <c r="L17" i="31"/>
  <c r="M17" i="31"/>
  <c r="N17" i="31"/>
  <c r="O17" i="31"/>
  <c r="L18" i="31"/>
  <c r="M18" i="31"/>
  <c r="N18" i="31"/>
  <c r="O18" i="31"/>
  <c r="L19" i="31"/>
  <c r="M19" i="31"/>
  <c r="N19" i="31"/>
  <c r="O19" i="31"/>
  <c r="L20" i="31"/>
  <c r="M20" i="31"/>
  <c r="N20" i="31"/>
  <c r="O20" i="31"/>
  <c r="L21" i="31"/>
  <c r="M21" i="31"/>
  <c r="N21" i="31"/>
  <c r="O21" i="31"/>
  <c r="L22" i="31"/>
  <c r="M22" i="31"/>
  <c r="N22" i="31"/>
  <c r="O22" i="31"/>
  <c r="L23" i="31"/>
  <c r="M23" i="31"/>
  <c r="N23" i="31"/>
  <c r="O23" i="31"/>
  <c r="L24" i="31"/>
  <c r="M24" i="31"/>
  <c r="N24" i="31"/>
  <c r="O24" i="31"/>
  <c r="L25" i="31"/>
  <c r="M25" i="31"/>
  <c r="N25" i="31"/>
  <c r="O25" i="31"/>
  <c r="L26" i="31"/>
  <c r="M26" i="31"/>
  <c r="N26" i="31"/>
  <c r="O26" i="31"/>
  <c r="L27" i="31"/>
  <c r="M27" i="31"/>
  <c r="N27" i="31"/>
  <c r="O27" i="31"/>
  <c r="L28" i="31"/>
  <c r="M28" i="31"/>
  <c r="N28" i="31"/>
  <c r="O28" i="31"/>
  <c r="L29" i="31"/>
  <c r="M29" i="31"/>
  <c r="N29" i="31"/>
  <c r="O29" i="31"/>
  <c r="L30" i="31"/>
  <c r="M30" i="31"/>
  <c r="N30" i="31"/>
  <c r="O30" i="31"/>
  <c r="L31" i="31"/>
  <c r="M31" i="31"/>
  <c r="N31" i="31"/>
  <c r="O31" i="31"/>
  <c r="L32" i="31"/>
  <c r="M32" i="31"/>
  <c r="N32" i="31"/>
  <c r="O32" i="31"/>
  <c r="L33" i="31"/>
  <c r="M33" i="31"/>
  <c r="N33" i="31"/>
  <c r="O33" i="31"/>
  <c r="L34" i="31"/>
  <c r="M34" i="31"/>
  <c r="N34" i="31"/>
  <c r="O34" i="31"/>
  <c r="L35" i="31"/>
  <c r="M35" i="31"/>
  <c r="N35" i="31"/>
  <c r="O35" i="31"/>
  <c r="L36" i="31"/>
  <c r="M36" i="31"/>
  <c r="N36" i="31"/>
  <c r="O36" i="31"/>
  <c r="L37" i="31"/>
  <c r="M37" i="31"/>
  <c r="N37" i="31"/>
  <c r="O37" i="31"/>
  <c r="L38" i="31"/>
  <c r="M38" i="31"/>
  <c r="N38" i="31"/>
  <c r="O38" i="31"/>
  <c r="M2" i="31"/>
  <c r="N2" i="31"/>
  <c r="O2" i="31"/>
  <c r="L2" i="31"/>
  <c r="Q3" i="31"/>
  <c r="R3" i="31"/>
  <c r="S3" i="31"/>
  <c r="T3" i="31"/>
  <c r="Q4" i="31"/>
  <c r="R4" i="31"/>
  <c r="S4" i="31"/>
  <c r="T4" i="31"/>
  <c r="Q5" i="31"/>
  <c r="R5" i="31"/>
  <c r="S5" i="31"/>
  <c r="T5" i="31"/>
  <c r="Q6" i="31"/>
  <c r="R6" i="31"/>
  <c r="S6" i="31"/>
  <c r="T6" i="31"/>
  <c r="Q7" i="31"/>
  <c r="R7" i="31"/>
  <c r="S7" i="31"/>
  <c r="T7" i="31"/>
  <c r="Q8" i="31"/>
  <c r="R8" i="31"/>
  <c r="S8" i="31"/>
  <c r="T8" i="31"/>
  <c r="Q9" i="31"/>
  <c r="R9" i="31"/>
  <c r="S9" i="31"/>
  <c r="T9" i="31"/>
  <c r="Q10" i="31"/>
  <c r="R10" i="31"/>
  <c r="S10" i="31"/>
  <c r="T10" i="31"/>
  <c r="Q11" i="31"/>
  <c r="R11" i="31"/>
  <c r="S11" i="31"/>
  <c r="T11" i="31"/>
  <c r="Q12" i="31"/>
  <c r="R12" i="31"/>
  <c r="S12" i="31"/>
  <c r="T12" i="31"/>
  <c r="Q13" i="31"/>
  <c r="R13" i="31"/>
  <c r="S13" i="31"/>
  <c r="T13" i="31"/>
  <c r="Q14" i="31"/>
  <c r="R14" i="31"/>
  <c r="S14" i="31"/>
  <c r="T14" i="31"/>
  <c r="Q15" i="31"/>
  <c r="R15" i="31"/>
  <c r="S15" i="31"/>
  <c r="T15" i="31"/>
  <c r="Q16" i="31"/>
  <c r="R16" i="31"/>
  <c r="S16" i="31"/>
  <c r="T16" i="31"/>
  <c r="Q17" i="31"/>
  <c r="R17" i="31"/>
  <c r="S17" i="31"/>
  <c r="T17" i="31"/>
  <c r="Q18" i="31"/>
  <c r="R18" i="31"/>
  <c r="S18" i="31"/>
  <c r="T18" i="31"/>
  <c r="Q19" i="31"/>
  <c r="R19" i="31"/>
  <c r="S19" i="31"/>
  <c r="T19" i="31"/>
  <c r="Q20" i="31"/>
  <c r="R20" i="31"/>
  <c r="S20" i="31"/>
  <c r="T20" i="31"/>
  <c r="Q21" i="31"/>
  <c r="R21" i="31"/>
  <c r="S21" i="31"/>
  <c r="T21" i="31"/>
  <c r="Q22" i="31"/>
  <c r="R22" i="31"/>
  <c r="S22" i="31"/>
  <c r="T22" i="31"/>
  <c r="Q23" i="31"/>
  <c r="R23" i="31"/>
  <c r="S23" i="31"/>
  <c r="T23" i="31"/>
  <c r="Q24" i="31"/>
  <c r="R24" i="31"/>
  <c r="S24" i="31"/>
  <c r="T24" i="31"/>
  <c r="Q25" i="31"/>
  <c r="R25" i="31"/>
  <c r="S25" i="31"/>
  <c r="T25" i="31"/>
  <c r="Q26" i="31"/>
  <c r="R26" i="31"/>
  <c r="S26" i="31"/>
  <c r="T26" i="31"/>
  <c r="Q27" i="31"/>
  <c r="R27" i="31"/>
  <c r="S27" i="31"/>
  <c r="T27" i="31"/>
  <c r="Q28" i="31"/>
  <c r="R28" i="31"/>
  <c r="S28" i="31"/>
  <c r="T28" i="31"/>
  <c r="Q29" i="31"/>
  <c r="R29" i="31"/>
  <c r="S29" i="31"/>
  <c r="T29" i="31"/>
  <c r="Q30" i="31"/>
  <c r="R30" i="31"/>
  <c r="S30" i="31"/>
  <c r="T30" i="31"/>
  <c r="Q31" i="31"/>
  <c r="R31" i="31"/>
  <c r="S31" i="31"/>
  <c r="T31" i="31"/>
  <c r="Q32" i="31"/>
  <c r="R32" i="31"/>
  <c r="S32" i="31"/>
  <c r="T32" i="31"/>
  <c r="Q33" i="31"/>
  <c r="R33" i="31"/>
  <c r="S33" i="31"/>
  <c r="T33" i="31"/>
  <c r="Q34" i="31"/>
  <c r="R34" i="31"/>
  <c r="S34" i="31"/>
  <c r="T34" i="31"/>
  <c r="Q35" i="31"/>
  <c r="R35" i="31"/>
  <c r="S35" i="31"/>
  <c r="T35" i="31"/>
  <c r="Q36" i="31"/>
  <c r="R36" i="31"/>
  <c r="S36" i="31"/>
  <c r="T36" i="31"/>
  <c r="Q37" i="31"/>
  <c r="R37" i="31"/>
  <c r="S37" i="31"/>
  <c r="T37" i="31"/>
  <c r="Q38" i="31"/>
  <c r="R38" i="31"/>
  <c r="S38" i="31"/>
  <c r="T38" i="31"/>
  <c r="R2" i="31"/>
  <c r="S2" i="31"/>
  <c r="T2" i="31"/>
  <c r="Q2" i="31"/>
  <c r="AZ40" i="35"/>
  <c r="AZ40" i="36"/>
  <c r="AZ3" i="36"/>
  <c r="BA3" i="36"/>
  <c r="BB3" i="36"/>
  <c r="BC3" i="36"/>
  <c r="AZ4" i="36"/>
  <c r="BA4" i="36"/>
  <c r="BB4" i="36"/>
  <c r="BC4" i="36"/>
  <c r="AZ5" i="36"/>
  <c r="V5" i="31" s="1"/>
  <c r="BA5" i="36"/>
  <c r="W5" i="31" s="1"/>
  <c r="BB5" i="36"/>
  <c r="X5" i="31" s="1"/>
  <c r="BC5" i="36"/>
  <c r="Y5" i="31" s="1"/>
  <c r="AZ6" i="36"/>
  <c r="BA6" i="36"/>
  <c r="BB6" i="36"/>
  <c r="BC6" i="36"/>
  <c r="AZ7" i="36"/>
  <c r="BA7" i="36"/>
  <c r="BB7" i="36"/>
  <c r="BC7" i="36"/>
  <c r="AZ8" i="36"/>
  <c r="BA8" i="36"/>
  <c r="BB8" i="36"/>
  <c r="BC8" i="36"/>
  <c r="AZ9" i="36"/>
  <c r="V9" i="31" s="1"/>
  <c r="BA9" i="36"/>
  <c r="BB9" i="36"/>
  <c r="BC9" i="36"/>
  <c r="AZ10" i="36"/>
  <c r="V10" i="31" s="1"/>
  <c r="BA10" i="36"/>
  <c r="W10" i="31" s="1"/>
  <c r="BB10" i="36"/>
  <c r="X10" i="31" s="1"/>
  <c r="BC10" i="36"/>
  <c r="Y10" i="31" s="1"/>
  <c r="AZ11" i="36"/>
  <c r="BA11" i="36"/>
  <c r="BB11" i="36"/>
  <c r="BC11" i="36"/>
  <c r="AZ12" i="36"/>
  <c r="BA12" i="36"/>
  <c r="BB12" i="36"/>
  <c r="BC12" i="36"/>
  <c r="AZ13" i="36"/>
  <c r="BA13" i="36"/>
  <c r="W13" i="31" s="1"/>
  <c r="BB13" i="36"/>
  <c r="X13" i="31" s="1"/>
  <c r="BC13" i="36"/>
  <c r="Y13" i="31" s="1"/>
  <c r="AZ14" i="36"/>
  <c r="V14" i="31" s="1"/>
  <c r="BA14" i="36"/>
  <c r="W14" i="31" s="1"/>
  <c r="BB14" i="36"/>
  <c r="X14" i="31" s="1"/>
  <c r="BC14" i="36"/>
  <c r="Y14" i="31" s="1"/>
  <c r="AZ15" i="36"/>
  <c r="V15" i="31" s="1"/>
  <c r="BA15" i="36"/>
  <c r="W15" i="31" s="1"/>
  <c r="BB15" i="36"/>
  <c r="BC15" i="36"/>
  <c r="AZ16" i="36"/>
  <c r="BA16" i="36"/>
  <c r="BB16" i="36"/>
  <c r="BC16" i="36"/>
  <c r="AZ17" i="36"/>
  <c r="BA17" i="36"/>
  <c r="BB17" i="36"/>
  <c r="BC17" i="36"/>
  <c r="AZ18" i="36"/>
  <c r="BA18" i="36"/>
  <c r="W18" i="31" s="1"/>
  <c r="BB18" i="36"/>
  <c r="X18" i="31" s="1"/>
  <c r="BC18" i="36"/>
  <c r="Y18" i="31" s="1"/>
  <c r="AZ19" i="36"/>
  <c r="BA19" i="36"/>
  <c r="BB19" i="36"/>
  <c r="BC19" i="36"/>
  <c r="AZ20" i="36"/>
  <c r="BA20" i="36"/>
  <c r="BB20" i="36"/>
  <c r="BC20" i="36"/>
  <c r="AZ21" i="36"/>
  <c r="BA21" i="36"/>
  <c r="BB21" i="36"/>
  <c r="BC21" i="36"/>
  <c r="AZ22" i="36"/>
  <c r="BA22" i="36"/>
  <c r="BB22" i="36"/>
  <c r="BC22" i="36"/>
  <c r="Y22" i="31" s="1"/>
  <c r="AZ23" i="36"/>
  <c r="V23" i="31" s="1"/>
  <c r="BA23" i="36"/>
  <c r="W23" i="31" s="1"/>
  <c r="BB23" i="36"/>
  <c r="X23" i="31" s="1"/>
  <c r="BC23" i="36"/>
  <c r="Y23" i="31" s="1"/>
  <c r="AZ24" i="36"/>
  <c r="BA24" i="36"/>
  <c r="BB24" i="36"/>
  <c r="BC24" i="36"/>
  <c r="AZ25" i="36"/>
  <c r="V25" i="31" s="1"/>
  <c r="BA25" i="36"/>
  <c r="BB25" i="36"/>
  <c r="BC25" i="36"/>
  <c r="AZ26" i="36"/>
  <c r="V26" i="31" s="1"/>
  <c r="BA26" i="36"/>
  <c r="W26" i="31" s="1"/>
  <c r="BB26" i="36"/>
  <c r="X26" i="31" s="1"/>
  <c r="BC26" i="36"/>
  <c r="Y26" i="31" s="1"/>
  <c r="AZ27" i="36"/>
  <c r="BA27" i="36"/>
  <c r="BB27" i="36"/>
  <c r="BC27" i="36"/>
  <c r="AZ28" i="36"/>
  <c r="V28" i="31" s="1"/>
  <c r="BA28" i="36"/>
  <c r="W28" i="31" s="1"/>
  <c r="BB28" i="36"/>
  <c r="X28" i="31" s="1"/>
  <c r="BC28" i="36"/>
  <c r="AZ29" i="36"/>
  <c r="BA29" i="36"/>
  <c r="BB29" i="36"/>
  <c r="BC29" i="36"/>
  <c r="AZ30" i="36"/>
  <c r="BA30" i="36"/>
  <c r="BB30" i="36"/>
  <c r="BC30" i="36"/>
  <c r="AZ31" i="36"/>
  <c r="BA31" i="36"/>
  <c r="BB31" i="36"/>
  <c r="BC31" i="36"/>
  <c r="AZ32" i="36"/>
  <c r="BA32" i="36"/>
  <c r="BB32" i="36"/>
  <c r="BC32" i="36"/>
  <c r="AZ33" i="36"/>
  <c r="V33" i="31" s="1"/>
  <c r="BA33" i="36"/>
  <c r="BB33" i="36"/>
  <c r="BC33" i="36"/>
  <c r="AZ34" i="36"/>
  <c r="V34" i="31" s="1"/>
  <c r="BA34" i="36"/>
  <c r="W34" i="31" s="1"/>
  <c r="BB34" i="36"/>
  <c r="X34" i="31" s="1"/>
  <c r="BC34" i="36"/>
  <c r="Y34" i="31" s="1"/>
  <c r="AZ35" i="36"/>
  <c r="BA35" i="36"/>
  <c r="BB35" i="36"/>
  <c r="BC35" i="36"/>
  <c r="AZ36" i="36"/>
  <c r="BA36" i="36"/>
  <c r="BB36" i="36"/>
  <c r="BC36" i="36"/>
  <c r="AZ37" i="36"/>
  <c r="BA37" i="36"/>
  <c r="BB37" i="36"/>
  <c r="X37" i="31" s="1"/>
  <c r="BC37" i="36"/>
  <c r="Y37" i="31" s="1"/>
  <c r="AZ38" i="36"/>
  <c r="V38" i="31" s="1"/>
  <c r="BA38" i="36"/>
  <c r="W38" i="31" s="1"/>
  <c r="BB38" i="36"/>
  <c r="X38" i="31" s="1"/>
  <c r="BC38" i="36"/>
  <c r="Y38" i="31" s="1"/>
  <c r="BA2" i="36"/>
  <c r="BB2" i="36"/>
  <c r="BC2" i="36"/>
  <c r="AZ2" i="36"/>
  <c r="AZ4" i="35"/>
  <c r="BA4" i="35"/>
  <c r="BB4" i="35"/>
  <c r="BC4" i="35"/>
  <c r="AZ5" i="35"/>
  <c r="BA5" i="35"/>
  <c r="BB5" i="35"/>
  <c r="BC5" i="35"/>
  <c r="AZ6" i="35"/>
  <c r="BA6" i="35"/>
  <c r="BB6" i="35"/>
  <c r="BC6" i="35"/>
  <c r="AZ7" i="35"/>
  <c r="BA7" i="35"/>
  <c r="BB7" i="35"/>
  <c r="BC7" i="35"/>
  <c r="AZ8" i="35"/>
  <c r="BA8" i="35"/>
  <c r="BB8" i="35"/>
  <c r="BC8" i="35"/>
  <c r="AZ9" i="35"/>
  <c r="BA9" i="35"/>
  <c r="BB9" i="35"/>
  <c r="BC9" i="35"/>
  <c r="AZ10" i="35"/>
  <c r="BA10" i="35"/>
  <c r="BB10" i="35"/>
  <c r="BC10" i="35"/>
  <c r="AZ11" i="35"/>
  <c r="BA11" i="35"/>
  <c r="BB11" i="35"/>
  <c r="BC11" i="35"/>
  <c r="AZ12" i="35"/>
  <c r="BA12" i="35"/>
  <c r="BB12" i="35"/>
  <c r="BC12" i="35"/>
  <c r="AZ13" i="35"/>
  <c r="BA13" i="35"/>
  <c r="BB13" i="35"/>
  <c r="BC13" i="35"/>
  <c r="AZ14" i="35"/>
  <c r="BA14" i="35"/>
  <c r="BB14" i="35"/>
  <c r="BC14" i="35"/>
  <c r="AZ15" i="35"/>
  <c r="BA15" i="35"/>
  <c r="BB15" i="35"/>
  <c r="BC15" i="35"/>
  <c r="AZ16" i="35"/>
  <c r="BA16" i="35"/>
  <c r="BB16" i="35"/>
  <c r="BC16" i="35"/>
  <c r="AZ17" i="35"/>
  <c r="BA17" i="35"/>
  <c r="BB17" i="35"/>
  <c r="BC17" i="35"/>
  <c r="AZ18" i="35"/>
  <c r="BA18" i="35"/>
  <c r="BB18" i="35"/>
  <c r="BC18" i="35"/>
  <c r="AZ19" i="35"/>
  <c r="BA19" i="35"/>
  <c r="BB19" i="35"/>
  <c r="BC19" i="35"/>
  <c r="AZ20" i="35"/>
  <c r="BA20" i="35"/>
  <c r="BB20" i="35"/>
  <c r="BC20" i="35"/>
  <c r="AZ21" i="35"/>
  <c r="BA21" i="35"/>
  <c r="BB21" i="35"/>
  <c r="BC21" i="35"/>
  <c r="AZ22" i="35"/>
  <c r="BA22" i="35"/>
  <c r="BB22" i="35"/>
  <c r="BC22" i="35"/>
  <c r="AZ23" i="35"/>
  <c r="BA23" i="35"/>
  <c r="BB23" i="35"/>
  <c r="BC23" i="35"/>
  <c r="AZ24" i="35"/>
  <c r="BA24" i="35"/>
  <c r="BB24" i="35"/>
  <c r="BC24" i="35"/>
  <c r="AZ25" i="35"/>
  <c r="BA25" i="35"/>
  <c r="BB25" i="35"/>
  <c r="BC25" i="35"/>
  <c r="AZ26" i="35"/>
  <c r="BA26" i="35"/>
  <c r="BB26" i="35"/>
  <c r="BC26" i="35"/>
  <c r="AZ27" i="35"/>
  <c r="BA27" i="35"/>
  <c r="BB27" i="35"/>
  <c r="BC27" i="35"/>
  <c r="AZ28" i="35"/>
  <c r="BA28" i="35"/>
  <c r="BB28" i="35"/>
  <c r="BC28" i="35"/>
  <c r="AZ29" i="35"/>
  <c r="BA29" i="35"/>
  <c r="BB29" i="35"/>
  <c r="BC29" i="35"/>
  <c r="AZ30" i="35"/>
  <c r="BA30" i="35"/>
  <c r="BB30" i="35"/>
  <c r="BC30" i="35"/>
  <c r="AZ31" i="35"/>
  <c r="BA31" i="35"/>
  <c r="BB31" i="35"/>
  <c r="BC31" i="35"/>
  <c r="AZ32" i="35"/>
  <c r="BA32" i="35"/>
  <c r="BB32" i="35"/>
  <c r="BC32" i="35"/>
  <c r="AZ33" i="35"/>
  <c r="BA33" i="35"/>
  <c r="BB33" i="35"/>
  <c r="BC33" i="35"/>
  <c r="AZ34" i="35"/>
  <c r="BA34" i="35"/>
  <c r="BB34" i="35"/>
  <c r="BC34" i="35"/>
  <c r="AZ35" i="35"/>
  <c r="BA35" i="35"/>
  <c r="BB35" i="35"/>
  <c r="BC35" i="35"/>
  <c r="AZ36" i="35"/>
  <c r="BA36" i="35"/>
  <c r="BB36" i="35"/>
  <c r="BC36" i="35"/>
  <c r="AZ37" i="35"/>
  <c r="BA37" i="35"/>
  <c r="BB37" i="35"/>
  <c r="BC37" i="35"/>
  <c r="AZ38" i="35"/>
  <c r="BA38" i="35"/>
  <c r="BB38" i="35"/>
  <c r="BC38" i="35"/>
  <c r="BC3" i="35"/>
  <c r="BB3" i="35"/>
  <c r="BA3" i="35"/>
  <c r="AZ3" i="35"/>
  <c r="W37" i="31"/>
  <c r="V37" i="31"/>
  <c r="Y35" i="31"/>
  <c r="W35" i="31"/>
  <c r="V35" i="31"/>
  <c r="Y31" i="31"/>
  <c r="X31" i="31"/>
  <c r="W31" i="31"/>
  <c r="V31" i="31"/>
  <c r="Y30" i="31"/>
  <c r="X30" i="31"/>
  <c r="W30" i="31"/>
  <c r="V30" i="31"/>
  <c r="Y29" i="31"/>
  <c r="X29" i="31"/>
  <c r="W29" i="31"/>
  <c r="V29" i="31"/>
  <c r="Y27" i="31"/>
  <c r="V27" i="31"/>
  <c r="X22" i="31"/>
  <c r="W22" i="31"/>
  <c r="V22" i="31"/>
  <c r="Y21" i="31"/>
  <c r="X21" i="31"/>
  <c r="W21" i="31"/>
  <c r="V21" i="31"/>
  <c r="Y19" i="31"/>
  <c r="W19" i="31"/>
  <c r="V19" i="31"/>
  <c r="V18" i="31"/>
  <c r="V17" i="31"/>
  <c r="Y15" i="31"/>
  <c r="X15" i="31"/>
  <c r="V13" i="31"/>
  <c r="X12" i="31"/>
  <c r="V12" i="31"/>
  <c r="Y11" i="31"/>
  <c r="X11" i="31"/>
  <c r="W11" i="31"/>
  <c r="V11" i="31"/>
  <c r="X7" i="31"/>
  <c r="W7" i="31"/>
  <c r="V7" i="31"/>
  <c r="T40" i="36"/>
  <c r="R40" i="36"/>
  <c r="Y6" i="31"/>
  <c r="X6" i="31"/>
  <c r="W6" i="31"/>
  <c r="V6" i="31"/>
  <c r="AD40" i="36"/>
  <c r="AB40" i="36"/>
  <c r="AA40" i="36"/>
  <c r="AN40" i="36"/>
  <c r="AM40" i="36"/>
  <c r="AL40" i="36"/>
  <c r="AK40" i="36"/>
  <c r="AI40" i="36"/>
  <c r="AH40" i="36"/>
  <c r="AX40" i="36"/>
  <c r="AW40" i="36"/>
  <c r="AV40" i="36"/>
  <c r="AQ40" i="36"/>
  <c r="AP40" i="36"/>
  <c r="J40" i="36"/>
  <c r="I40" i="36"/>
  <c r="H40" i="36"/>
  <c r="G40" i="36"/>
  <c r="E40" i="36"/>
  <c r="D40" i="36"/>
  <c r="W3" i="31"/>
  <c r="B40" i="36"/>
  <c r="T40" i="35"/>
  <c r="S40" i="35"/>
  <c r="R40" i="35"/>
  <c r="Q40" i="35"/>
  <c r="AD40" i="35"/>
  <c r="AN40" i="35"/>
  <c r="AK40" i="35"/>
  <c r="AH40" i="35"/>
  <c r="AG40" i="35"/>
  <c r="AF40" i="35"/>
  <c r="AX40" i="35"/>
  <c r="AW40" i="35"/>
  <c r="AV40" i="35"/>
  <c r="AU40" i="35"/>
  <c r="AS40" i="35"/>
  <c r="AR40" i="35"/>
  <c r="AQ40" i="35"/>
  <c r="AP40" i="35"/>
  <c r="J40" i="35"/>
  <c r="I40" i="35"/>
  <c r="H40" i="35"/>
  <c r="G40" i="35"/>
  <c r="E40" i="35"/>
  <c r="D40" i="35"/>
  <c r="C40" i="35"/>
  <c r="B40" i="35"/>
  <c r="AZ40" i="34"/>
  <c r="E13" i="31"/>
  <c r="E14" i="31"/>
  <c r="E15" i="31"/>
  <c r="E17" i="31"/>
  <c r="E19" i="31"/>
  <c r="E26" i="31"/>
  <c r="E27" i="31"/>
  <c r="E28" i="31"/>
  <c r="E32" i="31"/>
  <c r="E36" i="31"/>
  <c r="BD40" i="32"/>
  <c r="J38" i="31"/>
  <c r="I38" i="31"/>
  <c r="H38" i="31"/>
  <c r="G38" i="31"/>
  <c r="D38" i="31"/>
  <c r="C38" i="31"/>
  <c r="B38" i="31"/>
  <c r="J37" i="31"/>
  <c r="I37" i="31"/>
  <c r="H37" i="31"/>
  <c r="G37" i="31"/>
  <c r="E37" i="31"/>
  <c r="D37" i="31"/>
  <c r="C37" i="31"/>
  <c r="B37" i="31"/>
  <c r="G36" i="31"/>
  <c r="D36" i="31"/>
  <c r="C36" i="31"/>
  <c r="B36" i="31"/>
  <c r="G35" i="31"/>
  <c r="E35" i="31"/>
  <c r="C35" i="31"/>
  <c r="B35" i="31"/>
  <c r="G34" i="31"/>
  <c r="G33" i="31"/>
  <c r="E33" i="31"/>
  <c r="G32" i="31"/>
  <c r="B32" i="31"/>
  <c r="G31" i="31"/>
  <c r="E31" i="31"/>
  <c r="J30" i="31"/>
  <c r="I30" i="31"/>
  <c r="G30" i="31"/>
  <c r="D30" i="31"/>
  <c r="C30" i="31"/>
  <c r="B30" i="31"/>
  <c r="G29" i="31"/>
  <c r="J28" i="31"/>
  <c r="I28" i="31"/>
  <c r="H28" i="31"/>
  <c r="G28" i="31"/>
  <c r="D28" i="31"/>
  <c r="C28" i="31"/>
  <c r="B28" i="31"/>
  <c r="J27" i="31"/>
  <c r="I27" i="31"/>
  <c r="H27" i="31"/>
  <c r="G27" i="31"/>
  <c r="J26" i="31"/>
  <c r="I26" i="31"/>
  <c r="H26" i="31"/>
  <c r="G26" i="31"/>
  <c r="D26" i="31"/>
  <c r="C26" i="31"/>
  <c r="B26" i="31"/>
  <c r="G25" i="31"/>
  <c r="G24" i="31"/>
  <c r="B24" i="31"/>
  <c r="H23" i="31"/>
  <c r="G23" i="31"/>
  <c r="G22" i="31"/>
  <c r="E22" i="31"/>
  <c r="D22" i="31"/>
  <c r="C22" i="31"/>
  <c r="B22" i="31"/>
  <c r="J21" i="31"/>
  <c r="I21" i="31"/>
  <c r="H21" i="31"/>
  <c r="G21" i="31"/>
  <c r="E21" i="31"/>
  <c r="D21" i="31"/>
  <c r="C21" i="31"/>
  <c r="B21" i="31"/>
  <c r="G20" i="31"/>
  <c r="E20" i="31"/>
  <c r="D20" i="31"/>
  <c r="C20" i="31"/>
  <c r="G19" i="31"/>
  <c r="D19" i="31"/>
  <c r="C19" i="31"/>
  <c r="B19" i="31"/>
  <c r="H18" i="31"/>
  <c r="G18" i="31"/>
  <c r="E18" i="31"/>
  <c r="D18" i="31"/>
  <c r="C18" i="31"/>
  <c r="J17" i="31"/>
  <c r="I17" i="31"/>
  <c r="H17" i="31"/>
  <c r="G17" i="31"/>
  <c r="G16" i="31"/>
  <c r="E16" i="31"/>
  <c r="G15" i="31"/>
  <c r="D15" i="31"/>
  <c r="C15" i="31"/>
  <c r="J14" i="31"/>
  <c r="G14" i="31"/>
  <c r="D14" i="31"/>
  <c r="C14" i="31"/>
  <c r="B14" i="31"/>
  <c r="G13" i="31"/>
  <c r="D13" i="31"/>
  <c r="C13" i="31"/>
  <c r="B13" i="31"/>
  <c r="G12" i="31"/>
  <c r="J11" i="31"/>
  <c r="I11" i="31"/>
  <c r="G11" i="31"/>
  <c r="E11" i="31"/>
  <c r="D11" i="31"/>
  <c r="C11" i="31"/>
  <c r="J10" i="31"/>
  <c r="I10" i="31"/>
  <c r="H10" i="31"/>
  <c r="G10" i="31"/>
  <c r="G9" i="31"/>
  <c r="E9" i="31"/>
  <c r="D9" i="31"/>
  <c r="C9" i="31"/>
  <c r="G8" i="31"/>
  <c r="I7" i="31"/>
  <c r="H7" i="31"/>
  <c r="G7" i="31"/>
  <c r="E7" i="31"/>
  <c r="D7" i="31"/>
  <c r="C7" i="31"/>
  <c r="J6" i="31"/>
  <c r="I6" i="31"/>
  <c r="H6" i="31"/>
  <c r="G6" i="31"/>
  <c r="D6" i="31"/>
  <c r="C6" i="31"/>
  <c r="B6" i="31"/>
  <c r="J5" i="31"/>
  <c r="I5" i="31"/>
  <c r="H5" i="31"/>
  <c r="G5" i="31"/>
  <c r="G4" i="31"/>
  <c r="E4" i="31"/>
  <c r="D4" i="31"/>
  <c r="C4" i="31"/>
  <c r="B4" i="31"/>
  <c r="G3" i="31"/>
  <c r="J2" i="31"/>
  <c r="I2" i="31"/>
  <c r="H2" i="31"/>
  <c r="G2" i="31"/>
  <c r="E2" i="31"/>
  <c r="D2" i="31"/>
  <c r="C2" i="31"/>
  <c r="B2" i="31"/>
  <c r="E2" i="2" s="1"/>
  <c r="BD40" i="36"/>
  <c r="Y2" i="31"/>
  <c r="X2" i="31"/>
  <c r="W2" i="31"/>
  <c r="V2" i="31"/>
  <c r="BD40" i="35"/>
  <c r="BD40" i="34"/>
  <c r="BC40" i="34"/>
  <c r="BB40" i="34"/>
  <c r="BA40" i="34"/>
  <c r="AX40" i="33"/>
  <c r="AW40" i="33"/>
  <c r="AV40" i="33"/>
  <c r="AU40" i="33"/>
  <c r="AS40" i="33"/>
  <c r="AR40" i="33"/>
  <c r="AQ40" i="33"/>
  <c r="AP40" i="33"/>
  <c r="AN40" i="33"/>
  <c r="AM40" i="33"/>
  <c r="AL40" i="33"/>
  <c r="AK40" i="33"/>
  <c r="AI40" i="33"/>
  <c r="AH40" i="33"/>
  <c r="AG40" i="33"/>
  <c r="AF40" i="33"/>
  <c r="AD40" i="33"/>
  <c r="AC40" i="33"/>
  <c r="AB40" i="33"/>
  <c r="AA40" i="33"/>
  <c r="Y40" i="33"/>
  <c r="X40" i="33"/>
  <c r="W40" i="33"/>
  <c r="V40" i="33"/>
  <c r="T40" i="33"/>
  <c r="S40" i="33"/>
  <c r="R40" i="33"/>
  <c r="Q40" i="33"/>
  <c r="O40" i="33"/>
  <c r="N40" i="33"/>
  <c r="M40" i="33"/>
  <c r="L40" i="33"/>
  <c r="J40" i="33"/>
  <c r="I40" i="33"/>
  <c r="H40" i="33"/>
  <c r="G40" i="33"/>
  <c r="E40" i="33"/>
  <c r="D40" i="33"/>
  <c r="C40" i="33"/>
  <c r="B40" i="33"/>
  <c r="J36" i="31"/>
  <c r="I36" i="31"/>
  <c r="H36" i="31"/>
  <c r="J35" i="31"/>
  <c r="I35" i="31"/>
  <c r="H35" i="31"/>
  <c r="J34" i="31"/>
  <c r="I34" i="31"/>
  <c r="H34" i="31"/>
  <c r="J33" i="31"/>
  <c r="I33" i="31"/>
  <c r="H33" i="31"/>
  <c r="J32" i="31"/>
  <c r="I32" i="31"/>
  <c r="H32" i="31"/>
  <c r="J31" i="31"/>
  <c r="I31" i="31"/>
  <c r="H31" i="31"/>
  <c r="H30" i="31"/>
  <c r="J29" i="31"/>
  <c r="I29" i="31"/>
  <c r="H29" i="31"/>
  <c r="J25" i="31"/>
  <c r="I25" i="31"/>
  <c r="H25" i="31"/>
  <c r="J24" i="31"/>
  <c r="I24" i="31"/>
  <c r="H24" i="31"/>
  <c r="J23" i="31"/>
  <c r="I23" i="31"/>
  <c r="J22" i="31"/>
  <c r="I22" i="31"/>
  <c r="H22" i="31"/>
  <c r="J20" i="31"/>
  <c r="I20" i="31"/>
  <c r="H20" i="31"/>
  <c r="J19" i="31"/>
  <c r="I19" i="31"/>
  <c r="H19" i="31"/>
  <c r="J18" i="31"/>
  <c r="I18" i="31"/>
  <c r="J16" i="31"/>
  <c r="I16" i="31"/>
  <c r="H16" i="31"/>
  <c r="J15" i="31"/>
  <c r="I15" i="31"/>
  <c r="H15" i="31"/>
  <c r="I14" i="31"/>
  <c r="H14" i="31"/>
  <c r="J13" i="31"/>
  <c r="I13" i="31"/>
  <c r="H13" i="31"/>
  <c r="J12" i="31"/>
  <c r="I12" i="31"/>
  <c r="H12" i="31"/>
  <c r="H11" i="31"/>
  <c r="J9" i="31"/>
  <c r="I9" i="31"/>
  <c r="H9" i="31"/>
  <c r="J8" i="31"/>
  <c r="I8" i="31"/>
  <c r="H8" i="31"/>
  <c r="J7" i="31"/>
  <c r="J4" i="31"/>
  <c r="I4" i="31"/>
  <c r="H4" i="31"/>
  <c r="J3" i="31"/>
  <c r="I3" i="31"/>
  <c r="H3" i="31"/>
  <c r="BD40" i="33"/>
  <c r="BC40" i="33"/>
  <c r="BB40" i="33"/>
  <c r="BA40" i="33"/>
  <c r="E38" i="31"/>
  <c r="D35" i="31"/>
  <c r="E34" i="31"/>
  <c r="D34" i="31"/>
  <c r="C34" i="31"/>
  <c r="B34" i="31"/>
  <c r="D33" i="31"/>
  <c r="C33" i="31"/>
  <c r="B33" i="31"/>
  <c r="D32" i="31"/>
  <c r="C32" i="31"/>
  <c r="D31" i="31"/>
  <c r="C31" i="31"/>
  <c r="B31" i="31"/>
  <c r="E30" i="31"/>
  <c r="E29" i="31"/>
  <c r="D29" i="31"/>
  <c r="C29" i="31"/>
  <c r="B29" i="31"/>
  <c r="D27" i="31"/>
  <c r="C27" i="31"/>
  <c r="B27" i="31"/>
  <c r="E25" i="31"/>
  <c r="D25" i="31"/>
  <c r="C25" i="31"/>
  <c r="B25" i="31"/>
  <c r="E24" i="31"/>
  <c r="D24" i="31"/>
  <c r="C24" i="31"/>
  <c r="E23" i="31"/>
  <c r="D23" i="31"/>
  <c r="C23" i="31"/>
  <c r="B23" i="31"/>
  <c r="B20" i="31"/>
  <c r="B18" i="31"/>
  <c r="D17" i="31"/>
  <c r="C17" i="31"/>
  <c r="B17" i="31"/>
  <c r="D16" i="31"/>
  <c r="C16" i="31"/>
  <c r="B16" i="31"/>
  <c r="B15" i="31"/>
  <c r="E12" i="31"/>
  <c r="D12" i="31"/>
  <c r="C12" i="31"/>
  <c r="B12" i="31"/>
  <c r="B11" i="31"/>
  <c r="E10" i="31"/>
  <c r="D10" i="31"/>
  <c r="C10" i="31"/>
  <c r="B10" i="31"/>
  <c r="B9" i="31"/>
  <c r="E8" i="31"/>
  <c r="D8" i="31"/>
  <c r="C8" i="31"/>
  <c r="B8" i="31"/>
  <c r="B7" i="31"/>
  <c r="E6" i="31"/>
  <c r="E5" i="31"/>
  <c r="D5" i="31"/>
  <c r="C5" i="31"/>
  <c r="B5" i="31"/>
  <c r="AA2" i="31" l="1"/>
  <c r="AB2" i="31"/>
  <c r="AC2" i="31"/>
  <c r="AD2" i="31"/>
  <c r="X36" i="31"/>
  <c r="AF40" i="36"/>
  <c r="AR40" i="36"/>
  <c r="X27" i="31"/>
  <c r="AU40" i="36"/>
  <c r="Q40" i="36"/>
  <c r="AC40" i="36"/>
  <c r="AS40" i="36"/>
  <c r="V20" i="31"/>
  <c r="M40" i="36"/>
  <c r="W20" i="31"/>
  <c r="N40" i="36"/>
  <c r="X20" i="31"/>
  <c r="AG40" i="36"/>
  <c r="W27" i="31"/>
  <c r="X19" i="31"/>
  <c r="X35" i="31"/>
  <c r="Y7" i="31"/>
  <c r="S40" i="36"/>
  <c r="W12" i="31"/>
  <c r="W36" i="31"/>
  <c r="V36" i="31"/>
  <c r="V16" i="31"/>
  <c r="V24" i="31"/>
  <c r="V32" i="31"/>
  <c r="W8" i="31"/>
  <c r="W16" i="31"/>
  <c r="X4" i="31"/>
  <c r="Y8" i="31"/>
  <c r="Y16" i="31"/>
  <c r="Y24" i="31"/>
  <c r="Y32" i="31"/>
  <c r="W40" i="36"/>
  <c r="L40" i="36"/>
  <c r="V8" i="31"/>
  <c r="W4" i="31"/>
  <c r="W24" i="31"/>
  <c r="W32" i="31"/>
  <c r="X8" i="31"/>
  <c r="X24" i="31"/>
  <c r="X32" i="31"/>
  <c r="O40" i="36"/>
  <c r="Y12" i="31"/>
  <c r="Y20" i="31"/>
  <c r="Y28" i="31"/>
  <c r="V40" i="36"/>
  <c r="W9" i="31"/>
  <c r="W17" i="31"/>
  <c r="W25" i="31"/>
  <c r="W33" i="31"/>
  <c r="X40" i="36"/>
  <c r="X9" i="31"/>
  <c r="X17" i="31"/>
  <c r="X25" i="31"/>
  <c r="X33" i="31"/>
  <c r="Y40" i="36"/>
  <c r="Y9" i="31"/>
  <c r="Y17" i="31"/>
  <c r="Y25" i="31"/>
  <c r="Y33" i="31"/>
  <c r="X16" i="31"/>
  <c r="Y4" i="31"/>
  <c r="Y36" i="31"/>
  <c r="AA3" i="31"/>
  <c r="AA4" i="31" s="1"/>
  <c r="AA5" i="31" s="1"/>
  <c r="AA6" i="31" s="1"/>
  <c r="AA7" i="31" s="1"/>
  <c r="AA8" i="31" s="1"/>
  <c r="AA9" i="31" s="1"/>
  <c r="AA10" i="31" s="1"/>
  <c r="AA11" i="31" s="1"/>
  <c r="AA12" i="31" s="1"/>
  <c r="AA13" i="31" s="1"/>
  <c r="AA14" i="31" s="1"/>
  <c r="AA15" i="31" s="1"/>
  <c r="AA16" i="31" s="1"/>
  <c r="AA17" i="31" s="1"/>
  <c r="AA18" i="31" s="1"/>
  <c r="AA19" i="31" s="1"/>
  <c r="AA20" i="31" s="1"/>
  <c r="AA21" i="31" s="1"/>
  <c r="AA22" i="31" s="1"/>
  <c r="AA23" i="31" s="1"/>
  <c r="AA24" i="31" s="1"/>
  <c r="AA25" i="31" s="1"/>
  <c r="AA26" i="31" s="1"/>
  <c r="AA27" i="31" s="1"/>
  <c r="AA28" i="31" s="1"/>
  <c r="AA29" i="31" s="1"/>
  <c r="AA30" i="31" s="1"/>
  <c r="AA31" i="31" s="1"/>
  <c r="AA32" i="31" s="1"/>
  <c r="AA33" i="31" s="1"/>
  <c r="AA34" i="31" s="1"/>
  <c r="AA35" i="31" s="1"/>
  <c r="AA36" i="31" s="1"/>
  <c r="AA37" i="31" s="1"/>
  <c r="AA38" i="31" s="1"/>
  <c r="AI40" i="35"/>
  <c r="L40" i="35"/>
  <c r="N40" i="35"/>
  <c r="AL40" i="35"/>
  <c r="AM40" i="35"/>
  <c r="M40" i="35"/>
  <c r="O40" i="35"/>
  <c r="X40" i="35"/>
  <c r="AA40" i="35"/>
  <c r="V40" i="35"/>
  <c r="Y40" i="35"/>
  <c r="AB40" i="35"/>
  <c r="AC40" i="35"/>
  <c r="W40" i="35"/>
  <c r="BA40" i="32"/>
  <c r="BB40" i="32"/>
  <c r="BC40" i="32"/>
  <c r="B3" i="31"/>
  <c r="C3" i="31"/>
  <c r="D3" i="31"/>
  <c r="E3" i="31"/>
  <c r="V3" i="31"/>
  <c r="C40" i="36"/>
  <c r="V4" i="31"/>
  <c r="T38" i="17"/>
  <c r="S38" i="17"/>
  <c r="R38" i="17"/>
  <c r="Q38" i="17"/>
  <c r="T37" i="17"/>
  <c r="S37" i="17"/>
  <c r="R37" i="17"/>
  <c r="Q37" i="17"/>
  <c r="T36" i="17"/>
  <c r="S36" i="17"/>
  <c r="R36" i="17"/>
  <c r="Q36" i="17"/>
  <c r="T35" i="17"/>
  <c r="S35" i="17"/>
  <c r="R35" i="17"/>
  <c r="Q35" i="17"/>
  <c r="T34" i="17"/>
  <c r="S34" i="17"/>
  <c r="R34" i="17"/>
  <c r="Q34" i="17"/>
  <c r="T33" i="17"/>
  <c r="S33" i="17"/>
  <c r="R33" i="17"/>
  <c r="Q33" i="17"/>
  <c r="T32" i="17"/>
  <c r="S32" i="17"/>
  <c r="R32" i="17"/>
  <c r="Q32" i="17"/>
  <c r="T31" i="17"/>
  <c r="S31" i="17"/>
  <c r="R31" i="17"/>
  <c r="Q31" i="17"/>
  <c r="T30" i="17"/>
  <c r="S30" i="17"/>
  <c r="R30" i="17"/>
  <c r="Q30" i="17"/>
  <c r="T29" i="17"/>
  <c r="S29" i="17"/>
  <c r="R29" i="17"/>
  <c r="Q29" i="17"/>
  <c r="T28" i="17"/>
  <c r="S28" i="17"/>
  <c r="R28" i="17"/>
  <c r="Q28" i="17"/>
  <c r="T27" i="17"/>
  <c r="S27" i="17"/>
  <c r="R27" i="17"/>
  <c r="Q27" i="17"/>
  <c r="T26" i="17"/>
  <c r="S26" i="17"/>
  <c r="R26" i="17"/>
  <c r="Q26" i="17"/>
  <c r="T25" i="17"/>
  <c r="S25" i="17"/>
  <c r="R25" i="17"/>
  <c r="Q25" i="17"/>
  <c r="T24" i="17"/>
  <c r="S24" i="17"/>
  <c r="R24" i="17"/>
  <c r="Q24" i="17"/>
  <c r="T23" i="17"/>
  <c r="S23" i="17"/>
  <c r="R23" i="17"/>
  <c r="Q23" i="17"/>
  <c r="T22" i="17"/>
  <c r="S22" i="17"/>
  <c r="R22" i="17"/>
  <c r="Q22" i="17"/>
  <c r="T21" i="17"/>
  <c r="S21" i="17"/>
  <c r="R21" i="17"/>
  <c r="Q21" i="17"/>
  <c r="T20" i="17"/>
  <c r="S20" i="17"/>
  <c r="R20" i="17"/>
  <c r="Q20" i="17"/>
  <c r="T19" i="17"/>
  <c r="S19" i="17"/>
  <c r="R19" i="17"/>
  <c r="Q19" i="17"/>
  <c r="T18" i="17"/>
  <c r="S18" i="17"/>
  <c r="R18" i="17"/>
  <c r="Q18" i="17"/>
  <c r="T17" i="17"/>
  <c r="S17" i="17"/>
  <c r="R17" i="17"/>
  <c r="Q17" i="17"/>
  <c r="T16" i="17"/>
  <c r="S16" i="17"/>
  <c r="R16" i="17"/>
  <c r="Q16" i="17"/>
  <c r="T15" i="17"/>
  <c r="S15" i="17"/>
  <c r="R15" i="17"/>
  <c r="Q15" i="17"/>
  <c r="T14" i="17"/>
  <c r="S14" i="17"/>
  <c r="R14" i="17"/>
  <c r="Q14" i="17"/>
  <c r="T13" i="17"/>
  <c r="S13" i="17"/>
  <c r="R13" i="17"/>
  <c r="Q13" i="17"/>
  <c r="T12" i="17"/>
  <c r="S12" i="17"/>
  <c r="R12" i="17"/>
  <c r="Q12" i="17"/>
  <c r="T11" i="17"/>
  <c r="S11" i="17"/>
  <c r="R11" i="17"/>
  <c r="Q11" i="17"/>
  <c r="T10" i="17"/>
  <c r="S10" i="17"/>
  <c r="R10" i="17"/>
  <c r="Q10" i="17"/>
  <c r="T9" i="17"/>
  <c r="S9" i="17"/>
  <c r="R9" i="17"/>
  <c r="Q9" i="17"/>
  <c r="T8" i="17"/>
  <c r="S8" i="17"/>
  <c r="R8" i="17"/>
  <c r="Q8" i="17"/>
  <c r="T7" i="17"/>
  <c r="S7" i="17"/>
  <c r="R7" i="17"/>
  <c r="Q7" i="17"/>
  <c r="T6" i="17"/>
  <c r="S6" i="17"/>
  <c r="R6" i="17"/>
  <c r="Q6" i="17"/>
  <c r="T5" i="17"/>
  <c r="S5" i="17"/>
  <c r="R5" i="17"/>
  <c r="Q5" i="17"/>
  <c r="T4" i="17"/>
  <c r="S4" i="17"/>
  <c r="R4" i="17"/>
  <c r="Q4" i="17"/>
  <c r="T3" i="17"/>
  <c r="S3" i="17"/>
  <c r="R3" i="17"/>
  <c r="Q3" i="17"/>
  <c r="T2" i="17"/>
  <c r="S2" i="17"/>
  <c r="R2" i="17"/>
  <c r="Q2" i="17"/>
  <c r="Y38" i="17"/>
  <c r="X38" i="17"/>
  <c r="W38" i="17"/>
  <c r="V38" i="17"/>
  <c r="Y37" i="17"/>
  <c r="X37" i="17"/>
  <c r="W37" i="17"/>
  <c r="V37" i="17"/>
  <c r="Y36" i="17"/>
  <c r="X36" i="17"/>
  <c r="W36" i="17"/>
  <c r="V36" i="17"/>
  <c r="Y35" i="17"/>
  <c r="X35" i="17"/>
  <c r="W35" i="17"/>
  <c r="V35" i="17"/>
  <c r="Y34" i="17"/>
  <c r="X34" i="17"/>
  <c r="W34" i="17"/>
  <c r="V34" i="17"/>
  <c r="Y33" i="17"/>
  <c r="X33" i="17"/>
  <c r="W33" i="17"/>
  <c r="V33" i="17"/>
  <c r="Y32" i="17"/>
  <c r="X32" i="17"/>
  <c r="W32" i="17"/>
  <c r="V32" i="17"/>
  <c r="Y31" i="17"/>
  <c r="X31" i="17"/>
  <c r="W31" i="17"/>
  <c r="V31" i="17"/>
  <c r="Y30" i="17"/>
  <c r="X30" i="17"/>
  <c r="W30" i="17"/>
  <c r="V30" i="17"/>
  <c r="Y29" i="17"/>
  <c r="X29" i="17"/>
  <c r="W29" i="17"/>
  <c r="V29" i="17"/>
  <c r="Y28" i="17"/>
  <c r="X28" i="17"/>
  <c r="W28" i="17"/>
  <c r="V28" i="17"/>
  <c r="Y27" i="17"/>
  <c r="X27" i="17"/>
  <c r="W27" i="17"/>
  <c r="V27" i="17"/>
  <c r="Y26" i="17"/>
  <c r="X26" i="17"/>
  <c r="W26" i="17"/>
  <c r="V26" i="17"/>
  <c r="Y25" i="17"/>
  <c r="X25" i="17"/>
  <c r="W25" i="17"/>
  <c r="V25" i="17"/>
  <c r="Y24" i="17"/>
  <c r="X24" i="17"/>
  <c r="W24" i="17"/>
  <c r="V24" i="17"/>
  <c r="Y23" i="17"/>
  <c r="X23" i="17"/>
  <c r="W23" i="17"/>
  <c r="V23" i="17"/>
  <c r="Y22" i="17"/>
  <c r="X22" i="17"/>
  <c r="W22" i="17"/>
  <c r="V22" i="17"/>
  <c r="Y21" i="17"/>
  <c r="X21" i="17"/>
  <c r="W21" i="17"/>
  <c r="V21" i="17"/>
  <c r="Y20" i="17"/>
  <c r="X20" i="17"/>
  <c r="W20" i="17"/>
  <c r="V20" i="17"/>
  <c r="Y19" i="17"/>
  <c r="X19" i="17"/>
  <c r="W19" i="17"/>
  <c r="V19" i="17"/>
  <c r="Y18" i="17"/>
  <c r="X18" i="17"/>
  <c r="W18" i="17"/>
  <c r="V18" i="17"/>
  <c r="Y17" i="17"/>
  <c r="X17" i="17"/>
  <c r="W17" i="17"/>
  <c r="V17" i="17"/>
  <c r="Y16" i="17"/>
  <c r="X16" i="17"/>
  <c r="W16" i="17"/>
  <c r="V16" i="17"/>
  <c r="Y15" i="17"/>
  <c r="X15" i="17"/>
  <c r="W15" i="17"/>
  <c r="V15" i="17"/>
  <c r="Y14" i="17"/>
  <c r="X14" i="17"/>
  <c r="W14" i="17"/>
  <c r="V14" i="17"/>
  <c r="Y13" i="17"/>
  <c r="X13" i="17"/>
  <c r="W13" i="17"/>
  <c r="V13" i="17"/>
  <c r="Y12" i="17"/>
  <c r="X12" i="17"/>
  <c r="W12" i="17"/>
  <c r="V12" i="17"/>
  <c r="Y11" i="17"/>
  <c r="X11" i="17"/>
  <c r="W11" i="17"/>
  <c r="V11" i="17"/>
  <c r="Y10" i="17"/>
  <c r="X10" i="17"/>
  <c r="W10" i="17"/>
  <c r="V10" i="17"/>
  <c r="Y9" i="17"/>
  <c r="X9" i="17"/>
  <c r="W9" i="17"/>
  <c r="V9" i="17"/>
  <c r="Y8" i="17"/>
  <c r="X8" i="17"/>
  <c r="W8" i="17"/>
  <c r="V8" i="17"/>
  <c r="Y7" i="17"/>
  <c r="X7" i="17"/>
  <c r="W7" i="17"/>
  <c r="V7" i="17"/>
  <c r="Y6" i="17"/>
  <c r="X6" i="17"/>
  <c r="W6" i="17"/>
  <c r="V6" i="17"/>
  <c r="Y5" i="17"/>
  <c r="X5" i="17"/>
  <c r="W5" i="17"/>
  <c r="V5" i="17"/>
  <c r="Y4" i="17"/>
  <c r="X4" i="17"/>
  <c r="W4" i="17"/>
  <c r="V4" i="17"/>
  <c r="Y3" i="17"/>
  <c r="X3" i="17"/>
  <c r="W3" i="17"/>
  <c r="V3" i="17"/>
  <c r="Y2" i="17"/>
  <c r="X2" i="17"/>
  <c r="W2" i="17"/>
  <c r="V2" i="17"/>
  <c r="AB3" i="31" l="1"/>
  <c r="AB4" i="31" s="1"/>
  <c r="AB5" i="31" s="1"/>
  <c r="AB6" i="31" s="1"/>
  <c r="AB7" i="31" s="1"/>
  <c r="AB8" i="31" s="1"/>
  <c r="AB9" i="31" s="1"/>
  <c r="AB10" i="31" s="1"/>
  <c r="AB11" i="31" s="1"/>
  <c r="AB12" i="31" s="1"/>
  <c r="AB13" i="31" s="1"/>
  <c r="AB14" i="31" s="1"/>
  <c r="AB15" i="31" s="1"/>
  <c r="AB16" i="31" s="1"/>
  <c r="AB17" i="31" s="1"/>
  <c r="AB18" i="31" s="1"/>
  <c r="AB19" i="31" s="1"/>
  <c r="AB20" i="31" s="1"/>
  <c r="AB21" i="31" s="1"/>
  <c r="AB22" i="31" s="1"/>
  <c r="AB23" i="31" s="1"/>
  <c r="AB24" i="31" s="1"/>
  <c r="AB25" i="31" s="1"/>
  <c r="AB26" i="31" s="1"/>
  <c r="AB27" i="31" s="1"/>
  <c r="AB28" i="31" s="1"/>
  <c r="AB29" i="31" s="1"/>
  <c r="AB30" i="31" s="1"/>
  <c r="AB31" i="31" s="1"/>
  <c r="AB32" i="31" s="1"/>
  <c r="AB33" i="31" s="1"/>
  <c r="AB34" i="31" s="1"/>
  <c r="AB35" i="31" s="1"/>
  <c r="AB36" i="31" s="1"/>
  <c r="AB37" i="31" s="1"/>
  <c r="AB38" i="31" s="1"/>
  <c r="BB40" i="36"/>
  <c r="X3" i="31"/>
  <c r="BC40" i="36"/>
  <c r="Y3" i="31"/>
  <c r="BA40" i="36"/>
  <c r="BC40" i="35"/>
  <c r="BB40" i="35"/>
  <c r="AD3" i="31"/>
  <c r="AD4" i="31" s="1"/>
  <c r="AD5" i="31" s="1"/>
  <c r="AD6" i="31" s="1"/>
  <c r="AD7" i="31" s="1"/>
  <c r="AD8" i="31" s="1"/>
  <c r="AD9" i="31" s="1"/>
  <c r="AD10" i="31" s="1"/>
  <c r="AD11" i="31" s="1"/>
  <c r="AD12" i="31" s="1"/>
  <c r="AD13" i="31" s="1"/>
  <c r="AD14" i="31" s="1"/>
  <c r="AD15" i="31" s="1"/>
  <c r="AD16" i="31" s="1"/>
  <c r="AD17" i="31" s="1"/>
  <c r="AD18" i="31" s="1"/>
  <c r="AD19" i="31" s="1"/>
  <c r="AD20" i="31" s="1"/>
  <c r="AD21" i="31" s="1"/>
  <c r="AD22" i="31" s="1"/>
  <c r="AD23" i="31" s="1"/>
  <c r="AD24" i="31" s="1"/>
  <c r="AD25" i="31" s="1"/>
  <c r="AD26" i="31" s="1"/>
  <c r="AD27" i="31" s="1"/>
  <c r="AD28" i="31" s="1"/>
  <c r="AD29" i="31" s="1"/>
  <c r="AD30" i="31" s="1"/>
  <c r="AD31" i="31" s="1"/>
  <c r="AD32" i="31" s="1"/>
  <c r="AD33" i="31" s="1"/>
  <c r="AD34" i="31" s="1"/>
  <c r="AD35" i="31" s="1"/>
  <c r="AD36" i="31" s="1"/>
  <c r="AD37" i="31" s="1"/>
  <c r="AD38" i="31" s="1"/>
  <c r="BA40" i="35"/>
  <c r="AC3" i="31"/>
  <c r="AC4" i="31" s="1"/>
  <c r="AC5" i="31" s="1"/>
  <c r="AC6" i="31" s="1"/>
  <c r="AC7" i="31" s="1"/>
  <c r="AC8" i="31" s="1"/>
  <c r="AC9" i="31" s="1"/>
  <c r="AC10" i="31" s="1"/>
  <c r="AC11" i="31" s="1"/>
  <c r="AC12" i="31" s="1"/>
  <c r="AC13" i="31" s="1"/>
  <c r="AC14" i="31" s="1"/>
  <c r="AC15" i="31" s="1"/>
  <c r="AC16" i="31" s="1"/>
  <c r="AC17" i="31" s="1"/>
  <c r="AC18" i="31" s="1"/>
  <c r="AC19" i="31" s="1"/>
  <c r="AC20" i="31" s="1"/>
  <c r="AC21" i="31" s="1"/>
  <c r="AC22" i="31" s="1"/>
  <c r="AC23" i="31" s="1"/>
  <c r="AC24" i="31" s="1"/>
  <c r="AC25" i="31" s="1"/>
  <c r="AC26" i="31" s="1"/>
  <c r="AC27" i="31" s="1"/>
  <c r="AC28" i="31" s="1"/>
  <c r="AC29" i="31" s="1"/>
  <c r="AC30" i="31" s="1"/>
  <c r="AC31" i="31" s="1"/>
  <c r="AC32" i="31" s="1"/>
  <c r="AC33" i="31" s="1"/>
  <c r="AC34" i="31" s="1"/>
  <c r="AC35" i="31" s="1"/>
  <c r="AC36" i="31" s="1"/>
  <c r="AC37" i="31" s="1"/>
  <c r="AC38" i="31" s="1"/>
  <c r="E80" i="30"/>
  <c r="G80" i="30" s="1"/>
  <c r="E79" i="30"/>
  <c r="G79" i="30" s="1"/>
  <c r="E78" i="30"/>
  <c r="G78" i="30" s="1"/>
  <c r="E77" i="30"/>
  <c r="G77" i="30" s="1"/>
  <c r="E72" i="30"/>
  <c r="G72" i="30" s="1"/>
  <c r="E71" i="30"/>
  <c r="G71" i="30" s="1"/>
  <c r="E70" i="30"/>
  <c r="G70" i="30" s="1"/>
  <c r="E69" i="30"/>
  <c r="G69" i="30" s="1"/>
  <c r="E64" i="30"/>
  <c r="G64" i="30" s="1"/>
  <c r="E63" i="30"/>
  <c r="G63" i="30" s="1"/>
  <c r="E62" i="30"/>
  <c r="G62" i="30" s="1"/>
  <c r="E61" i="30"/>
  <c r="G61" i="30" s="1"/>
  <c r="E56" i="30"/>
  <c r="G56" i="30" s="1"/>
  <c r="E55" i="30"/>
  <c r="G55" i="30" s="1"/>
  <c r="E54" i="30"/>
  <c r="G54" i="30" s="1"/>
  <c r="E53" i="30"/>
  <c r="G53" i="30" s="1"/>
  <c r="E48" i="30"/>
  <c r="G48" i="30" s="1"/>
  <c r="E47" i="30"/>
  <c r="G47" i="30" s="1"/>
  <c r="E46" i="30"/>
  <c r="G46" i="30" s="1"/>
  <c r="E45" i="30"/>
  <c r="G45" i="30" s="1"/>
  <c r="E40" i="30"/>
  <c r="G40" i="30" s="1"/>
  <c r="E39" i="30"/>
  <c r="G39" i="30" s="1"/>
  <c r="E38" i="30"/>
  <c r="G38" i="30" s="1"/>
  <c r="E37" i="30"/>
  <c r="G37" i="30" s="1"/>
  <c r="E32" i="30"/>
  <c r="G32" i="30" s="1"/>
  <c r="E31" i="30"/>
  <c r="G31" i="30" s="1"/>
  <c r="E30" i="30"/>
  <c r="G30" i="30" s="1"/>
  <c r="E29" i="30"/>
  <c r="G29" i="30" s="1"/>
  <c r="E24" i="30"/>
  <c r="G24" i="30" s="1"/>
  <c r="E23" i="30"/>
  <c r="G23" i="30" s="1"/>
  <c r="E22" i="30"/>
  <c r="G22" i="30" s="1"/>
  <c r="E21" i="30"/>
  <c r="G21" i="30" s="1"/>
  <c r="E16" i="30"/>
  <c r="G16" i="30" s="1"/>
  <c r="E15" i="30"/>
  <c r="G15" i="30" s="1"/>
  <c r="E14" i="30"/>
  <c r="G14" i="30" s="1"/>
  <c r="E13" i="30"/>
  <c r="G13" i="30" s="1"/>
  <c r="E5" i="30"/>
  <c r="G5" i="30" s="1"/>
  <c r="E8" i="30"/>
  <c r="G8" i="30" s="1"/>
  <c r="E7" i="30"/>
  <c r="G7" i="30" s="1"/>
  <c r="E6" i="30"/>
  <c r="G6" i="30" s="1"/>
  <c r="BD40" i="16"/>
  <c r="BC40" i="16"/>
  <c r="BB40" i="16"/>
  <c r="BA40" i="16"/>
  <c r="AX40" i="16"/>
  <c r="AW40" i="16"/>
  <c r="AV40" i="16"/>
  <c r="AU40" i="16"/>
  <c r="AS40" i="16"/>
  <c r="AR40" i="16"/>
  <c r="AQ40" i="16"/>
  <c r="AP40" i="16"/>
  <c r="AN40" i="16"/>
  <c r="AM40" i="16"/>
  <c r="AL40" i="16"/>
  <c r="AK40" i="16"/>
  <c r="AI40" i="16"/>
  <c r="AH40" i="16"/>
  <c r="AG40" i="16"/>
  <c r="AF40" i="16"/>
  <c r="AD40" i="16"/>
  <c r="AC40" i="16"/>
  <c r="AB40" i="16"/>
  <c r="AA40" i="16"/>
  <c r="Y40" i="16"/>
  <c r="X40" i="16"/>
  <c r="W40" i="16"/>
  <c r="V40" i="16"/>
  <c r="T40" i="16"/>
  <c r="S40" i="16"/>
  <c r="R40" i="16"/>
  <c r="Q40" i="16"/>
  <c r="O40" i="16"/>
  <c r="N40" i="16"/>
  <c r="M40" i="16"/>
  <c r="L40" i="16"/>
  <c r="J40" i="16"/>
  <c r="I40" i="16"/>
  <c r="H40" i="16"/>
  <c r="G40" i="16"/>
  <c r="E40" i="16"/>
  <c r="D40" i="16"/>
  <c r="C40" i="16"/>
  <c r="B40" i="16"/>
  <c r="BD40" i="15"/>
  <c r="BC40" i="15"/>
  <c r="BB40" i="15"/>
  <c r="BA40" i="15"/>
  <c r="AX40" i="15"/>
  <c r="AW40" i="15"/>
  <c r="AV40" i="15"/>
  <c r="AU40" i="15"/>
  <c r="AS40" i="15"/>
  <c r="AR40" i="15"/>
  <c r="AQ40" i="15"/>
  <c r="AP40" i="15"/>
  <c r="AN40" i="15"/>
  <c r="AM40" i="15"/>
  <c r="AL40" i="15"/>
  <c r="AK40" i="15"/>
  <c r="AI40" i="15"/>
  <c r="AH40" i="15"/>
  <c r="AG40" i="15"/>
  <c r="AF40" i="15"/>
  <c r="AD40" i="15"/>
  <c r="AC40" i="15"/>
  <c r="AB40" i="15"/>
  <c r="AA40" i="15"/>
  <c r="Y40" i="15"/>
  <c r="X40" i="15"/>
  <c r="W40" i="15"/>
  <c r="V40" i="15"/>
  <c r="T40" i="15"/>
  <c r="S40" i="15"/>
  <c r="R40" i="15"/>
  <c r="Q40" i="15"/>
  <c r="O40" i="15"/>
  <c r="N40" i="15"/>
  <c r="M40" i="15"/>
  <c r="L40" i="15"/>
  <c r="J40" i="15"/>
  <c r="I40" i="15"/>
  <c r="H40" i="15"/>
  <c r="G40" i="15"/>
  <c r="E40" i="15"/>
  <c r="D40" i="15"/>
  <c r="C40" i="15"/>
  <c r="B40" i="15"/>
  <c r="BD40" i="14"/>
  <c r="BC40" i="14"/>
  <c r="BB40" i="14"/>
  <c r="BA40" i="14"/>
  <c r="AX40" i="14"/>
  <c r="AW40" i="14"/>
  <c r="AV40" i="14"/>
  <c r="AU40" i="14"/>
  <c r="AS40" i="14"/>
  <c r="AR40" i="14"/>
  <c r="AQ40" i="14"/>
  <c r="AP40" i="14"/>
  <c r="AN40" i="14"/>
  <c r="AM40" i="14"/>
  <c r="AL40" i="14"/>
  <c r="AK40" i="14"/>
  <c r="AI40" i="14"/>
  <c r="AH40" i="14"/>
  <c r="AG40" i="14"/>
  <c r="AF40" i="14"/>
  <c r="AD40" i="14"/>
  <c r="AC40" i="14"/>
  <c r="AB40" i="14"/>
  <c r="AA40" i="14"/>
  <c r="Y40" i="14"/>
  <c r="X40" i="14"/>
  <c r="W40" i="14"/>
  <c r="V40" i="14"/>
  <c r="T40" i="14"/>
  <c r="S40" i="14"/>
  <c r="R40" i="14"/>
  <c r="Q40" i="14"/>
  <c r="O40" i="14"/>
  <c r="N40" i="14"/>
  <c r="M40" i="14"/>
  <c r="L40" i="14"/>
  <c r="J40" i="14"/>
  <c r="I40" i="14"/>
  <c r="H40" i="14"/>
  <c r="G40" i="14"/>
  <c r="E40" i="14"/>
  <c r="D40" i="14"/>
  <c r="C40" i="14"/>
  <c r="B40" i="14"/>
  <c r="BD40" i="13"/>
  <c r="BC40" i="13"/>
  <c r="BB40" i="13"/>
  <c r="BA40" i="13"/>
  <c r="AX40" i="13"/>
  <c r="AW40" i="13"/>
  <c r="AV40" i="13"/>
  <c r="AU40" i="13"/>
  <c r="AS40" i="13"/>
  <c r="AR40" i="13"/>
  <c r="AQ40" i="13"/>
  <c r="AP40" i="13"/>
  <c r="AN40" i="13"/>
  <c r="AM40" i="13"/>
  <c r="AL40" i="13"/>
  <c r="AK40" i="13"/>
  <c r="AI40" i="13"/>
  <c r="AH40" i="13"/>
  <c r="AG40" i="13"/>
  <c r="AF40" i="13"/>
  <c r="AD40" i="13"/>
  <c r="AC40" i="13"/>
  <c r="AB40" i="13"/>
  <c r="AA40" i="13"/>
  <c r="Y40" i="13"/>
  <c r="X40" i="13"/>
  <c r="W40" i="13"/>
  <c r="V40" i="13"/>
  <c r="T40" i="13"/>
  <c r="S40" i="13"/>
  <c r="R40" i="13"/>
  <c r="Q40" i="13"/>
  <c r="O40" i="13"/>
  <c r="N40" i="13"/>
  <c r="M40" i="13"/>
  <c r="L40" i="13"/>
  <c r="J40" i="13"/>
  <c r="I40" i="13"/>
  <c r="H40" i="13"/>
  <c r="G40" i="13"/>
  <c r="E40" i="13"/>
  <c r="D40" i="13"/>
  <c r="C40" i="13"/>
  <c r="B40" i="13"/>
  <c r="BD40" i="12"/>
  <c r="BC40" i="12"/>
  <c r="BB40" i="12"/>
  <c r="BA40" i="12"/>
  <c r="AX40" i="12"/>
  <c r="AW40" i="12"/>
  <c r="AV40" i="12"/>
  <c r="AU40" i="12"/>
  <c r="AS40" i="12"/>
  <c r="AR40" i="12"/>
  <c r="AQ40" i="12"/>
  <c r="AP40" i="12"/>
  <c r="AN40" i="12"/>
  <c r="AM40" i="12"/>
  <c r="AL40" i="12"/>
  <c r="AK40" i="12"/>
  <c r="AI40" i="12"/>
  <c r="AH40" i="12"/>
  <c r="AG40" i="12"/>
  <c r="AF40" i="12"/>
  <c r="AD40" i="12"/>
  <c r="AC40" i="12"/>
  <c r="AB40" i="12"/>
  <c r="AA40" i="12"/>
  <c r="Y40" i="12"/>
  <c r="X40" i="12"/>
  <c r="W40" i="12"/>
  <c r="V40" i="12"/>
  <c r="T40" i="12"/>
  <c r="S40" i="12"/>
  <c r="R40" i="12"/>
  <c r="Q40" i="12"/>
  <c r="O40" i="12"/>
  <c r="N40" i="12"/>
  <c r="M40" i="12"/>
  <c r="L40" i="12"/>
  <c r="J40" i="12"/>
  <c r="I40" i="12"/>
  <c r="H40" i="12"/>
  <c r="G40" i="12"/>
  <c r="E40" i="12"/>
  <c r="D40" i="12"/>
  <c r="C40" i="12"/>
  <c r="B40" i="12"/>
  <c r="BD40" i="22"/>
  <c r="BD40" i="20"/>
  <c r="AP40" i="20"/>
  <c r="AK40" i="20"/>
  <c r="AF40" i="20"/>
  <c r="AA40" i="20"/>
  <c r="V40" i="20"/>
  <c r="T40" i="20"/>
  <c r="S40" i="20"/>
  <c r="R40" i="20"/>
  <c r="Q40" i="20"/>
  <c r="O40" i="20"/>
  <c r="N40" i="20"/>
  <c r="M40" i="20"/>
  <c r="L40" i="20"/>
  <c r="J40" i="20"/>
  <c r="I40" i="20"/>
  <c r="H40" i="20"/>
  <c r="G40" i="20"/>
  <c r="E40" i="20"/>
  <c r="D40" i="20"/>
  <c r="C40" i="20"/>
  <c r="B40" i="20"/>
  <c r="T40" i="19"/>
  <c r="S40" i="19"/>
  <c r="R40" i="19"/>
  <c r="Q40" i="19"/>
  <c r="O40" i="19"/>
  <c r="N40" i="19"/>
  <c r="M40" i="19"/>
  <c r="L40" i="19"/>
  <c r="J40" i="19"/>
  <c r="I40" i="19"/>
  <c r="H40" i="19"/>
  <c r="G40" i="19"/>
  <c r="E40" i="19"/>
  <c r="D40" i="19"/>
  <c r="C40" i="19"/>
  <c r="B40" i="19"/>
  <c r="T40" i="18"/>
  <c r="S40" i="18"/>
  <c r="R40" i="18"/>
  <c r="Q40" i="18"/>
  <c r="O40" i="18"/>
  <c r="N40" i="18"/>
  <c r="M40" i="18"/>
  <c r="L40" i="18"/>
  <c r="J40" i="18"/>
  <c r="I40" i="18"/>
  <c r="H40" i="18"/>
  <c r="G40" i="18"/>
  <c r="E40" i="18"/>
  <c r="D40" i="18"/>
  <c r="C40" i="18"/>
  <c r="B40" i="18"/>
  <c r="BD40" i="11"/>
  <c r="BC40" i="11"/>
  <c r="BE40" i="9"/>
  <c r="BD40" i="9"/>
  <c r="BD40" i="8"/>
  <c r="AP40" i="8"/>
  <c r="AK40" i="8"/>
  <c r="AF40" i="8"/>
  <c r="AA40" i="8"/>
  <c r="V40" i="8"/>
  <c r="Q40" i="8"/>
  <c r="O40" i="8"/>
  <c r="N40" i="8"/>
  <c r="M40" i="8"/>
  <c r="L40" i="8"/>
  <c r="J40" i="8"/>
  <c r="I40" i="8"/>
  <c r="H40" i="8"/>
  <c r="G40" i="8"/>
  <c r="E40" i="8"/>
  <c r="D40" i="8"/>
  <c r="C40" i="8"/>
  <c r="B40" i="8"/>
  <c r="O40" i="7"/>
  <c r="N40" i="7"/>
  <c r="M40" i="7"/>
  <c r="L40" i="7"/>
  <c r="J40" i="7"/>
  <c r="I40" i="7"/>
  <c r="H40" i="7"/>
  <c r="G40" i="7"/>
  <c r="E40" i="7"/>
  <c r="D40" i="7"/>
  <c r="C40" i="7"/>
  <c r="B40" i="7"/>
  <c r="O40" i="6"/>
  <c r="N40" i="6"/>
  <c r="M40" i="6"/>
  <c r="L40" i="6"/>
  <c r="J40" i="6"/>
  <c r="I40" i="6"/>
  <c r="H40" i="6"/>
  <c r="G40" i="6"/>
  <c r="C40" i="6"/>
  <c r="D40" i="6"/>
  <c r="E40" i="6"/>
  <c r="B40" i="6"/>
  <c r="AX38" i="16"/>
  <c r="AW38" i="16"/>
  <c r="AV38" i="16"/>
  <c r="AU38" i="16"/>
  <c r="AX37" i="16"/>
  <c r="AW37" i="16"/>
  <c r="AV37" i="16"/>
  <c r="AU37" i="16"/>
  <c r="AX36" i="16"/>
  <c r="AW36" i="16"/>
  <c r="AV36" i="16"/>
  <c r="AU36" i="16"/>
  <c r="AX35" i="16"/>
  <c r="AW35" i="16"/>
  <c r="AV35" i="16"/>
  <c r="AU35" i="16"/>
  <c r="AX34" i="16"/>
  <c r="AW34" i="16"/>
  <c r="AV34" i="16"/>
  <c r="AU34" i="16"/>
  <c r="AX33" i="16"/>
  <c r="AW33" i="16"/>
  <c r="AV33" i="16"/>
  <c r="AU33" i="16"/>
  <c r="AX32" i="16"/>
  <c r="AW32" i="16"/>
  <c r="AV32" i="16"/>
  <c r="AU32" i="16"/>
  <c r="AX31" i="16"/>
  <c r="AW31" i="16"/>
  <c r="AV31" i="16"/>
  <c r="AU31" i="16"/>
  <c r="AX30" i="16"/>
  <c r="AW30" i="16"/>
  <c r="AV30" i="16"/>
  <c r="AU30" i="16"/>
  <c r="AX29" i="16"/>
  <c r="AW29" i="16"/>
  <c r="AV29" i="16"/>
  <c r="AU29" i="16"/>
  <c r="AX28" i="16"/>
  <c r="AW28" i="16"/>
  <c r="AV28" i="16"/>
  <c r="AU28" i="16"/>
  <c r="AX27" i="16"/>
  <c r="AW27" i="16"/>
  <c r="AV27" i="16"/>
  <c r="AU27" i="16"/>
  <c r="AX26" i="16"/>
  <c r="AW26" i="16"/>
  <c r="AV26" i="16"/>
  <c r="AU26" i="16"/>
  <c r="AX25" i="16"/>
  <c r="AW25" i="16"/>
  <c r="AV25" i="16"/>
  <c r="AU25" i="16"/>
  <c r="AX24" i="16"/>
  <c r="AW24" i="16"/>
  <c r="AV24" i="16"/>
  <c r="AU24" i="16"/>
  <c r="AX23" i="16"/>
  <c r="AW23" i="16"/>
  <c r="AV23" i="16"/>
  <c r="AU23" i="16"/>
  <c r="AX22" i="16"/>
  <c r="AW22" i="16"/>
  <c r="AV22" i="16"/>
  <c r="AU22" i="16"/>
  <c r="AX21" i="16"/>
  <c r="AW21" i="16"/>
  <c r="AV21" i="16"/>
  <c r="AU21" i="16"/>
  <c r="AX20" i="16"/>
  <c r="AW20" i="16"/>
  <c r="AV20" i="16"/>
  <c r="AU20" i="16"/>
  <c r="AX19" i="16"/>
  <c r="AW19" i="16"/>
  <c r="AV19" i="16"/>
  <c r="AU19" i="16"/>
  <c r="AX18" i="16"/>
  <c r="AW18" i="16"/>
  <c r="AV18" i="16"/>
  <c r="AU18" i="16"/>
  <c r="AX17" i="16"/>
  <c r="AW17" i="16"/>
  <c r="AV17" i="16"/>
  <c r="AU17" i="16"/>
  <c r="AX16" i="16"/>
  <c r="AW16" i="16"/>
  <c r="AV16" i="16"/>
  <c r="AU16" i="16"/>
  <c r="AX15" i="16"/>
  <c r="AW15" i="16"/>
  <c r="AV15" i="16"/>
  <c r="AU15" i="16"/>
  <c r="AX14" i="16"/>
  <c r="AW14" i="16"/>
  <c r="AV14" i="16"/>
  <c r="AU14" i="16"/>
  <c r="AX13" i="16"/>
  <c r="AW13" i="16"/>
  <c r="AV13" i="16"/>
  <c r="AU13" i="16"/>
  <c r="AX12" i="16"/>
  <c r="AW12" i="16"/>
  <c r="AV12" i="16"/>
  <c r="AU12" i="16"/>
  <c r="AX11" i="16"/>
  <c r="AW11" i="16"/>
  <c r="AV11" i="16"/>
  <c r="AU11" i="16"/>
  <c r="AX10" i="16"/>
  <c r="AW10" i="16"/>
  <c r="AV10" i="16"/>
  <c r="AU10" i="16"/>
  <c r="AX9" i="16"/>
  <c r="AW9" i="16"/>
  <c r="AV9" i="16"/>
  <c r="AU9" i="16"/>
  <c r="AX8" i="16"/>
  <c r="AW8" i="16"/>
  <c r="AV8" i="16"/>
  <c r="AU8" i="16"/>
  <c r="AX7" i="16"/>
  <c r="AW7" i="16"/>
  <c r="AV7" i="16"/>
  <c r="AU7" i="16"/>
  <c r="AX6" i="16"/>
  <c r="AW6" i="16"/>
  <c r="AV6" i="16"/>
  <c r="AU6" i="16"/>
  <c r="AX5" i="16"/>
  <c r="AW5" i="16"/>
  <c r="AV5" i="16"/>
  <c r="AU5" i="16"/>
  <c r="AX4" i="16"/>
  <c r="AW4" i="16"/>
  <c r="AV4" i="16"/>
  <c r="AU4" i="16"/>
  <c r="AX3" i="16"/>
  <c r="AW3" i="16"/>
  <c r="AV3" i="16"/>
  <c r="AU3" i="16"/>
  <c r="AS38" i="16"/>
  <c r="AR38" i="16"/>
  <c r="AQ38" i="16"/>
  <c r="AP38" i="16"/>
  <c r="AS37" i="16"/>
  <c r="AR37" i="16"/>
  <c r="AQ37" i="16"/>
  <c r="AP37" i="16"/>
  <c r="AS36" i="16"/>
  <c r="AR36" i="16"/>
  <c r="AQ36" i="16"/>
  <c r="AP36" i="16"/>
  <c r="AS35" i="16"/>
  <c r="AR35" i="16"/>
  <c r="AQ35" i="16"/>
  <c r="AP35" i="16"/>
  <c r="AS34" i="16"/>
  <c r="AR34" i="16"/>
  <c r="AQ34" i="16"/>
  <c r="AP34" i="16"/>
  <c r="AS33" i="16"/>
  <c r="AR33" i="16"/>
  <c r="AQ33" i="16"/>
  <c r="AP33" i="16"/>
  <c r="AS32" i="16"/>
  <c r="AR32" i="16"/>
  <c r="AQ32" i="16"/>
  <c r="AP32" i="16"/>
  <c r="AS31" i="16"/>
  <c r="AR31" i="16"/>
  <c r="AQ31" i="16"/>
  <c r="AP31" i="16"/>
  <c r="AS30" i="16"/>
  <c r="AR30" i="16"/>
  <c r="AQ30" i="16"/>
  <c r="AP30" i="16"/>
  <c r="AS29" i="16"/>
  <c r="AR29" i="16"/>
  <c r="AQ29" i="16"/>
  <c r="AP29" i="16"/>
  <c r="AS28" i="16"/>
  <c r="AR28" i="16"/>
  <c r="AQ28" i="16"/>
  <c r="AP28" i="16"/>
  <c r="AS27" i="16"/>
  <c r="AR27" i="16"/>
  <c r="AQ27" i="16"/>
  <c r="AP27" i="16"/>
  <c r="AS26" i="16"/>
  <c r="AR26" i="16"/>
  <c r="AQ26" i="16"/>
  <c r="AP26" i="16"/>
  <c r="AS25" i="16"/>
  <c r="AR25" i="16"/>
  <c r="AQ25" i="16"/>
  <c r="AP25" i="16"/>
  <c r="AS24" i="16"/>
  <c r="AR24" i="16"/>
  <c r="AQ24" i="16"/>
  <c r="AP24" i="16"/>
  <c r="AS23" i="16"/>
  <c r="AR23" i="16"/>
  <c r="AQ23" i="16"/>
  <c r="AP23" i="16"/>
  <c r="AS22" i="16"/>
  <c r="AR22" i="16"/>
  <c r="AQ22" i="16"/>
  <c r="AP22" i="16"/>
  <c r="AS21" i="16"/>
  <c r="AR21" i="16"/>
  <c r="AQ21" i="16"/>
  <c r="AP21" i="16"/>
  <c r="AS20" i="16"/>
  <c r="AR20" i="16"/>
  <c r="AQ20" i="16"/>
  <c r="AP20" i="16"/>
  <c r="AS19" i="16"/>
  <c r="AR19" i="16"/>
  <c r="AQ19" i="16"/>
  <c r="AP19" i="16"/>
  <c r="AS18" i="16"/>
  <c r="AR18" i="16"/>
  <c r="AQ18" i="16"/>
  <c r="AP18" i="16"/>
  <c r="AS17" i="16"/>
  <c r="AR17" i="16"/>
  <c r="AQ17" i="16"/>
  <c r="AP17" i="16"/>
  <c r="AS16" i="16"/>
  <c r="AR16" i="16"/>
  <c r="AQ16" i="16"/>
  <c r="AP16" i="16"/>
  <c r="AS15" i="16"/>
  <c r="AR15" i="16"/>
  <c r="AQ15" i="16"/>
  <c r="AP15" i="16"/>
  <c r="AS14" i="16"/>
  <c r="AR14" i="16"/>
  <c r="AQ14" i="16"/>
  <c r="AP14" i="16"/>
  <c r="AS13" i="16"/>
  <c r="AR13" i="16"/>
  <c r="AQ13" i="16"/>
  <c r="AP13" i="16"/>
  <c r="AS12" i="16"/>
  <c r="AR12" i="16"/>
  <c r="AQ12" i="16"/>
  <c r="AP12" i="16"/>
  <c r="AS11" i="16"/>
  <c r="AR11" i="16"/>
  <c r="AQ11" i="16"/>
  <c r="AP11" i="16"/>
  <c r="AS10" i="16"/>
  <c r="AR10" i="16"/>
  <c r="AQ10" i="16"/>
  <c r="AP10" i="16"/>
  <c r="AS9" i="16"/>
  <c r="AR9" i="16"/>
  <c r="AQ9" i="16"/>
  <c r="AP9" i="16"/>
  <c r="AS8" i="16"/>
  <c r="AR8" i="16"/>
  <c r="AQ8" i="16"/>
  <c r="AP8" i="16"/>
  <c r="AS7" i="16"/>
  <c r="AR7" i="16"/>
  <c r="AQ7" i="16"/>
  <c r="AP7" i="16"/>
  <c r="AS6" i="16"/>
  <c r="AR6" i="16"/>
  <c r="AQ6" i="16"/>
  <c r="AP6" i="16"/>
  <c r="AS5" i="16"/>
  <c r="AR5" i="16"/>
  <c r="AQ5" i="16"/>
  <c r="AP5" i="16"/>
  <c r="AS4" i="16"/>
  <c r="AR4" i="16"/>
  <c r="AQ4" i="16"/>
  <c r="AP4" i="16"/>
  <c r="AS3" i="16"/>
  <c r="AR3" i="16"/>
  <c r="AQ3" i="16"/>
  <c r="AP3" i="16"/>
  <c r="AN38" i="16"/>
  <c r="AM38" i="16"/>
  <c r="AL38" i="16"/>
  <c r="AK38" i="16"/>
  <c r="AN37" i="16"/>
  <c r="AM37" i="16"/>
  <c r="AL37" i="16"/>
  <c r="AK37" i="16"/>
  <c r="AN36" i="16"/>
  <c r="AM36" i="16"/>
  <c r="AL36" i="16"/>
  <c r="AK36" i="16"/>
  <c r="AN35" i="16"/>
  <c r="AM35" i="16"/>
  <c r="AL35" i="16"/>
  <c r="AK35" i="16"/>
  <c r="AN34" i="16"/>
  <c r="AM34" i="16"/>
  <c r="AL34" i="16"/>
  <c r="AK34" i="16"/>
  <c r="AN33" i="16"/>
  <c r="AM33" i="16"/>
  <c r="AL33" i="16"/>
  <c r="AK33" i="16"/>
  <c r="AN32" i="16"/>
  <c r="AM32" i="16"/>
  <c r="AL32" i="16"/>
  <c r="AK32" i="16"/>
  <c r="AN31" i="16"/>
  <c r="AM31" i="16"/>
  <c r="AL31" i="16"/>
  <c r="AK31" i="16"/>
  <c r="AN30" i="16"/>
  <c r="AM30" i="16"/>
  <c r="AL30" i="16"/>
  <c r="AK30" i="16"/>
  <c r="AN29" i="16"/>
  <c r="AM29" i="16"/>
  <c r="AL29" i="16"/>
  <c r="AK29" i="16"/>
  <c r="AN28" i="16"/>
  <c r="AM28" i="16"/>
  <c r="AL28" i="16"/>
  <c r="AK28" i="16"/>
  <c r="AN27" i="16"/>
  <c r="AM27" i="16"/>
  <c r="AL27" i="16"/>
  <c r="AK27" i="16"/>
  <c r="AN26" i="16"/>
  <c r="AM26" i="16"/>
  <c r="AL26" i="16"/>
  <c r="AK26" i="16"/>
  <c r="AN25" i="16"/>
  <c r="AM25" i="16"/>
  <c r="AL25" i="16"/>
  <c r="AK25" i="16"/>
  <c r="AN24" i="16"/>
  <c r="AM24" i="16"/>
  <c r="AL24" i="16"/>
  <c r="AK24" i="16"/>
  <c r="AN23" i="16"/>
  <c r="AM23" i="16"/>
  <c r="AL23" i="16"/>
  <c r="AK23" i="16"/>
  <c r="AN22" i="16"/>
  <c r="AM22" i="16"/>
  <c r="AL22" i="16"/>
  <c r="AK22" i="16"/>
  <c r="AN21" i="16"/>
  <c r="AM21" i="16"/>
  <c r="AL21" i="16"/>
  <c r="AK21" i="16"/>
  <c r="AN20" i="16"/>
  <c r="AM20" i="16"/>
  <c r="AL20" i="16"/>
  <c r="AK20" i="16"/>
  <c r="AN19" i="16"/>
  <c r="AM19" i="16"/>
  <c r="AL19" i="16"/>
  <c r="AK19" i="16"/>
  <c r="AN18" i="16"/>
  <c r="AM18" i="16"/>
  <c r="AL18" i="16"/>
  <c r="AK18" i="16"/>
  <c r="AN17" i="16"/>
  <c r="AM17" i="16"/>
  <c r="AL17" i="16"/>
  <c r="AK17" i="16"/>
  <c r="AN16" i="16"/>
  <c r="AM16" i="16"/>
  <c r="AL16" i="16"/>
  <c r="AK16" i="16"/>
  <c r="AN15" i="16"/>
  <c r="AM15" i="16"/>
  <c r="AL15" i="16"/>
  <c r="AK15" i="16"/>
  <c r="AN14" i="16"/>
  <c r="AM14" i="16"/>
  <c r="AL14" i="16"/>
  <c r="AK14" i="16"/>
  <c r="AN13" i="16"/>
  <c r="AM13" i="16"/>
  <c r="AL13" i="16"/>
  <c r="AK13" i="16"/>
  <c r="AN12" i="16"/>
  <c r="AM12" i="16"/>
  <c r="AL12" i="16"/>
  <c r="AK12" i="16"/>
  <c r="AN11" i="16"/>
  <c r="AM11" i="16"/>
  <c r="AL11" i="16"/>
  <c r="AK11" i="16"/>
  <c r="AN10" i="16"/>
  <c r="AM10" i="16"/>
  <c r="AL10" i="16"/>
  <c r="AK10" i="16"/>
  <c r="AN9" i="16"/>
  <c r="AM9" i="16"/>
  <c r="AL9" i="16"/>
  <c r="AK9" i="16"/>
  <c r="AN8" i="16"/>
  <c r="AM8" i="16"/>
  <c r="AL8" i="16"/>
  <c r="AK8" i="16"/>
  <c r="AN7" i="16"/>
  <c r="AM7" i="16"/>
  <c r="AL7" i="16"/>
  <c r="AK7" i="16"/>
  <c r="AN6" i="16"/>
  <c r="AM6" i="16"/>
  <c r="AL6" i="16"/>
  <c r="AK6" i="16"/>
  <c r="AN5" i="16"/>
  <c r="AM5" i="16"/>
  <c r="AL5" i="16"/>
  <c r="AK5" i="16"/>
  <c r="AN4" i="16"/>
  <c r="AM4" i="16"/>
  <c r="AL4" i="16"/>
  <c r="AK4" i="16"/>
  <c r="AN3" i="16"/>
  <c r="AM3" i="16"/>
  <c r="AL3" i="16"/>
  <c r="AK3" i="16"/>
  <c r="AI38" i="16"/>
  <c r="AH38" i="16"/>
  <c r="AG38" i="16"/>
  <c r="AF38" i="16"/>
  <c r="AI37" i="16"/>
  <c r="AH37" i="16"/>
  <c r="AG37" i="16"/>
  <c r="AF37" i="16"/>
  <c r="AI36" i="16"/>
  <c r="AH36" i="16"/>
  <c r="AG36" i="16"/>
  <c r="AF36" i="16"/>
  <c r="AI35" i="16"/>
  <c r="AH35" i="16"/>
  <c r="AG35" i="16"/>
  <c r="AF35" i="16"/>
  <c r="AI34" i="16"/>
  <c r="AH34" i="16"/>
  <c r="AG34" i="16"/>
  <c r="AF34" i="16"/>
  <c r="AI33" i="16"/>
  <c r="AH33" i="16"/>
  <c r="AG33" i="16"/>
  <c r="AF33" i="16"/>
  <c r="AI32" i="16"/>
  <c r="AH32" i="16"/>
  <c r="AG32" i="16"/>
  <c r="AF32" i="16"/>
  <c r="AI31" i="16"/>
  <c r="AH31" i="16"/>
  <c r="AG31" i="16"/>
  <c r="AF31" i="16"/>
  <c r="AI30" i="16"/>
  <c r="AH30" i="16"/>
  <c r="AG30" i="16"/>
  <c r="AF30" i="16"/>
  <c r="AI29" i="16"/>
  <c r="AH29" i="16"/>
  <c r="AG29" i="16"/>
  <c r="AF29" i="16"/>
  <c r="AI28" i="16"/>
  <c r="AH28" i="16"/>
  <c r="AG28" i="16"/>
  <c r="AF28" i="16"/>
  <c r="AI27" i="16"/>
  <c r="AH27" i="16"/>
  <c r="AG27" i="16"/>
  <c r="AF27" i="16"/>
  <c r="AI26" i="16"/>
  <c r="AH26" i="16"/>
  <c r="AG26" i="16"/>
  <c r="AF26" i="16"/>
  <c r="AI25" i="16"/>
  <c r="AH25" i="16"/>
  <c r="AG25" i="16"/>
  <c r="AF25" i="16"/>
  <c r="AI24" i="16"/>
  <c r="AH24" i="16"/>
  <c r="AG24" i="16"/>
  <c r="AF24" i="16"/>
  <c r="AI23" i="16"/>
  <c r="AH23" i="16"/>
  <c r="AG23" i="16"/>
  <c r="AF23" i="16"/>
  <c r="AI22" i="16"/>
  <c r="AH22" i="16"/>
  <c r="AG22" i="16"/>
  <c r="AF22" i="16"/>
  <c r="AI21" i="16"/>
  <c r="AH21" i="16"/>
  <c r="AG21" i="16"/>
  <c r="AF21" i="16"/>
  <c r="AI20" i="16"/>
  <c r="AH20" i="16"/>
  <c r="AG20" i="16"/>
  <c r="AF20" i="16"/>
  <c r="AI19" i="16"/>
  <c r="AH19" i="16"/>
  <c r="AG19" i="16"/>
  <c r="AF19" i="16"/>
  <c r="AI18" i="16"/>
  <c r="AH18" i="16"/>
  <c r="AG18" i="16"/>
  <c r="AF18" i="16"/>
  <c r="AI17" i="16"/>
  <c r="AH17" i="16"/>
  <c r="AG17" i="16"/>
  <c r="AF17" i="16"/>
  <c r="AI16" i="16"/>
  <c r="AH16" i="16"/>
  <c r="AG16" i="16"/>
  <c r="AF16" i="16"/>
  <c r="AI15" i="16"/>
  <c r="AH15" i="16"/>
  <c r="AG15" i="16"/>
  <c r="AF15" i="16"/>
  <c r="AI14" i="16"/>
  <c r="AH14" i="16"/>
  <c r="AG14" i="16"/>
  <c r="AF14" i="16"/>
  <c r="AI13" i="16"/>
  <c r="AH13" i="16"/>
  <c r="AG13" i="16"/>
  <c r="AF13" i="16"/>
  <c r="AI12" i="16"/>
  <c r="AH12" i="16"/>
  <c r="AG12" i="16"/>
  <c r="AF12" i="16"/>
  <c r="AI11" i="16"/>
  <c r="AH11" i="16"/>
  <c r="AG11" i="16"/>
  <c r="AF11" i="16"/>
  <c r="AI10" i="16"/>
  <c r="AH10" i="16"/>
  <c r="AG10" i="16"/>
  <c r="AF10" i="16"/>
  <c r="AI9" i="16"/>
  <c r="AH9" i="16"/>
  <c r="AG9" i="16"/>
  <c r="AF9" i="16"/>
  <c r="AI8" i="16"/>
  <c r="AH8" i="16"/>
  <c r="AG8" i="16"/>
  <c r="AF8" i="16"/>
  <c r="AI7" i="16"/>
  <c r="AH7" i="16"/>
  <c r="AG7" i="16"/>
  <c r="AF7" i="16"/>
  <c r="AI6" i="16"/>
  <c r="AH6" i="16"/>
  <c r="AG6" i="16"/>
  <c r="AF6" i="16"/>
  <c r="AI5" i="16"/>
  <c r="AH5" i="16"/>
  <c r="AG5" i="16"/>
  <c r="AF5" i="16"/>
  <c r="AI4" i="16"/>
  <c r="AH4" i="16"/>
  <c r="AG4" i="16"/>
  <c r="AF4" i="16"/>
  <c r="AI3" i="16"/>
  <c r="AH3" i="16"/>
  <c r="AG3" i="16"/>
  <c r="AF3" i="16"/>
  <c r="AD38" i="16"/>
  <c r="AC38" i="16"/>
  <c r="AB38" i="16"/>
  <c r="AA38" i="16"/>
  <c r="AD37" i="16"/>
  <c r="AC37" i="16"/>
  <c r="AB37" i="16"/>
  <c r="AA37" i="16"/>
  <c r="AD36" i="16"/>
  <c r="AC36" i="16"/>
  <c r="AB36" i="16"/>
  <c r="AA36" i="16"/>
  <c r="AD35" i="16"/>
  <c r="AC35" i="16"/>
  <c r="AB35" i="16"/>
  <c r="AA35" i="16"/>
  <c r="AD34" i="16"/>
  <c r="AC34" i="16"/>
  <c r="AB34" i="16"/>
  <c r="AA34" i="16"/>
  <c r="AD33" i="16"/>
  <c r="AC33" i="16"/>
  <c r="AB33" i="16"/>
  <c r="AA33" i="16"/>
  <c r="AD32" i="16"/>
  <c r="AC32" i="16"/>
  <c r="AB32" i="16"/>
  <c r="AA32" i="16"/>
  <c r="AD31" i="16"/>
  <c r="AC31" i="16"/>
  <c r="AB31" i="16"/>
  <c r="AA31" i="16"/>
  <c r="AD30" i="16"/>
  <c r="AC30" i="16"/>
  <c r="AB30" i="16"/>
  <c r="AA30" i="16"/>
  <c r="AD29" i="16"/>
  <c r="AC29" i="16"/>
  <c r="AB29" i="16"/>
  <c r="AA29" i="16"/>
  <c r="AD28" i="16"/>
  <c r="AC28" i="16"/>
  <c r="AB28" i="16"/>
  <c r="AA28" i="16"/>
  <c r="AD27" i="16"/>
  <c r="AC27" i="16"/>
  <c r="AB27" i="16"/>
  <c r="AA27" i="16"/>
  <c r="AD26" i="16"/>
  <c r="AC26" i="16"/>
  <c r="AB26" i="16"/>
  <c r="AA26" i="16"/>
  <c r="AD25" i="16"/>
  <c r="AC25" i="16"/>
  <c r="AB25" i="16"/>
  <c r="AA25" i="16"/>
  <c r="AD24" i="16"/>
  <c r="AC24" i="16"/>
  <c r="AB24" i="16"/>
  <c r="AA24" i="16"/>
  <c r="AD23" i="16"/>
  <c r="AC23" i="16"/>
  <c r="AB23" i="16"/>
  <c r="AA23" i="16"/>
  <c r="AD22" i="16"/>
  <c r="AC22" i="16"/>
  <c r="AB22" i="16"/>
  <c r="AA22" i="16"/>
  <c r="AD21" i="16"/>
  <c r="AC21" i="16"/>
  <c r="AB21" i="16"/>
  <c r="AA21" i="16"/>
  <c r="AD20" i="16"/>
  <c r="AC20" i="16"/>
  <c r="AB20" i="16"/>
  <c r="AA20" i="16"/>
  <c r="AD19" i="16"/>
  <c r="AC19" i="16"/>
  <c r="AB19" i="16"/>
  <c r="AA19" i="16"/>
  <c r="AD18" i="16"/>
  <c r="AC18" i="16"/>
  <c r="AB18" i="16"/>
  <c r="AA18" i="16"/>
  <c r="AD17" i="16"/>
  <c r="AC17" i="16"/>
  <c r="AB17" i="16"/>
  <c r="AA17" i="16"/>
  <c r="AD16" i="16"/>
  <c r="AC16" i="16"/>
  <c r="AB16" i="16"/>
  <c r="AA16" i="16"/>
  <c r="AD15" i="16"/>
  <c r="AC15" i="16"/>
  <c r="AB15" i="16"/>
  <c r="AA15" i="16"/>
  <c r="AD14" i="16"/>
  <c r="AC14" i="16"/>
  <c r="AB14" i="16"/>
  <c r="AA14" i="16"/>
  <c r="AD13" i="16"/>
  <c r="AC13" i="16"/>
  <c r="AB13" i="16"/>
  <c r="AA13" i="16"/>
  <c r="AD12" i="16"/>
  <c r="AC12" i="16"/>
  <c r="AB12" i="16"/>
  <c r="AA12" i="16"/>
  <c r="AD11" i="16"/>
  <c r="AC11" i="16"/>
  <c r="AB11" i="16"/>
  <c r="AA11" i="16"/>
  <c r="AD10" i="16"/>
  <c r="AC10" i="16"/>
  <c r="AB10" i="16"/>
  <c r="AA10" i="16"/>
  <c r="AD9" i="16"/>
  <c r="AC9" i="16"/>
  <c r="AB9" i="16"/>
  <c r="AA9" i="16"/>
  <c r="AD8" i="16"/>
  <c r="AC8" i="16"/>
  <c r="AB8" i="16"/>
  <c r="AA8" i="16"/>
  <c r="AD7" i="16"/>
  <c r="AC7" i="16"/>
  <c r="AB7" i="16"/>
  <c r="AA7" i="16"/>
  <c r="AD6" i="16"/>
  <c r="AC6" i="16"/>
  <c r="AB6" i="16"/>
  <c r="AA6" i="16"/>
  <c r="AD5" i="16"/>
  <c r="AC5" i="16"/>
  <c r="AB5" i="16"/>
  <c r="AA5" i="16"/>
  <c r="AD4" i="16"/>
  <c r="AC4" i="16"/>
  <c r="AB4" i="16"/>
  <c r="AA4" i="16"/>
  <c r="AD3" i="16"/>
  <c r="AC3" i="16"/>
  <c r="AB3" i="16"/>
  <c r="AA3" i="16"/>
  <c r="AR40" i="18"/>
  <c r="AD40" i="20"/>
  <c r="AC40" i="20"/>
  <c r="V40" i="19"/>
  <c r="W40" i="19"/>
  <c r="Y40" i="18"/>
  <c r="X40" i="18"/>
  <c r="W40" i="18"/>
  <c r="V40" i="18"/>
  <c r="E68" i="30" l="1"/>
  <c r="G68" i="30" s="1"/>
  <c r="E44" i="30"/>
  <c r="G44" i="30" s="1"/>
  <c r="E52" i="30"/>
  <c r="G52" i="30" s="1"/>
  <c r="E60" i="30"/>
  <c r="G60" i="30" s="1"/>
  <c r="E12" i="30"/>
  <c r="G12" i="30" s="1"/>
  <c r="E20" i="30"/>
  <c r="G20" i="30" s="1"/>
  <c r="E36" i="30"/>
  <c r="G36" i="30" s="1"/>
  <c r="AR40" i="6"/>
  <c r="AS40" i="20"/>
  <c r="AR40" i="20"/>
  <c r="AQ40" i="8"/>
  <c r="AR40" i="8"/>
  <c r="AQ40" i="20"/>
  <c r="AS40" i="8"/>
  <c r="AH40" i="8"/>
  <c r="AK40" i="19"/>
  <c r="AL40" i="19"/>
  <c r="AM40" i="18"/>
  <c r="AH40" i="18"/>
  <c r="AH40" i="20"/>
  <c r="AI40" i="8"/>
  <c r="AH40" i="6"/>
  <c r="AG40" i="20"/>
  <c r="AI40" i="20"/>
  <c r="AG40" i="8"/>
  <c r="X40" i="20"/>
  <c r="AR40" i="19"/>
  <c r="AS40" i="19"/>
  <c r="AQ40" i="19"/>
  <c r="AP40" i="19"/>
  <c r="AF40" i="19"/>
  <c r="AG40" i="19"/>
  <c r="AH40" i="19"/>
  <c r="AN40" i="20"/>
  <c r="AM40" i="6"/>
  <c r="AI40" i="19"/>
  <c r="AM40" i="8"/>
  <c r="AN40" i="8"/>
  <c r="AN40" i="19"/>
  <c r="AM40" i="19"/>
  <c r="Y40" i="8"/>
  <c r="AL40" i="8"/>
  <c r="AL40" i="20"/>
  <c r="AM40" i="20"/>
  <c r="X40" i="8"/>
  <c r="AS40" i="7"/>
  <c r="AD40" i="8"/>
  <c r="AC40" i="8"/>
  <c r="AB40" i="8"/>
  <c r="AC40" i="19"/>
  <c r="AD40" i="19"/>
  <c r="AI40" i="7"/>
  <c r="W40" i="20"/>
  <c r="X40" i="6"/>
  <c r="Y40" i="20"/>
  <c r="AA40" i="19"/>
  <c r="AC40" i="6"/>
  <c r="AC40" i="18"/>
  <c r="W40" i="8"/>
  <c r="AN40" i="7"/>
  <c r="AQ40" i="7"/>
  <c r="AH40" i="7"/>
  <c r="Y40" i="7"/>
  <c r="W40" i="7"/>
  <c r="AP40" i="7"/>
  <c r="AK40" i="7"/>
  <c r="AR40" i="7"/>
  <c r="AG40" i="7"/>
  <c r="AL40" i="7"/>
  <c r="AM40" i="7"/>
  <c r="AF40" i="7"/>
  <c r="X40" i="7"/>
  <c r="AC40" i="7"/>
  <c r="AB40" i="7"/>
  <c r="AP40" i="18"/>
  <c r="AQ40" i="18"/>
  <c r="AF40" i="18"/>
  <c r="AL40" i="18"/>
  <c r="AG40" i="18"/>
  <c r="AK40" i="6"/>
  <c r="AF40" i="6"/>
  <c r="AK40" i="18"/>
  <c r="AP40" i="6"/>
  <c r="AA40" i="6"/>
  <c r="V40" i="6"/>
  <c r="Y40" i="6"/>
  <c r="AQ40" i="6"/>
  <c r="AS40" i="6"/>
  <c r="AS40" i="18"/>
  <c r="AI40" i="18"/>
  <c r="AG40" i="6"/>
  <c r="AN40" i="6"/>
  <c r="X40" i="19"/>
  <c r="Y40" i="19"/>
  <c r="AD40" i="7"/>
  <c r="AI40" i="6"/>
  <c r="AA40" i="18"/>
  <c r="AL40" i="6"/>
  <c r="AD40" i="18"/>
  <c r="AB40" i="6"/>
  <c r="AA40" i="7"/>
  <c r="AB40" i="19"/>
  <c r="AD40" i="6"/>
  <c r="V40" i="7"/>
  <c r="AB40" i="18"/>
  <c r="AN40" i="18"/>
  <c r="W40" i="6"/>
  <c r="AB40" i="20"/>
  <c r="E76" i="30"/>
  <c r="G76" i="30" s="1"/>
  <c r="R6" i="30"/>
  <c r="T6" i="30" s="1"/>
  <c r="R5" i="30"/>
  <c r="T5" i="30" s="1"/>
  <c r="E28" i="30"/>
  <c r="G28" i="30" s="1"/>
  <c r="R7" i="30"/>
  <c r="T7" i="30" s="1"/>
  <c r="R8" i="30"/>
  <c r="T8" i="30" s="1"/>
  <c r="E4" i="30"/>
  <c r="G4" i="30" s="1"/>
  <c r="Q40" i="7" l="1"/>
  <c r="S40" i="7"/>
  <c r="T40" i="7"/>
  <c r="Q40" i="6"/>
  <c r="R40" i="6"/>
  <c r="T40" i="6"/>
  <c r="R40" i="8"/>
  <c r="R40" i="7"/>
  <c r="S40" i="6"/>
  <c r="S40" i="8"/>
  <c r="T40" i="8"/>
  <c r="R4" i="30"/>
  <c r="T4" i="30" s="1"/>
  <c r="T6" i="1"/>
  <c r="T7" i="1"/>
  <c r="T8" i="1"/>
  <c r="T5" i="1"/>
  <c r="S6" i="1"/>
  <c r="S7" i="1"/>
  <c r="S8" i="1"/>
  <c r="S4" i="1"/>
  <c r="S5" i="1"/>
  <c r="Q6" i="1"/>
  <c r="Q7" i="1"/>
  <c r="Q8" i="1"/>
  <c r="Q5" i="1"/>
  <c r="P6" i="1"/>
  <c r="P7" i="1"/>
  <c r="P8" i="1"/>
  <c r="P5" i="1"/>
  <c r="AI38" i="22" l="1"/>
  <c r="AH38" i="22"/>
  <c r="AG38" i="22"/>
  <c r="AF38" i="22"/>
  <c r="AI37" i="22"/>
  <c r="AH37" i="22"/>
  <c r="AG37" i="22"/>
  <c r="AF37" i="22"/>
  <c r="AI36" i="22"/>
  <c r="AH36" i="22"/>
  <c r="AG36" i="22"/>
  <c r="AF36" i="22"/>
  <c r="AI35" i="22"/>
  <c r="AH35" i="22"/>
  <c r="AG35" i="22"/>
  <c r="AF35" i="22"/>
  <c r="AI34" i="22"/>
  <c r="AH34" i="22"/>
  <c r="AG34" i="22"/>
  <c r="AF34" i="22"/>
  <c r="AI33" i="22"/>
  <c r="AH33" i="22"/>
  <c r="AG33" i="22"/>
  <c r="AF33" i="22"/>
  <c r="AI32" i="22"/>
  <c r="AH32" i="22"/>
  <c r="AG32" i="22"/>
  <c r="AF32" i="22"/>
  <c r="AI31" i="22"/>
  <c r="AH31" i="22"/>
  <c r="AG31" i="22"/>
  <c r="AF31" i="22"/>
  <c r="AI30" i="22"/>
  <c r="AH30" i="22"/>
  <c r="AG30" i="22"/>
  <c r="AF30" i="22"/>
  <c r="AI29" i="22"/>
  <c r="AH29" i="22"/>
  <c r="AG29" i="22"/>
  <c r="AF29" i="22"/>
  <c r="AI28" i="22"/>
  <c r="AH28" i="22"/>
  <c r="AG28" i="22"/>
  <c r="AF28" i="22"/>
  <c r="AI27" i="22"/>
  <c r="AH27" i="22"/>
  <c r="AG27" i="22"/>
  <c r="AF27" i="22"/>
  <c r="AI26" i="22"/>
  <c r="AH26" i="22"/>
  <c r="AG26" i="22"/>
  <c r="AF26" i="22"/>
  <c r="AI25" i="22"/>
  <c r="AH25" i="22"/>
  <c r="AG25" i="22"/>
  <c r="AF25" i="22"/>
  <c r="AI24" i="22"/>
  <c r="AH24" i="22"/>
  <c r="AG24" i="22"/>
  <c r="AF24" i="22"/>
  <c r="AI23" i="22"/>
  <c r="AH23" i="22"/>
  <c r="AG23" i="22"/>
  <c r="AF23" i="22"/>
  <c r="AI22" i="22"/>
  <c r="AH22" i="22"/>
  <c r="AG22" i="22"/>
  <c r="AF22" i="22"/>
  <c r="AI21" i="22"/>
  <c r="AH21" i="22"/>
  <c r="AG21" i="22"/>
  <c r="AF21" i="22"/>
  <c r="AI20" i="22"/>
  <c r="AH20" i="22"/>
  <c r="AG20" i="22"/>
  <c r="AF20" i="22"/>
  <c r="AI19" i="22"/>
  <c r="AH19" i="22"/>
  <c r="AG19" i="22"/>
  <c r="AF19" i="22"/>
  <c r="AI18" i="22"/>
  <c r="AH18" i="22"/>
  <c r="AG18" i="22"/>
  <c r="AF18" i="22"/>
  <c r="AI17" i="22"/>
  <c r="AH17" i="22"/>
  <c r="AG17" i="22"/>
  <c r="AF17" i="22"/>
  <c r="AI16" i="22"/>
  <c r="AH16" i="22"/>
  <c r="AG16" i="22"/>
  <c r="AF16" i="22"/>
  <c r="AI15" i="22"/>
  <c r="AH15" i="22"/>
  <c r="AG15" i="22"/>
  <c r="AF15" i="22"/>
  <c r="AI14" i="22"/>
  <c r="AH14" i="22"/>
  <c r="AG14" i="22"/>
  <c r="AF14" i="22"/>
  <c r="AI13" i="22"/>
  <c r="AH13" i="22"/>
  <c r="AG13" i="22"/>
  <c r="AF13" i="22"/>
  <c r="AI12" i="22"/>
  <c r="AH12" i="22"/>
  <c r="AG12" i="22"/>
  <c r="AF12" i="22"/>
  <c r="AI11" i="22"/>
  <c r="AH11" i="22"/>
  <c r="AG11" i="22"/>
  <c r="AF11" i="22"/>
  <c r="AI10" i="22"/>
  <c r="AH10" i="22"/>
  <c r="AG10" i="22"/>
  <c r="AF10" i="22"/>
  <c r="AI9" i="22"/>
  <c r="AH9" i="22"/>
  <c r="AG9" i="22"/>
  <c r="AF9" i="22"/>
  <c r="AI8" i="22"/>
  <c r="AH8" i="22"/>
  <c r="AG8" i="22"/>
  <c r="AF8" i="22"/>
  <c r="AI7" i="22"/>
  <c r="AH7" i="22"/>
  <c r="AG7" i="22"/>
  <c r="AF7" i="22"/>
  <c r="AI6" i="22"/>
  <c r="AH6" i="22"/>
  <c r="AG6" i="22"/>
  <c r="AF6" i="22"/>
  <c r="AI5" i="22"/>
  <c r="AH5" i="22"/>
  <c r="AG5" i="22"/>
  <c r="AF5" i="22"/>
  <c r="AI4" i="22"/>
  <c r="AH4" i="22"/>
  <c r="AG4" i="22"/>
  <c r="AF4" i="22"/>
  <c r="AI3" i="22"/>
  <c r="AH3" i="22"/>
  <c r="AG3" i="22"/>
  <c r="AF3" i="22"/>
  <c r="AI38" i="21"/>
  <c r="AH38" i="21"/>
  <c r="AG38" i="21"/>
  <c r="AF38" i="21"/>
  <c r="AI37" i="21"/>
  <c r="AH37" i="21"/>
  <c r="AG37" i="21"/>
  <c r="AF37" i="21"/>
  <c r="AI36" i="21"/>
  <c r="AH36" i="21"/>
  <c r="AG36" i="21"/>
  <c r="AF36" i="21"/>
  <c r="AI35" i="21"/>
  <c r="AH35" i="21"/>
  <c r="AG35" i="21"/>
  <c r="AF35" i="21"/>
  <c r="AI34" i="21"/>
  <c r="AH34" i="21"/>
  <c r="AG34" i="21"/>
  <c r="AF34" i="21"/>
  <c r="AI33" i="21"/>
  <c r="AH33" i="21"/>
  <c r="AG33" i="21"/>
  <c r="AF33" i="21"/>
  <c r="AI32" i="21"/>
  <c r="AH32" i="21"/>
  <c r="AG32" i="21"/>
  <c r="AF32" i="21"/>
  <c r="AI31" i="21"/>
  <c r="AH31" i="21"/>
  <c r="AG31" i="21"/>
  <c r="AF31" i="21"/>
  <c r="AI30" i="21"/>
  <c r="AH30" i="21"/>
  <c r="AG30" i="21"/>
  <c r="AF30" i="21"/>
  <c r="AI29" i="21"/>
  <c r="AH29" i="21"/>
  <c r="AG29" i="21"/>
  <c r="AF29" i="21"/>
  <c r="AI28" i="21"/>
  <c r="AH28" i="21"/>
  <c r="AG28" i="21"/>
  <c r="AF28" i="21"/>
  <c r="AI27" i="21"/>
  <c r="AH27" i="21"/>
  <c r="AG27" i="21"/>
  <c r="AF27" i="21"/>
  <c r="AI26" i="21"/>
  <c r="AH26" i="21"/>
  <c r="AG26" i="21"/>
  <c r="AF26" i="21"/>
  <c r="AI25" i="21"/>
  <c r="AH25" i="21"/>
  <c r="AG25" i="21"/>
  <c r="AF25" i="21"/>
  <c r="AI24" i="21"/>
  <c r="AH24" i="21"/>
  <c r="AG24" i="21"/>
  <c r="AF24" i="21"/>
  <c r="AI23" i="21"/>
  <c r="AH23" i="21"/>
  <c r="AG23" i="21"/>
  <c r="AF23" i="21"/>
  <c r="AI22" i="21"/>
  <c r="AH22" i="21"/>
  <c r="AG22" i="21"/>
  <c r="AF22" i="21"/>
  <c r="AI21" i="21"/>
  <c r="AH21" i="21"/>
  <c r="AG21" i="21"/>
  <c r="AF21" i="21"/>
  <c r="AI20" i="21"/>
  <c r="AH20" i="21"/>
  <c r="AG20" i="21"/>
  <c r="AF20" i="21"/>
  <c r="AI19" i="21"/>
  <c r="AH19" i="21"/>
  <c r="AG19" i="21"/>
  <c r="AF19" i="21"/>
  <c r="AI18" i="21"/>
  <c r="AH18" i="21"/>
  <c r="AG18" i="21"/>
  <c r="AF18" i="21"/>
  <c r="AI17" i="21"/>
  <c r="AH17" i="21"/>
  <c r="AG17" i="21"/>
  <c r="AF17" i="21"/>
  <c r="AI16" i="21"/>
  <c r="AH16" i="21"/>
  <c r="AG16" i="21"/>
  <c r="AF16" i="21"/>
  <c r="AI15" i="21"/>
  <c r="AH15" i="21"/>
  <c r="AG15" i="21"/>
  <c r="AF15" i="21"/>
  <c r="AI14" i="21"/>
  <c r="AH14" i="21"/>
  <c r="AG14" i="21"/>
  <c r="AF14" i="21"/>
  <c r="AI13" i="21"/>
  <c r="AH13" i="21"/>
  <c r="AG13" i="21"/>
  <c r="AF13" i="21"/>
  <c r="AI12" i="21"/>
  <c r="AH12" i="21"/>
  <c r="AG12" i="21"/>
  <c r="AF12" i="21"/>
  <c r="AI11" i="21"/>
  <c r="AH11" i="21"/>
  <c r="AG11" i="21"/>
  <c r="AF11" i="21"/>
  <c r="AI10" i="21"/>
  <c r="AH10" i="21"/>
  <c r="AG10" i="21"/>
  <c r="AF10" i="21"/>
  <c r="AI9" i="21"/>
  <c r="AH9" i="21"/>
  <c r="AG9" i="21"/>
  <c r="AF9" i="21"/>
  <c r="AI8" i="21"/>
  <c r="AH8" i="21"/>
  <c r="AG8" i="21"/>
  <c r="AF8" i="21"/>
  <c r="AI7" i="21"/>
  <c r="AH7" i="21"/>
  <c r="AG7" i="21"/>
  <c r="AF7" i="21"/>
  <c r="AI6" i="21"/>
  <c r="AH6" i="21"/>
  <c r="AG6" i="21"/>
  <c r="AF6" i="21"/>
  <c r="AI5" i="21"/>
  <c r="AH5" i="21"/>
  <c r="AG5" i="21"/>
  <c r="AF5" i="21"/>
  <c r="AI4" i="21"/>
  <c r="AH4" i="21"/>
  <c r="AG4" i="21"/>
  <c r="AF4" i="21"/>
  <c r="AI3" i="21"/>
  <c r="AH3" i="21"/>
  <c r="AG3" i="21"/>
  <c r="AF3" i="21"/>
  <c r="AX38" i="22"/>
  <c r="AW38" i="22"/>
  <c r="AV38" i="22"/>
  <c r="AU38" i="22"/>
  <c r="AX37" i="22"/>
  <c r="AW37" i="22"/>
  <c r="AV37" i="22"/>
  <c r="AU37" i="22"/>
  <c r="AX36" i="22"/>
  <c r="AW36" i="22"/>
  <c r="AV36" i="22"/>
  <c r="AU36" i="22"/>
  <c r="AX35" i="22"/>
  <c r="AW35" i="22"/>
  <c r="AV35" i="22"/>
  <c r="AU35" i="22"/>
  <c r="AX34" i="22"/>
  <c r="AW34" i="22"/>
  <c r="AV34" i="22"/>
  <c r="AU34" i="22"/>
  <c r="AX33" i="22"/>
  <c r="AW33" i="22"/>
  <c r="AV33" i="22"/>
  <c r="AU33" i="22"/>
  <c r="AX32" i="22"/>
  <c r="AW32" i="22"/>
  <c r="AV32" i="22"/>
  <c r="AU32" i="22"/>
  <c r="AX31" i="22"/>
  <c r="AW31" i="22"/>
  <c r="AV31" i="22"/>
  <c r="AU31" i="22"/>
  <c r="AX30" i="22"/>
  <c r="AW30" i="22"/>
  <c r="AV30" i="22"/>
  <c r="AU30" i="22"/>
  <c r="AX29" i="22"/>
  <c r="AW29" i="22"/>
  <c r="AV29" i="22"/>
  <c r="AU29" i="22"/>
  <c r="AX28" i="22"/>
  <c r="AW28" i="22"/>
  <c r="AV28" i="22"/>
  <c r="AU28" i="22"/>
  <c r="AX27" i="22"/>
  <c r="AW27" i="22"/>
  <c r="AV27" i="22"/>
  <c r="AU27" i="22"/>
  <c r="AX26" i="22"/>
  <c r="AW26" i="22"/>
  <c r="AV26" i="22"/>
  <c r="AU26" i="22"/>
  <c r="AX25" i="22"/>
  <c r="AW25" i="22"/>
  <c r="AV25" i="22"/>
  <c r="AU25" i="22"/>
  <c r="AX24" i="22"/>
  <c r="AW24" i="22"/>
  <c r="AV24" i="22"/>
  <c r="AU24" i="22"/>
  <c r="AX23" i="22"/>
  <c r="AW23" i="22"/>
  <c r="AV23" i="22"/>
  <c r="AU23" i="22"/>
  <c r="AX22" i="22"/>
  <c r="AW22" i="22"/>
  <c r="AV22" i="22"/>
  <c r="AU22" i="22"/>
  <c r="AX21" i="22"/>
  <c r="AW21" i="22"/>
  <c r="AV21" i="22"/>
  <c r="AU21" i="22"/>
  <c r="AX20" i="22"/>
  <c r="AW20" i="22"/>
  <c r="AV20" i="22"/>
  <c r="AU20" i="22"/>
  <c r="AX19" i="22"/>
  <c r="AW19" i="22"/>
  <c r="AV19" i="22"/>
  <c r="AU19" i="22"/>
  <c r="AX18" i="22"/>
  <c r="AW18" i="22"/>
  <c r="AV18" i="22"/>
  <c r="AU18" i="22"/>
  <c r="AX17" i="22"/>
  <c r="AW17" i="22"/>
  <c r="AV17" i="22"/>
  <c r="AU17" i="22"/>
  <c r="AX16" i="22"/>
  <c r="AW16" i="22"/>
  <c r="AV16" i="22"/>
  <c r="AU16" i="22"/>
  <c r="AX15" i="22"/>
  <c r="AW15" i="22"/>
  <c r="AV15" i="22"/>
  <c r="AU15" i="22"/>
  <c r="AX14" i="22"/>
  <c r="AW14" i="22"/>
  <c r="AV14" i="22"/>
  <c r="AU14" i="22"/>
  <c r="AX13" i="22"/>
  <c r="AW13" i="22"/>
  <c r="AV13" i="22"/>
  <c r="AU13" i="22"/>
  <c r="AX12" i="22"/>
  <c r="AW12" i="22"/>
  <c r="AV12" i="22"/>
  <c r="AU12" i="22"/>
  <c r="AX11" i="22"/>
  <c r="AW11" i="22"/>
  <c r="AV11" i="22"/>
  <c r="AU11" i="22"/>
  <c r="AX10" i="22"/>
  <c r="AW10" i="22"/>
  <c r="AV10" i="22"/>
  <c r="AU10" i="22"/>
  <c r="AX9" i="22"/>
  <c r="AW9" i="22"/>
  <c r="AV9" i="22"/>
  <c r="AU9" i="22"/>
  <c r="AX8" i="22"/>
  <c r="AW8" i="22"/>
  <c r="AV8" i="22"/>
  <c r="AU8" i="22"/>
  <c r="AX7" i="22"/>
  <c r="AW7" i="22"/>
  <c r="AV7" i="22"/>
  <c r="AU7" i="22"/>
  <c r="AX6" i="22"/>
  <c r="AW6" i="22"/>
  <c r="AV6" i="22"/>
  <c r="AU6" i="22"/>
  <c r="AX5" i="22"/>
  <c r="AW5" i="22"/>
  <c r="AV5" i="22"/>
  <c r="AU5" i="22"/>
  <c r="AX4" i="22"/>
  <c r="AW4" i="22"/>
  <c r="AV4" i="22"/>
  <c r="AU4" i="22"/>
  <c r="AX3" i="22"/>
  <c r="AW3" i="22"/>
  <c r="AV3" i="22"/>
  <c r="AU3" i="22"/>
  <c r="AN38" i="22"/>
  <c r="AM38" i="22"/>
  <c r="AL38" i="22"/>
  <c r="AK38" i="22"/>
  <c r="AN37" i="22"/>
  <c r="AM37" i="22"/>
  <c r="AL37" i="22"/>
  <c r="AK37" i="22"/>
  <c r="AN36" i="22"/>
  <c r="AM36" i="22"/>
  <c r="AL36" i="22"/>
  <c r="AK36" i="22"/>
  <c r="AN35" i="22"/>
  <c r="AM35" i="22"/>
  <c r="AL35" i="22"/>
  <c r="AK35" i="22"/>
  <c r="AN34" i="22"/>
  <c r="AM34" i="22"/>
  <c r="AL34" i="22"/>
  <c r="AK34" i="22"/>
  <c r="AN33" i="22"/>
  <c r="AM33" i="22"/>
  <c r="AL33" i="22"/>
  <c r="AK33" i="22"/>
  <c r="AN32" i="22"/>
  <c r="AM32" i="22"/>
  <c r="AL32" i="22"/>
  <c r="AK32" i="22"/>
  <c r="AN31" i="22"/>
  <c r="AM31" i="22"/>
  <c r="AL31" i="22"/>
  <c r="AK31" i="22"/>
  <c r="AN30" i="22"/>
  <c r="AM30" i="22"/>
  <c r="AL30" i="22"/>
  <c r="AK30" i="22"/>
  <c r="AN29" i="22"/>
  <c r="AM29" i="22"/>
  <c r="AL29" i="22"/>
  <c r="AK29" i="22"/>
  <c r="AN28" i="22"/>
  <c r="AM28" i="22"/>
  <c r="AL28" i="22"/>
  <c r="AK28" i="22"/>
  <c r="AN27" i="22"/>
  <c r="AM27" i="22"/>
  <c r="AL27" i="22"/>
  <c r="AK27" i="22"/>
  <c r="AN26" i="22"/>
  <c r="AM26" i="22"/>
  <c r="AL26" i="22"/>
  <c r="AK26" i="22"/>
  <c r="AN25" i="22"/>
  <c r="AM25" i="22"/>
  <c r="AL25" i="22"/>
  <c r="AK25" i="22"/>
  <c r="AN24" i="22"/>
  <c r="AM24" i="22"/>
  <c r="AL24" i="22"/>
  <c r="AK24" i="22"/>
  <c r="AN23" i="22"/>
  <c r="AM23" i="22"/>
  <c r="AL23" i="22"/>
  <c r="AK23" i="22"/>
  <c r="AN22" i="22"/>
  <c r="AM22" i="22"/>
  <c r="AL22" i="22"/>
  <c r="AK22" i="22"/>
  <c r="AN21" i="22"/>
  <c r="AM21" i="22"/>
  <c r="AL21" i="22"/>
  <c r="AK21" i="22"/>
  <c r="AN20" i="22"/>
  <c r="AM20" i="22"/>
  <c r="AL20" i="22"/>
  <c r="AK20" i="22"/>
  <c r="AN19" i="22"/>
  <c r="AM19" i="22"/>
  <c r="AL19" i="22"/>
  <c r="AK19" i="22"/>
  <c r="AN18" i="22"/>
  <c r="AM18" i="22"/>
  <c r="AL18" i="22"/>
  <c r="AK18" i="22"/>
  <c r="AN17" i="22"/>
  <c r="AM17" i="22"/>
  <c r="AL17" i="22"/>
  <c r="AK17" i="22"/>
  <c r="AN16" i="22"/>
  <c r="AM16" i="22"/>
  <c r="AL16" i="22"/>
  <c r="AK16" i="22"/>
  <c r="AN15" i="22"/>
  <c r="AM15" i="22"/>
  <c r="AL15" i="22"/>
  <c r="AK15" i="22"/>
  <c r="AN14" i="22"/>
  <c r="AM14" i="22"/>
  <c r="AL14" i="22"/>
  <c r="AK14" i="22"/>
  <c r="AN13" i="22"/>
  <c r="AM13" i="22"/>
  <c r="AL13" i="22"/>
  <c r="AK13" i="22"/>
  <c r="AN12" i="22"/>
  <c r="AM12" i="22"/>
  <c r="AL12" i="22"/>
  <c r="AK12" i="22"/>
  <c r="AN11" i="22"/>
  <c r="AM11" i="22"/>
  <c r="AL11" i="22"/>
  <c r="AK11" i="22"/>
  <c r="AN10" i="22"/>
  <c r="AM10" i="22"/>
  <c r="AL10" i="22"/>
  <c r="AK10" i="22"/>
  <c r="AN9" i="22"/>
  <c r="AM9" i="22"/>
  <c r="AL9" i="22"/>
  <c r="AK9" i="22"/>
  <c r="AN8" i="22"/>
  <c r="AM8" i="22"/>
  <c r="AL8" i="22"/>
  <c r="AK8" i="22"/>
  <c r="AN7" i="22"/>
  <c r="AM7" i="22"/>
  <c r="AL7" i="22"/>
  <c r="AK7" i="22"/>
  <c r="AN6" i="22"/>
  <c r="AM6" i="22"/>
  <c r="AL6" i="22"/>
  <c r="AK6" i="22"/>
  <c r="AN5" i="22"/>
  <c r="AM5" i="22"/>
  <c r="AL5" i="22"/>
  <c r="AK5" i="22"/>
  <c r="AN4" i="22"/>
  <c r="AM4" i="22"/>
  <c r="AL4" i="22"/>
  <c r="AK4" i="22"/>
  <c r="AN3" i="22"/>
  <c r="AM3" i="22"/>
  <c r="AL3" i="22"/>
  <c r="AK3" i="22"/>
  <c r="AA12" i="22"/>
  <c r="AX38" i="21"/>
  <c r="AW38" i="21"/>
  <c r="AV38" i="21"/>
  <c r="AU38" i="21"/>
  <c r="AX37" i="21"/>
  <c r="AW37" i="21"/>
  <c r="AV37" i="21"/>
  <c r="AU37" i="21"/>
  <c r="AX36" i="21"/>
  <c r="AW36" i="21"/>
  <c r="AV36" i="21"/>
  <c r="AU36" i="21"/>
  <c r="AX35" i="21"/>
  <c r="AW35" i="21"/>
  <c r="AV35" i="21"/>
  <c r="AU35" i="21"/>
  <c r="AX34" i="21"/>
  <c r="AW34" i="21"/>
  <c r="AV34" i="21"/>
  <c r="AU34" i="21"/>
  <c r="AX33" i="21"/>
  <c r="AW33" i="21"/>
  <c r="AV33" i="21"/>
  <c r="AU33" i="21"/>
  <c r="AX32" i="21"/>
  <c r="AW32" i="21"/>
  <c r="AV32" i="21"/>
  <c r="AU32" i="21"/>
  <c r="AX31" i="21"/>
  <c r="AW31" i="21"/>
  <c r="AV31" i="21"/>
  <c r="AU31" i="21"/>
  <c r="AX30" i="21"/>
  <c r="AW30" i="21"/>
  <c r="AV30" i="21"/>
  <c r="AU30" i="21"/>
  <c r="AX29" i="21"/>
  <c r="AW29" i="21"/>
  <c r="AV29" i="21"/>
  <c r="AU29" i="21"/>
  <c r="AX28" i="21"/>
  <c r="AW28" i="21"/>
  <c r="AV28" i="21"/>
  <c r="AU28" i="21"/>
  <c r="AX27" i="21"/>
  <c r="AW27" i="21"/>
  <c r="AV27" i="21"/>
  <c r="AU27" i="21"/>
  <c r="AX26" i="21"/>
  <c r="AW26" i="21"/>
  <c r="AV26" i="21"/>
  <c r="AU26" i="21"/>
  <c r="AX25" i="21"/>
  <c r="AW25" i="21"/>
  <c r="AV25" i="21"/>
  <c r="AU25" i="21"/>
  <c r="AX24" i="21"/>
  <c r="AW24" i="21"/>
  <c r="AV24" i="21"/>
  <c r="AU24" i="21"/>
  <c r="AX23" i="21"/>
  <c r="AW23" i="21"/>
  <c r="AV23" i="21"/>
  <c r="AU23" i="21"/>
  <c r="AX22" i="21"/>
  <c r="AW22" i="21"/>
  <c r="AV22" i="21"/>
  <c r="AU22" i="21"/>
  <c r="AX21" i="21"/>
  <c r="AW21" i="21"/>
  <c r="AV21" i="21"/>
  <c r="AU21" i="21"/>
  <c r="AX20" i="21"/>
  <c r="AW20" i="21"/>
  <c r="AV20" i="21"/>
  <c r="AU20" i="21"/>
  <c r="AX19" i="21"/>
  <c r="AW19" i="21"/>
  <c r="AV19" i="21"/>
  <c r="AU19" i="21"/>
  <c r="AX18" i="21"/>
  <c r="AW18" i="21"/>
  <c r="AV18" i="21"/>
  <c r="AU18" i="21"/>
  <c r="AX17" i="21"/>
  <c r="AW17" i="21"/>
  <c r="AV17" i="21"/>
  <c r="AU17" i="21"/>
  <c r="AX16" i="21"/>
  <c r="AW16" i="21"/>
  <c r="AV16" i="21"/>
  <c r="AU16" i="21"/>
  <c r="AX15" i="21"/>
  <c r="AW15" i="21"/>
  <c r="AV15" i="21"/>
  <c r="AU15" i="21"/>
  <c r="AX14" i="21"/>
  <c r="AW14" i="21"/>
  <c r="AV14" i="21"/>
  <c r="AU14" i="21"/>
  <c r="AX13" i="21"/>
  <c r="AW13" i="21"/>
  <c r="AV13" i="21"/>
  <c r="AU13" i="21"/>
  <c r="AX12" i="21"/>
  <c r="AW12" i="21"/>
  <c r="AV12" i="21"/>
  <c r="AU12" i="21"/>
  <c r="AX11" i="21"/>
  <c r="AW11" i="21"/>
  <c r="AV11" i="21"/>
  <c r="AU11" i="21"/>
  <c r="AX10" i="21"/>
  <c r="AW10" i="21"/>
  <c r="AV10" i="21"/>
  <c r="AU10" i="21"/>
  <c r="AX9" i="21"/>
  <c r="AW9" i="21"/>
  <c r="AV9" i="21"/>
  <c r="AU9" i="21"/>
  <c r="AX8" i="21"/>
  <c r="AW8" i="21"/>
  <c r="AV8" i="21"/>
  <c r="AU8" i="21"/>
  <c r="AX7" i="21"/>
  <c r="AW7" i="21"/>
  <c r="AV7" i="21"/>
  <c r="AU7" i="21"/>
  <c r="AX6" i="21"/>
  <c r="AW6" i="21"/>
  <c r="AV6" i="21"/>
  <c r="AU6" i="21"/>
  <c r="AX5" i="21"/>
  <c r="AW5" i="21"/>
  <c r="AV5" i="21"/>
  <c r="AU5" i="21"/>
  <c r="AX4" i="21"/>
  <c r="AW4" i="21"/>
  <c r="AV4" i="21"/>
  <c r="AU4" i="21"/>
  <c r="AX3" i="21"/>
  <c r="AW3" i="21"/>
  <c r="AV3" i="21"/>
  <c r="AU3" i="21"/>
  <c r="AN38" i="21"/>
  <c r="AM38" i="21"/>
  <c r="AL38" i="21"/>
  <c r="AK38" i="21"/>
  <c r="AN37" i="21"/>
  <c r="AM37" i="21"/>
  <c r="AL37" i="21"/>
  <c r="AK37" i="21"/>
  <c r="AN36" i="21"/>
  <c r="AM36" i="21"/>
  <c r="AL36" i="21"/>
  <c r="AK36" i="21"/>
  <c r="AN35" i="21"/>
  <c r="AM35" i="21"/>
  <c r="AL35" i="21"/>
  <c r="AK35" i="21"/>
  <c r="AN34" i="21"/>
  <c r="AM34" i="21"/>
  <c r="AL34" i="21"/>
  <c r="AK34" i="21"/>
  <c r="AN33" i="21"/>
  <c r="AM33" i="21"/>
  <c r="AL33" i="21"/>
  <c r="AK33" i="21"/>
  <c r="AN32" i="21"/>
  <c r="AM32" i="21"/>
  <c r="AL32" i="21"/>
  <c r="AK32" i="21"/>
  <c r="AN31" i="21"/>
  <c r="AM31" i="21"/>
  <c r="AL31" i="21"/>
  <c r="AK31" i="21"/>
  <c r="AN30" i="21"/>
  <c r="AM30" i="21"/>
  <c r="AL30" i="21"/>
  <c r="AK30" i="21"/>
  <c r="AN29" i="21"/>
  <c r="AM29" i="21"/>
  <c r="AL29" i="21"/>
  <c r="AK29" i="21"/>
  <c r="AN28" i="21"/>
  <c r="AM28" i="21"/>
  <c r="AL28" i="21"/>
  <c r="AK28" i="21"/>
  <c r="AN27" i="21"/>
  <c r="AM27" i="21"/>
  <c r="AL27" i="21"/>
  <c r="AK27" i="21"/>
  <c r="AN26" i="21"/>
  <c r="AM26" i="21"/>
  <c r="AL26" i="21"/>
  <c r="AK26" i="21"/>
  <c r="AN25" i="21"/>
  <c r="AM25" i="21"/>
  <c r="AL25" i="21"/>
  <c r="AK25" i="21"/>
  <c r="AN24" i="21"/>
  <c r="AM24" i="21"/>
  <c r="AL24" i="21"/>
  <c r="AK24" i="21"/>
  <c r="AN23" i="21"/>
  <c r="AM23" i="21"/>
  <c r="AL23" i="21"/>
  <c r="AK23" i="21"/>
  <c r="AN22" i="21"/>
  <c r="AM22" i="21"/>
  <c r="AL22" i="21"/>
  <c r="AK22" i="21"/>
  <c r="AN21" i="21"/>
  <c r="AM21" i="21"/>
  <c r="AL21" i="21"/>
  <c r="AK21" i="21"/>
  <c r="AN20" i="21"/>
  <c r="AM20" i="21"/>
  <c r="AL20" i="21"/>
  <c r="AK20" i="21"/>
  <c r="AN19" i="21"/>
  <c r="AM19" i="21"/>
  <c r="AL19" i="21"/>
  <c r="AK19" i="21"/>
  <c r="AN18" i="21"/>
  <c r="AM18" i="21"/>
  <c r="AL18" i="21"/>
  <c r="AK18" i="21"/>
  <c r="AN17" i="21"/>
  <c r="AM17" i="21"/>
  <c r="AL17" i="21"/>
  <c r="AK17" i="21"/>
  <c r="AN16" i="21"/>
  <c r="AM16" i="21"/>
  <c r="AL16" i="21"/>
  <c r="AK16" i="21"/>
  <c r="AN15" i="21"/>
  <c r="AM15" i="21"/>
  <c r="AL15" i="21"/>
  <c r="AK15" i="21"/>
  <c r="AN14" i="21"/>
  <c r="AM14" i="21"/>
  <c r="AL14" i="21"/>
  <c r="AK14" i="21"/>
  <c r="AN13" i="21"/>
  <c r="AM13" i="21"/>
  <c r="AL13" i="21"/>
  <c r="AK13" i="21"/>
  <c r="AN12" i="21"/>
  <c r="AM12" i="21"/>
  <c r="AL12" i="21"/>
  <c r="AK12" i="21"/>
  <c r="AN11" i="21"/>
  <c r="AM11" i="21"/>
  <c r="AL11" i="21"/>
  <c r="AK11" i="21"/>
  <c r="AN10" i="21"/>
  <c r="AM10" i="21"/>
  <c r="AL10" i="21"/>
  <c r="AK10" i="21"/>
  <c r="AN9" i="21"/>
  <c r="AM9" i="21"/>
  <c r="AL9" i="21"/>
  <c r="AK9" i="21"/>
  <c r="AN8" i="21"/>
  <c r="AM8" i="21"/>
  <c r="AL8" i="21"/>
  <c r="AK8" i="21"/>
  <c r="AN7" i="21"/>
  <c r="AM7" i="21"/>
  <c r="AL7" i="21"/>
  <c r="AK7" i="21"/>
  <c r="AN6" i="21"/>
  <c r="AM6" i="21"/>
  <c r="AL6" i="21"/>
  <c r="AK6" i="21"/>
  <c r="AN5" i="21"/>
  <c r="AM5" i="21"/>
  <c r="AL5" i="21"/>
  <c r="AK5" i="21"/>
  <c r="AN4" i="21"/>
  <c r="AM4" i="21"/>
  <c r="AL4" i="21"/>
  <c r="AK4" i="21"/>
  <c r="AN3" i="21"/>
  <c r="AM3" i="21"/>
  <c r="AL3" i="21"/>
  <c r="AK3" i="21"/>
  <c r="AD38" i="22"/>
  <c r="AC38" i="22"/>
  <c r="AB38" i="22"/>
  <c r="AA38" i="22"/>
  <c r="AD37" i="22"/>
  <c r="AC37" i="22"/>
  <c r="AB37" i="22"/>
  <c r="AA37" i="22"/>
  <c r="AD36" i="22"/>
  <c r="AC36" i="22"/>
  <c r="AB36" i="22"/>
  <c r="AA36" i="22"/>
  <c r="AD35" i="22"/>
  <c r="AC35" i="22"/>
  <c r="AB35" i="22"/>
  <c r="AA35" i="22"/>
  <c r="AD34" i="22"/>
  <c r="AC34" i="22"/>
  <c r="AB34" i="22"/>
  <c r="AA34" i="22"/>
  <c r="AD33" i="22"/>
  <c r="AC33" i="22"/>
  <c r="AB33" i="22"/>
  <c r="AA33" i="22"/>
  <c r="AD32" i="22"/>
  <c r="AC32" i="22"/>
  <c r="AB32" i="22"/>
  <c r="AA32" i="22"/>
  <c r="AD31" i="22"/>
  <c r="AC31" i="22"/>
  <c r="AB31" i="22"/>
  <c r="AA31" i="22"/>
  <c r="AD30" i="22"/>
  <c r="AC30" i="22"/>
  <c r="AB30" i="22"/>
  <c r="AA30" i="22"/>
  <c r="AD29" i="22"/>
  <c r="AC29" i="22"/>
  <c r="AB29" i="22"/>
  <c r="AA29" i="22"/>
  <c r="AD28" i="22"/>
  <c r="AC28" i="22"/>
  <c r="AB28" i="22"/>
  <c r="AA28" i="22"/>
  <c r="AD27" i="22"/>
  <c r="AC27" i="22"/>
  <c r="AB27" i="22"/>
  <c r="AA27" i="22"/>
  <c r="AD26" i="22"/>
  <c r="AC26" i="22"/>
  <c r="AB26" i="22"/>
  <c r="AA26" i="22"/>
  <c r="AD25" i="22"/>
  <c r="AC25" i="22"/>
  <c r="AB25" i="22"/>
  <c r="AA25" i="22"/>
  <c r="AD24" i="22"/>
  <c r="AC24" i="22"/>
  <c r="AB24" i="22"/>
  <c r="AA24" i="22"/>
  <c r="AD23" i="22"/>
  <c r="AC23" i="22"/>
  <c r="AB23" i="22"/>
  <c r="AA23" i="22"/>
  <c r="AD22" i="22"/>
  <c r="AC22" i="22"/>
  <c r="AB22" i="22"/>
  <c r="AA22" i="22"/>
  <c r="AD21" i="22"/>
  <c r="AC21" i="22"/>
  <c r="AB21" i="22"/>
  <c r="AA21" i="22"/>
  <c r="AD20" i="22"/>
  <c r="AC20" i="22"/>
  <c r="AB20" i="22"/>
  <c r="AA20" i="22"/>
  <c r="AD19" i="22"/>
  <c r="AC19" i="22"/>
  <c r="AB19" i="22"/>
  <c r="AA19" i="22"/>
  <c r="AD18" i="22"/>
  <c r="AC18" i="22"/>
  <c r="AB18" i="22"/>
  <c r="AA18" i="22"/>
  <c r="AD17" i="22"/>
  <c r="AC17" i="22"/>
  <c r="AB17" i="22"/>
  <c r="AA17" i="22"/>
  <c r="AD16" i="22"/>
  <c r="AC16" i="22"/>
  <c r="AB16" i="22"/>
  <c r="AA16" i="22"/>
  <c r="AD15" i="22"/>
  <c r="AC15" i="22"/>
  <c r="AB15" i="22"/>
  <c r="AA15" i="22"/>
  <c r="AD14" i="22"/>
  <c r="AC14" i="22"/>
  <c r="AB14" i="22"/>
  <c r="AA14" i="22"/>
  <c r="AD13" i="22"/>
  <c r="AC13" i="22"/>
  <c r="AB13" i="22"/>
  <c r="AA13" i="22"/>
  <c r="AD12" i="22"/>
  <c r="AC12" i="22"/>
  <c r="AB12" i="22"/>
  <c r="AD11" i="22"/>
  <c r="AC11" i="22"/>
  <c r="AB11" i="22"/>
  <c r="AA11" i="22"/>
  <c r="AD10" i="22"/>
  <c r="AC10" i="22"/>
  <c r="AB10" i="22"/>
  <c r="AA10" i="22"/>
  <c r="AD9" i="22"/>
  <c r="AC9" i="22"/>
  <c r="AB9" i="22"/>
  <c r="AA9" i="22"/>
  <c r="AD8" i="22"/>
  <c r="AC8" i="22"/>
  <c r="AB8" i="22"/>
  <c r="AA8" i="22"/>
  <c r="AD7" i="22"/>
  <c r="AC7" i="22"/>
  <c r="AB7" i="22"/>
  <c r="AA7" i="22"/>
  <c r="AD6" i="22"/>
  <c r="AC6" i="22"/>
  <c r="AB6" i="22"/>
  <c r="AA6" i="22"/>
  <c r="AD5" i="22"/>
  <c r="AC5" i="22"/>
  <c r="AB5" i="22"/>
  <c r="AA5" i="22"/>
  <c r="AD4" i="22"/>
  <c r="AC4" i="22"/>
  <c r="AB4" i="22"/>
  <c r="AA4" i="22"/>
  <c r="AD3" i="22"/>
  <c r="AC3" i="22"/>
  <c r="AB3" i="22"/>
  <c r="AA3" i="22"/>
  <c r="AD38" i="21"/>
  <c r="AC38" i="21"/>
  <c r="AB38" i="21"/>
  <c r="AA38" i="21"/>
  <c r="AD37" i="21"/>
  <c r="AC37" i="21"/>
  <c r="AB37" i="21"/>
  <c r="AA37" i="21"/>
  <c r="AD36" i="21"/>
  <c r="AC36" i="21"/>
  <c r="AB36" i="21"/>
  <c r="AA36" i="21"/>
  <c r="AD35" i="21"/>
  <c r="AC35" i="21"/>
  <c r="AB35" i="21"/>
  <c r="AA35" i="21"/>
  <c r="AD34" i="21"/>
  <c r="AC34" i="21"/>
  <c r="AB34" i="21"/>
  <c r="AA34" i="21"/>
  <c r="AD33" i="21"/>
  <c r="AC33" i="21"/>
  <c r="AB33" i="21"/>
  <c r="AA33" i="21"/>
  <c r="AD32" i="21"/>
  <c r="AC32" i="21"/>
  <c r="AB32" i="21"/>
  <c r="AA32" i="21"/>
  <c r="AD31" i="21"/>
  <c r="AC31" i="21"/>
  <c r="AB31" i="21"/>
  <c r="AA31" i="21"/>
  <c r="AD30" i="21"/>
  <c r="AC30" i="21"/>
  <c r="AB30" i="21"/>
  <c r="AA30" i="21"/>
  <c r="AD29" i="21"/>
  <c r="AC29" i="21"/>
  <c r="AB29" i="21"/>
  <c r="AA29" i="21"/>
  <c r="AD28" i="21"/>
  <c r="AC28" i="21"/>
  <c r="AB28" i="21"/>
  <c r="AA28" i="21"/>
  <c r="AD27" i="21"/>
  <c r="AC27" i="21"/>
  <c r="AB27" i="21"/>
  <c r="AA27" i="21"/>
  <c r="AD26" i="21"/>
  <c r="AC26" i="21"/>
  <c r="AB26" i="21"/>
  <c r="AA26" i="21"/>
  <c r="AD25" i="21"/>
  <c r="AC25" i="21"/>
  <c r="AB25" i="21"/>
  <c r="AA25" i="21"/>
  <c r="AD24" i="21"/>
  <c r="AC24" i="21"/>
  <c r="AB24" i="21"/>
  <c r="AA24" i="21"/>
  <c r="AD23" i="21"/>
  <c r="AC23" i="21"/>
  <c r="AB23" i="21"/>
  <c r="AA23" i="21"/>
  <c r="AD22" i="21"/>
  <c r="AC22" i="21"/>
  <c r="AB22" i="21"/>
  <c r="AA22" i="21"/>
  <c r="AD21" i="21"/>
  <c r="AC21" i="21"/>
  <c r="AB21" i="21"/>
  <c r="AA21" i="21"/>
  <c r="AD20" i="21"/>
  <c r="AC20" i="21"/>
  <c r="AB20" i="21"/>
  <c r="AA20" i="21"/>
  <c r="AD19" i="21"/>
  <c r="AC19" i="21"/>
  <c r="AB19" i="21"/>
  <c r="AA19" i="21"/>
  <c r="AD18" i="21"/>
  <c r="AC18" i="21"/>
  <c r="AB18" i="21"/>
  <c r="AA18" i="21"/>
  <c r="AD17" i="21"/>
  <c r="AC17" i="21"/>
  <c r="AB17" i="21"/>
  <c r="AA17" i="21"/>
  <c r="AD16" i="21"/>
  <c r="AC16" i="21"/>
  <c r="AB16" i="21"/>
  <c r="AA16" i="21"/>
  <c r="AD15" i="21"/>
  <c r="AC15" i="21"/>
  <c r="AB15" i="21"/>
  <c r="AA15" i="21"/>
  <c r="AD14" i="21"/>
  <c r="AC14" i="21"/>
  <c r="AB14" i="21"/>
  <c r="AA14" i="21"/>
  <c r="AD13" i="21"/>
  <c r="AC13" i="21"/>
  <c r="AB13" i="21"/>
  <c r="AA13" i="21"/>
  <c r="AD12" i="21"/>
  <c r="AC12" i="21"/>
  <c r="AB12" i="21"/>
  <c r="AA12" i="21"/>
  <c r="AD11" i="21"/>
  <c r="AC11" i="21"/>
  <c r="AB11" i="21"/>
  <c r="AA11" i="21"/>
  <c r="AD10" i="21"/>
  <c r="AC10" i="21"/>
  <c r="AB10" i="21"/>
  <c r="AA10" i="21"/>
  <c r="AD9" i="21"/>
  <c r="AC9" i="21"/>
  <c r="AB9" i="21"/>
  <c r="AA9" i="21"/>
  <c r="AD8" i="21"/>
  <c r="AC8" i="21"/>
  <c r="AB8" i="21"/>
  <c r="AA8" i="21"/>
  <c r="AD7" i="21"/>
  <c r="AC7" i="21"/>
  <c r="AB7" i="21"/>
  <c r="AA7" i="21"/>
  <c r="AD6" i="21"/>
  <c r="AC6" i="21"/>
  <c r="AB6" i="21"/>
  <c r="AA6" i="21"/>
  <c r="AD5" i="21"/>
  <c r="AC5" i="21"/>
  <c r="AB5" i="21"/>
  <c r="AA5" i="21"/>
  <c r="AD4" i="21"/>
  <c r="AC4" i="21"/>
  <c r="AB4" i="21"/>
  <c r="AA4" i="21"/>
  <c r="AD3" i="21"/>
  <c r="AC3" i="21"/>
  <c r="AB3" i="21"/>
  <c r="AA3" i="21"/>
  <c r="AL40" i="21" l="1"/>
  <c r="AK40" i="22"/>
  <c r="AL40" i="22"/>
  <c r="AF40" i="21"/>
  <c r="AM40" i="21"/>
  <c r="AM40" i="22"/>
  <c r="AH40" i="21"/>
  <c r="AF40" i="22"/>
  <c r="AG40" i="22"/>
  <c r="AH40" i="22"/>
  <c r="AI40" i="22"/>
  <c r="AN40" i="22"/>
  <c r="AG40" i="21"/>
  <c r="AK40" i="21"/>
  <c r="J61" i="30" s="1"/>
  <c r="K61" i="30" s="1"/>
  <c r="AU40" i="21"/>
  <c r="AV40" i="21"/>
  <c r="AU40" i="22"/>
  <c r="AW40" i="21"/>
  <c r="AV40" i="22"/>
  <c r="AW40" i="22"/>
  <c r="AX40" i="22"/>
  <c r="AI40" i="21"/>
  <c r="AC40" i="22"/>
  <c r="AD40" i="21"/>
  <c r="AD40" i="22"/>
  <c r="AA40" i="22"/>
  <c r="AB40" i="22"/>
  <c r="AA40" i="21"/>
  <c r="J45" i="30" s="1"/>
  <c r="AB40" i="21"/>
  <c r="J46" i="30" s="1"/>
  <c r="K46" i="30" s="1"/>
  <c r="AX40" i="21"/>
  <c r="AC40" i="21"/>
  <c r="AN40" i="21"/>
  <c r="AX38" i="11"/>
  <c r="AW38" i="11"/>
  <c r="AV38" i="11"/>
  <c r="AU38" i="11"/>
  <c r="AX37" i="11"/>
  <c r="AW37" i="11"/>
  <c r="AV37" i="11"/>
  <c r="AU37" i="11"/>
  <c r="AX36" i="11"/>
  <c r="AW36" i="11"/>
  <c r="AV36" i="11"/>
  <c r="AU36" i="11"/>
  <c r="AX35" i="11"/>
  <c r="AW35" i="11"/>
  <c r="AV35" i="11"/>
  <c r="AU35" i="11"/>
  <c r="AX34" i="11"/>
  <c r="AW34" i="11"/>
  <c r="AV34" i="11"/>
  <c r="AU34" i="11"/>
  <c r="AX33" i="11"/>
  <c r="AW33" i="11"/>
  <c r="AV33" i="11"/>
  <c r="AU33" i="11"/>
  <c r="AX32" i="11"/>
  <c r="AW32" i="11"/>
  <c r="AV32" i="11"/>
  <c r="AU32" i="11"/>
  <c r="AX31" i="11"/>
  <c r="AW31" i="11"/>
  <c r="AV31" i="11"/>
  <c r="AU31" i="11"/>
  <c r="AX30" i="11"/>
  <c r="AW30" i="11"/>
  <c r="AV30" i="11"/>
  <c r="AU30" i="11"/>
  <c r="AX29" i="11"/>
  <c r="AW29" i="11"/>
  <c r="AV29" i="11"/>
  <c r="AU29" i="11"/>
  <c r="AX28" i="11"/>
  <c r="AW28" i="11"/>
  <c r="AV28" i="11"/>
  <c r="AU28" i="11"/>
  <c r="AX27" i="11"/>
  <c r="AW27" i="11"/>
  <c r="AV27" i="11"/>
  <c r="AU27" i="11"/>
  <c r="AX26" i="11"/>
  <c r="AW26" i="11"/>
  <c r="AV26" i="11"/>
  <c r="AU26" i="11"/>
  <c r="AX25" i="11"/>
  <c r="AW25" i="11"/>
  <c r="AV25" i="11"/>
  <c r="AU25" i="11"/>
  <c r="AX24" i="11"/>
  <c r="AW24" i="11"/>
  <c r="AV24" i="11"/>
  <c r="AU24" i="11"/>
  <c r="AX23" i="11"/>
  <c r="AW23" i="11"/>
  <c r="AV23" i="11"/>
  <c r="AU23" i="11"/>
  <c r="AX22" i="11"/>
  <c r="AW22" i="11"/>
  <c r="AV22" i="11"/>
  <c r="AU22" i="11"/>
  <c r="AX21" i="11"/>
  <c r="AW21" i="11"/>
  <c r="AV21" i="11"/>
  <c r="AU21" i="11"/>
  <c r="AX20" i="11"/>
  <c r="AW20" i="11"/>
  <c r="AV20" i="11"/>
  <c r="AU20" i="11"/>
  <c r="AX19" i="11"/>
  <c r="AW19" i="11"/>
  <c r="AV19" i="11"/>
  <c r="AU19" i="11"/>
  <c r="AX18" i="11"/>
  <c r="AW18" i="11"/>
  <c r="AV18" i="11"/>
  <c r="AU18" i="11"/>
  <c r="AX17" i="11"/>
  <c r="AW17" i="11"/>
  <c r="AV17" i="11"/>
  <c r="AU17" i="11"/>
  <c r="AX16" i="11"/>
  <c r="AW16" i="11"/>
  <c r="AV16" i="11"/>
  <c r="AU16" i="11"/>
  <c r="AX15" i="11"/>
  <c r="AW15" i="11"/>
  <c r="AV15" i="11"/>
  <c r="AU15" i="11"/>
  <c r="AX14" i="11"/>
  <c r="AW14" i="11"/>
  <c r="AV14" i="11"/>
  <c r="AU14" i="11"/>
  <c r="AX13" i="11"/>
  <c r="AW13" i="11"/>
  <c r="AV13" i="11"/>
  <c r="AU13" i="11"/>
  <c r="AX12" i="11"/>
  <c r="AW12" i="11"/>
  <c r="AV12" i="11"/>
  <c r="AU12" i="11"/>
  <c r="AX11" i="11"/>
  <c r="AW11" i="11"/>
  <c r="AV11" i="11"/>
  <c r="AU11" i="11"/>
  <c r="AX10" i="11"/>
  <c r="AW10" i="11"/>
  <c r="AV10" i="11"/>
  <c r="AU10" i="11"/>
  <c r="AX9" i="11"/>
  <c r="AW9" i="11"/>
  <c r="AV9" i="11"/>
  <c r="AU9" i="11"/>
  <c r="AX8" i="11"/>
  <c r="AW8" i="11"/>
  <c r="AV8" i="11"/>
  <c r="AU8" i="11"/>
  <c r="AX7" i="11"/>
  <c r="AW7" i="11"/>
  <c r="AV7" i="11"/>
  <c r="AU7" i="11"/>
  <c r="AX6" i="11"/>
  <c r="AW6" i="11"/>
  <c r="AV6" i="11"/>
  <c r="AU6" i="11"/>
  <c r="AX5" i="11"/>
  <c r="AW5" i="11"/>
  <c r="AV5" i="11"/>
  <c r="AU5" i="11"/>
  <c r="AX4" i="11"/>
  <c r="AW4" i="11"/>
  <c r="AV4" i="11"/>
  <c r="AU4" i="11"/>
  <c r="AX3" i="11"/>
  <c r="AW3" i="11"/>
  <c r="AV3" i="11"/>
  <c r="AU3" i="11"/>
  <c r="AS38" i="11"/>
  <c r="AR38" i="11"/>
  <c r="AQ38" i="11"/>
  <c r="AP38" i="11"/>
  <c r="AS37" i="11"/>
  <c r="AR37" i="11"/>
  <c r="AQ37" i="11"/>
  <c r="AP37" i="11"/>
  <c r="AS36" i="11"/>
  <c r="AR36" i="11"/>
  <c r="AQ36" i="11"/>
  <c r="AP36" i="11"/>
  <c r="AS35" i="11"/>
  <c r="AR35" i="11"/>
  <c r="AQ35" i="11"/>
  <c r="AP35" i="11"/>
  <c r="AS34" i="11"/>
  <c r="AR34" i="11"/>
  <c r="AQ34" i="11"/>
  <c r="AP34" i="11"/>
  <c r="AS33" i="11"/>
  <c r="AR33" i="11"/>
  <c r="AQ33" i="11"/>
  <c r="AP33" i="11"/>
  <c r="AS32" i="11"/>
  <c r="AR32" i="11"/>
  <c r="AQ32" i="11"/>
  <c r="AP32" i="11"/>
  <c r="AS31" i="11"/>
  <c r="AR31" i="11"/>
  <c r="AQ31" i="11"/>
  <c r="AP31" i="11"/>
  <c r="AS30" i="11"/>
  <c r="AR30" i="11"/>
  <c r="AQ30" i="11"/>
  <c r="AP30" i="11"/>
  <c r="AS29" i="11"/>
  <c r="AR29" i="11"/>
  <c r="AQ29" i="11"/>
  <c r="AP29" i="11"/>
  <c r="AS28" i="11"/>
  <c r="AR28" i="11"/>
  <c r="AQ28" i="11"/>
  <c r="AP28" i="11"/>
  <c r="AS27" i="11"/>
  <c r="AR27" i="11"/>
  <c r="AQ27" i="11"/>
  <c r="AP27" i="11"/>
  <c r="AS26" i="11"/>
  <c r="AR26" i="11"/>
  <c r="AQ26" i="11"/>
  <c r="AP26" i="11"/>
  <c r="AS25" i="11"/>
  <c r="AR25" i="11"/>
  <c r="AQ25" i="11"/>
  <c r="AP25" i="11"/>
  <c r="AS24" i="11"/>
  <c r="AR24" i="11"/>
  <c r="AQ24" i="11"/>
  <c r="AP24" i="11"/>
  <c r="AS23" i="11"/>
  <c r="AR23" i="11"/>
  <c r="AQ23" i="11"/>
  <c r="AP23" i="11"/>
  <c r="AS22" i="11"/>
  <c r="AR22" i="11"/>
  <c r="AQ22" i="11"/>
  <c r="AP22" i="11"/>
  <c r="AS21" i="11"/>
  <c r="AR21" i="11"/>
  <c r="AQ21" i="11"/>
  <c r="AP21" i="11"/>
  <c r="AS20" i="11"/>
  <c r="AR20" i="11"/>
  <c r="AQ20" i="11"/>
  <c r="AP20" i="11"/>
  <c r="AS19" i="11"/>
  <c r="AR19" i="11"/>
  <c r="AQ19" i="11"/>
  <c r="AP19" i="11"/>
  <c r="AS18" i="11"/>
  <c r="AR18" i="11"/>
  <c r="AQ18" i="11"/>
  <c r="AP18" i="11"/>
  <c r="AS17" i="11"/>
  <c r="AR17" i="11"/>
  <c r="AQ17" i="11"/>
  <c r="AP17" i="11"/>
  <c r="AS16" i="11"/>
  <c r="AR16" i="11"/>
  <c r="AQ16" i="11"/>
  <c r="AP16" i="11"/>
  <c r="AS15" i="11"/>
  <c r="AR15" i="11"/>
  <c r="AQ15" i="11"/>
  <c r="AP15" i="11"/>
  <c r="AS14" i="11"/>
  <c r="AR14" i="11"/>
  <c r="AQ14" i="11"/>
  <c r="AP14" i="11"/>
  <c r="AS13" i="11"/>
  <c r="AR13" i="11"/>
  <c r="AQ13" i="11"/>
  <c r="AP13" i="11"/>
  <c r="AS12" i="11"/>
  <c r="AR12" i="11"/>
  <c r="AQ12" i="11"/>
  <c r="AP12" i="11"/>
  <c r="AS11" i="11"/>
  <c r="AR11" i="11"/>
  <c r="AQ11" i="11"/>
  <c r="AP11" i="11"/>
  <c r="AS10" i="11"/>
  <c r="AR10" i="11"/>
  <c r="AQ10" i="11"/>
  <c r="AP10" i="11"/>
  <c r="AS9" i="11"/>
  <c r="AR9" i="11"/>
  <c r="AQ9" i="11"/>
  <c r="AP9" i="11"/>
  <c r="AS8" i="11"/>
  <c r="AR8" i="11"/>
  <c r="AQ8" i="11"/>
  <c r="AP8" i="11"/>
  <c r="AS7" i="11"/>
  <c r="AR7" i="11"/>
  <c r="AQ7" i="11"/>
  <c r="AP7" i="11"/>
  <c r="AS6" i="11"/>
  <c r="AR6" i="11"/>
  <c r="AQ6" i="11"/>
  <c r="AP6" i="11"/>
  <c r="AS5" i="11"/>
  <c r="AR5" i="11"/>
  <c r="AQ5" i="11"/>
  <c r="AP5" i="11"/>
  <c r="AS4" i="11"/>
  <c r="AR4" i="11"/>
  <c r="AQ4" i="11"/>
  <c r="AP4" i="11"/>
  <c r="AS3" i="11"/>
  <c r="AR3" i="11"/>
  <c r="AQ3" i="11"/>
  <c r="AP3" i="11"/>
  <c r="AN38" i="11"/>
  <c r="AM38" i="11"/>
  <c r="AL38" i="11"/>
  <c r="AK38" i="11"/>
  <c r="AN37" i="11"/>
  <c r="AM37" i="11"/>
  <c r="AL37" i="11"/>
  <c r="AK37" i="11"/>
  <c r="AN36" i="11"/>
  <c r="AM36" i="11"/>
  <c r="AL36" i="11"/>
  <c r="AK36" i="11"/>
  <c r="AN35" i="11"/>
  <c r="AM35" i="11"/>
  <c r="AL35" i="11"/>
  <c r="AK35" i="11"/>
  <c r="AN34" i="11"/>
  <c r="AM34" i="11"/>
  <c r="AL34" i="11"/>
  <c r="AK34" i="11"/>
  <c r="AN33" i="11"/>
  <c r="AM33" i="11"/>
  <c r="AL33" i="11"/>
  <c r="AK33" i="11"/>
  <c r="AN32" i="11"/>
  <c r="AM32" i="11"/>
  <c r="AL32" i="11"/>
  <c r="AK32" i="11"/>
  <c r="AN31" i="11"/>
  <c r="AM31" i="11"/>
  <c r="AL31" i="11"/>
  <c r="AK31" i="11"/>
  <c r="AN30" i="11"/>
  <c r="AM30" i="11"/>
  <c r="AL30" i="11"/>
  <c r="AK30" i="11"/>
  <c r="AN29" i="11"/>
  <c r="AM29" i="11"/>
  <c r="AL29" i="11"/>
  <c r="AK29" i="11"/>
  <c r="AN28" i="11"/>
  <c r="AM28" i="11"/>
  <c r="AL28" i="11"/>
  <c r="AK28" i="11"/>
  <c r="AN27" i="11"/>
  <c r="AM27" i="11"/>
  <c r="AL27" i="11"/>
  <c r="AK27" i="11"/>
  <c r="AN26" i="11"/>
  <c r="AM26" i="11"/>
  <c r="AL26" i="11"/>
  <c r="AK26" i="11"/>
  <c r="AN25" i="11"/>
  <c r="AM25" i="11"/>
  <c r="AL25" i="11"/>
  <c r="AK25" i="11"/>
  <c r="AN24" i="11"/>
  <c r="AM24" i="11"/>
  <c r="AL24" i="11"/>
  <c r="AK24" i="11"/>
  <c r="AN23" i="11"/>
  <c r="AM23" i="11"/>
  <c r="AL23" i="11"/>
  <c r="AK23" i="11"/>
  <c r="AN22" i="11"/>
  <c r="AM22" i="11"/>
  <c r="AL22" i="11"/>
  <c r="AK22" i="11"/>
  <c r="AN21" i="11"/>
  <c r="AM21" i="11"/>
  <c r="AL21" i="11"/>
  <c r="AK21" i="11"/>
  <c r="AN20" i="11"/>
  <c r="AM20" i="11"/>
  <c r="AL20" i="11"/>
  <c r="AK20" i="11"/>
  <c r="AN19" i="11"/>
  <c r="AM19" i="11"/>
  <c r="AL19" i="11"/>
  <c r="AK19" i="11"/>
  <c r="AN18" i="11"/>
  <c r="AM18" i="11"/>
  <c r="AL18" i="11"/>
  <c r="AK18" i="11"/>
  <c r="AN17" i="11"/>
  <c r="AM17" i="11"/>
  <c r="AL17" i="11"/>
  <c r="AK17" i="11"/>
  <c r="AN16" i="11"/>
  <c r="AM16" i="11"/>
  <c r="AL16" i="11"/>
  <c r="AK16" i="11"/>
  <c r="AN15" i="11"/>
  <c r="AM15" i="11"/>
  <c r="AL15" i="11"/>
  <c r="AK15" i="11"/>
  <c r="AN14" i="11"/>
  <c r="AM14" i="11"/>
  <c r="AL14" i="11"/>
  <c r="AK14" i="11"/>
  <c r="AN13" i="11"/>
  <c r="AM13" i="11"/>
  <c r="AL13" i="11"/>
  <c r="AK13" i="11"/>
  <c r="AN12" i="11"/>
  <c r="AM12" i="11"/>
  <c r="AL12" i="11"/>
  <c r="AK12" i="11"/>
  <c r="AN11" i="11"/>
  <c r="AM11" i="11"/>
  <c r="AL11" i="11"/>
  <c r="AK11" i="11"/>
  <c r="AN10" i="11"/>
  <c r="AM10" i="11"/>
  <c r="AL10" i="11"/>
  <c r="AK10" i="11"/>
  <c r="AN9" i="11"/>
  <c r="AM9" i="11"/>
  <c r="AL9" i="11"/>
  <c r="AK9" i="11"/>
  <c r="AN8" i="11"/>
  <c r="AM8" i="11"/>
  <c r="AL8" i="11"/>
  <c r="AK8" i="11"/>
  <c r="AN7" i="11"/>
  <c r="AM7" i="11"/>
  <c r="AL7" i="11"/>
  <c r="AK7" i="11"/>
  <c r="AN6" i="11"/>
  <c r="AM6" i="11"/>
  <c r="AL6" i="11"/>
  <c r="AK6" i="11"/>
  <c r="AN5" i="11"/>
  <c r="AM5" i="11"/>
  <c r="AL5" i="11"/>
  <c r="AK5" i="11"/>
  <c r="AN4" i="11"/>
  <c r="AM4" i="11"/>
  <c r="AL4" i="11"/>
  <c r="AK4" i="11"/>
  <c r="AN3" i="11"/>
  <c r="AM3" i="11"/>
  <c r="AL3" i="11"/>
  <c r="AK3" i="11"/>
  <c r="AI38" i="11"/>
  <c r="AH38" i="11"/>
  <c r="AG38" i="11"/>
  <c r="AF38" i="11"/>
  <c r="AI37" i="11"/>
  <c r="AH37" i="11"/>
  <c r="AG37" i="11"/>
  <c r="AF37" i="11"/>
  <c r="AI36" i="11"/>
  <c r="AH36" i="11"/>
  <c r="AG36" i="11"/>
  <c r="AF36" i="11"/>
  <c r="AI35" i="11"/>
  <c r="AH35" i="11"/>
  <c r="AG35" i="11"/>
  <c r="AF35" i="11"/>
  <c r="AI34" i="11"/>
  <c r="AH34" i="11"/>
  <c r="AG34" i="11"/>
  <c r="AF34" i="11"/>
  <c r="AI33" i="11"/>
  <c r="AH33" i="11"/>
  <c r="AG33" i="11"/>
  <c r="AF33" i="11"/>
  <c r="AI32" i="11"/>
  <c r="AH32" i="11"/>
  <c r="AG32" i="11"/>
  <c r="AF32" i="11"/>
  <c r="AI31" i="11"/>
  <c r="AH31" i="11"/>
  <c r="AG31" i="11"/>
  <c r="AF31" i="11"/>
  <c r="AI30" i="11"/>
  <c r="AH30" i="11"/>
  <c r="AG30" i="11"/>
  <c r="AF30" i="11"/>
  <c r="AI29" i="11"/>
  <c r="AH29" i="11"/>
  <c r="AG29" i="11"/>
  <c r="AF29" i="11"/>
  <c r="AI28" i="11"/>
  <c r="AH28" i="11"/>
  <c r="AG28" i="11"/>
  <c r="AF28" i="11"/>
  <c r="AI27" i="11"/>
  <c r="AH27" i="11"/>
  <c r="AG27" i="11"/>
  <c r="AF27" i="11"/>
  <c r="AI26" i="11"/>
  <c r="AH26" i="11"/>
  <c r="AG26" i="11"/>
  <c r="AF26" i="11"/>
  <c r="AI25" i="11"/>
  <c r="AH25" i="11"/>
  <c r="AG25" i="11"/>
  <c r="AF25" i="11"/>
  <c r="AI24" i="11"/>
  <c r="AH24" i="11"/>
  <c r="AG24" i="11"/>
  <c r="AF24" i="11"/>
  <c r="AI23" i="11"/>
  <c r="AH23" i="11"/>
  <c r="AG23" i="11"/>
  <c r="AF23" i="11"/>
  <c r="AI22" i="11"/>
  <c r="AH22" i="11"/>
  <c r="AG22" i="11"/>
  <c r="AF22" i="11"/>
  <c r="AI21" i="11"/>
  <c r="AH21" i="11"/>
  <c r="AG21" i="11"/>
  <c r="AF21" i="11"/>
  <c r="AI20" i="11"/>
  <c r="AH20" i="11"/>
  <c r="AG20" i="11"/>
  <c r="AF20" i="11"/>
  <c r="AI19" i="11"/>
  <c r="AH19" i="11"/>
  <c r="AG19" i="11"/>
  <c r="AF19" i="11"/>
  <c r="AI18" i="11"/>
  <c r="AH18" i="11"/>
  <c r="AG18" i="11"/>
  <c r="AF18" i="11"/>
  <c r="AI17" i="11"/>
  <c r="AH17" i="11"/>
  <c r="AG17" i="11"/>
  <c r="AF17" i="11"/>
  <c r="AI16" i="11"/>
  <c r="AH16" i="11"/>
  <c r="AG16" i="11"/>
  <c r="AF16" i="11"/>
  <c r="AI15" i="11"/>
  <c r="AH15" i="11"/>
  <c r="AG15" i="11"/>
  <c r="AF15" i="11"/>
  <c r="AI14" i="11"/>
  <c r="AH14" i="11"/>
  <c r="AG14" i="11"/>
  <c r="AF14" i="11"/>
  <c r="AI13" i="11"/>
  <c r="AH13" i="11"/>
  <c r="AG13" i="11"/>
  <c r="AF13" i="11"/>
  <c r="AI12" i="11"/>
  <c r="AH12" i="11"/>
  <c r="AG12" i="11"/>
  <c r="AF12" i="11"/>
  <c r="AI11" i="11"/>
  <c r="AH11" i="11"/>
  <c r="AG11" i="11"/>
  <c r="AF11" i="11"/>
  <c r="AI10" i="11"/>
  <c r="AH10" i="11"/>
  <c r="AG10" i="11"/>
  <c r="AF10" i="11"/>
  <c r="AI9" i="11"/>
  <c r="AH9" i="11"/>
  <c r="AG9" i="11"/>
  <c r="AF9" i="11"/>
  <c r="AI8" i="11"/>
  <c r="AH8" i="11"/>
  <c r="AG8" i="11"/>
  <c r="AF8" i="11"/>
  <c r="AI7" i="11"/>
  <c r="AH7" i="11"/>
  <c r="AG7" i="11"/>
  <c r="AF7" i="11"/>
  <c r="AI6" i="11"/>
  <c r="AH6" i="11"/>
  <c r="AG6" i="11"/>
  <c r="AF6" i="11"/>
  <c r="AI5" i="11"/>
  <c r="AH5" i="11"/>
  <c r="AG5" i="11"/>
  <c r="AF5" i="11"/>
  <c r="AI4" i="11"/>
  <c r="AH4" i="11"/>
  <c r="AG4" i="11"/>
  <c r="AF4" i="11"/>
  <c r="AI3" i="11"/>
  <c r="AH3" i="11"/>
  <c r="AG3" i="11"/>
  <c r="AF3" i="11"/>
  <c r="AD24" i="11"/>
  <c r="AX38" i="9"/>
  <c r="AW38" i="9"/>
  <c r="AV38" i="9"/>
  <c r="AU38" i="9"/>
  <c r="AX37" i="9"/>
  <c r="AW37" i="9"/>
  <c r="AV37" i="9"/>
  <c r="AU37" i="9"/>
  <c r="AX36" i="9"/>
  <c r="AW36" i="9"/>
  <c r="AV36" i="9"/>
  <c r="AU36" i="9"/>
  <c r="AX35" i="9"/>
  <c r="AW35" i="9"/>
  <c r="AV35" i="9"/>
  <c r="AU35" i="9"/>
  <c r="AX34" i="9"/>
  <c r="AW34" i="9"/>
  <c r="AV34" i="9"/>
  <c r="AU34" i="9"/>
  <c r="AX33" i="9"/>
  <c r="AW33" i="9"/>
  <c r="AV33" i="9"/>
  <c r="AU33" i="9"/>
  <c r="AX32" i="9"/>
  <c r="AW32" i="9"/>
  <c r="AV32" i="9"/>
  <c r="AU32" i="9"/>
  <c r="AX31" i="9"/>
  <c r="AW31" i="9"/>
  <c r="AV31" i="9"/>
  <c r="AU31" i="9"/>
  <c r="AX30" i="9"/>
  <c r="AW30" i="9"/>
  <c r="AV30" i="9"/>
  <c r="AU30" i="9"/>
  <c r="AX29" i="9"/>
  <c r="AW29" i="9"/>
  <c r="AV29" i="9"/>
  <c r="AU29" i="9"/>
  <c r="AX28" i="9"/>
  <c r="AW28" i="9"/>
  <c r="AV28" i="9"/>
  <c r="AU28" i="9"/>
  <c r="AX27" i="9"/>
  <c r="AW27" i="9"/>
  <c r="AV27" i="9"/>
  <c r="AU27" i="9"/>
  <c r="AX26" i="9"/>
  <c r="AW26" i="9"/>
  <c r="AV26" i="9"/>
  <c r="AU26" i="9"/>
  <c r="AX25" i="9"/>
  <c r="AW25" i="9"/>
  <c r="AV25" i="9"/>
  <c r="AU25" i="9"/>
  <c r="AX24" i="9"/>
  <c r="AW24" i="9"/>
  <c r="AV24" i="9"/>
  <c r="AU24" i="9"/>
  <c r="AX23" i="9"/>
  <c r="AW23" i="9"/>
  <c r="AV23" i="9"/>
  <c r="AU23" i="9"/>
  <c r="AX22" i="9"/>
  <c r="AW22" i="9"/>
  <c r="AV22" i="9"/>
  <c r="AU22" i="9"/>
  <c r="AX21" i="9"/>
  <c r="AW21" i="9"/>
  <c r="AV21" i="9"/>
  <c r="AU21" i="9"/>
  <c r="AX20" i="9"/>
  <c r="AW20" i="9"/>
  <c r="AV20" i="9"/>
  <c r="AU20" i="9"/>
  <c r="AX19" i="9"/>
  <c r="AW19" i="9"/>
  <c r="AV19" i="9"/>
  <c r="AU19" i="9"/>
  <c r="AX18" i="9"/>
  <c r="AW18" i="9"/>
  <c r="AV18" i="9"/>
  <c r="AU18" i="9"/>
  <c r="AX17" i="9"/>
  <c r="AW17" i="9"/>
  <c r="AV17" i="9"/>
  <c r="AU17" i="9"/>
  <c r="AX16" i="9"/>
  <c r="AW16" i="9"/>
  <c r="AV16" i="9"/>
  <c r="AU16" i="9"/>
  <c r="AX15" i="9"/>
  <c r="AW15" i="9"/>
  <c r="AV15" i="9"/>
  <c r="AU15" i="9"/>
  <c r="AX14" i="9"/>
  <c r="AW14" i="9"/>
  <c r="AV14" i="9"/>
  <c r="AU14" i="9"/>
  <c r="AX13" i="9"/>
  <c r="AW13" i="9"/>
  <c r="AV13" i="9"/>
  <c r="AU13" i="9"/>
  <c r="AX12" i="9"/>
  <c r="AW12" i="9"/>
  <c r="AV12" i="9"/>
  <c r="AU12" i="9"/>
  <c r="AX11" i="9"/>
  <c r="AW11" i="9"/>
  <c r="AV11" i="9"/>
  <c r="AU11" i="9"/>
  <c r="AX10" i="9"/>
  <c r="AW10" i="9"/>
  <c r="AV10" i="9"/>
  <c r="AU10" i="9"/>
  <c r="AX9" i="9"/>
  <c r="AW9" i="9"/>
  <c r="AV9" i="9"/>
  <c r="AU9" i="9"/>
  <c r="AX8" i="9"/>
  <c r="AW8" i="9"/>
  <c r="AV8" i="9"/>
  <c r="AU8" i="9"/>
  <c r="AX7" i="9"/>
  <c r="AW7" i="9"/>
  <c r="AV7" i="9"/>
  <c r="AU7" i="9"/>
  <c r="AX6" i="9"/>
  <c r="AW6" i="9"/>
  <c r="AV6" i="9"/>
  <c r="AU6" i="9"/>
  <c r="AX5" i="9"/>
  <c r="AW5" i="9"/>
  <c r="AV5" i="9"/>
  <c r="AU5" i="9"/>
  <c r="AX4" i="9"/>
  <c r="AW4" i="9"/>
  <c r="AV4" i="9"/>
  <c r="AU4" i="9"/>
  <c r="AX3" i="9"/>
  <c r="AW3" i="9"/>
  <c r="AV3" i="9"/>
  <c r="AU3" i="9"/>
  <c r="AS38" i="9"/>
  <c r="AR38" i="9"/>
  <c r="AQ38" i="9"/>
  <c r="AP38" i="9"/>
  <c r="AS37" i="9"/>
  <c r="AR37" i="9"/>
  <c r="AQ37" i="9"/>
  <c r="AP37" i="9"/>
  <c r="AS36" i="9"/>
  <c r="AR36" i="9"/>
  <c r="AQ36" i="9"/>
  <c r="AP36" i="9"/>
  <c r="AS35" i="9"/>
  <c r="AR35" i="9"/>
  <c r="AQ35" i="9"/>
  <c r="AP35" i="9"/>
  <c r="AS34" i="9"/>
  <c r="AR34" i="9"/>
  <c r="AQ34" i="9"/>
  <c r="AP34" i="9"/>
  <c r="AS33" i="9"/>
  <c r="AR33" i="9"/>
  <c r="AQ33" i="9"/>
  <c r="AP33" i="9"/>
  <c r="AS32" i="9"/>
  <c r="AR32" i="9"/>
  <c r="AQ32" i="9"/>
  <c r="AP32" i="9"/>
  <c r="AS31" i="9"/>
  <c r="AR31" i="9"/>
  <c r="AQ31" i="9"/>
  <c r="AP31" i="9"/>
  <c r="AS30" i="9"/>
  <c r="AR30" i="9"/>
  <c r="AQ30" i="9"/>
  <c r="AP30" i="9"/>
  <c r="AS29" i="9"/>
  <c r="AR29" i="9"/>
  <c r="AQ29" i="9"/>
  <c r="AP29" i="9"/>
  <c r="AS28" i="9"/>
  <c r="AR28" i="9"/>
  <c r="AQ28" i="9"/>
  <c r="AP28" i="9"/>
  <c r="AS27" i="9"/>
  <c r="AR27" i="9"/>
  <c r="AQ27" i="9"/>
  <c r="AP27" i="9"/>
  <c r="AS26" i="9"/>
  <c r="AR26" i="9"/>
  <c r="AQ26" i="9"/>
  <c r="AP26" i="9"/>
  <c r="AS25" i="9"/>
  <c r="AR25" i="9"/>
  <c r="AQ25" i="9"/>
  <c r="AP25" i="9"/>
  <c r="AS24" i="9"/>
  <c r="AR24" i="9"/>
  <c r="AQ24" i="9"/>
  <c r="AP24" i="9"/>
  <c r="AS23" i="9"/>
  <c r="AR23" i="9"/>
  <c r="AQ23" i="9"/>
  <c r="AP23" i="9"/>
  <c r="AS22" i="9"/>
  <c r="AR22" i="9"/>
  <c r="AQ22" i="9"/>
  <c r="AP22" i="9"/>
  <c r="AS21" i="9"/>
  <c r="AR21" i="9"/>
  <c r="AQ21" i="9"/>
  <c r="AP21" i="9"/>
  <c r="AS20" i="9"/>
  <c r="AR20" i="9"/>
  <c r="AQ20" i="9"/>
  <c r="AP20" i="9"/>
  <c r="AS19" i="9"/>
  <c r="AR19" i="9"/>
  <c r="AQ19" i="9"/>
  <c r="AP19" i="9"/>
  <c r="AS18" i="9"/>
  <c r="AR18" i="9"/>
  <c r="AQ18" i="9"/>
  <c r="AP18" i="9"/>
  <c r="AS17" i="9"/>
  <c r="AR17" i="9"/>
  <c r="AQ17" i="9"/>
  <c r="AP17" i="9"/>
  <c r="AS16" i="9"/>
  <c r="AR16" i="9"/>
  <c r="AQ16" i="9"/>
  <c r="AP16" i="9"/>
  <c r="AS15" i="9"/>
  <c r="AR15" i="9"/>
  <c r="AQ15" i="9"/>
  <c r="AP15" i="9"/>
  <c r="AS14" i="9"/>
  <c r="AR14" i="9"/>
  <c r="AQ14" i="9"/>
  <c r="AP14" i="9"/>
  <c r="AS13" i="9"/>
  <c r="AR13" i="9"/>
  <c r="AQ13" i="9"/>
  <c r="AP13" i="9"/>
  <c r="AS12" i="9"/>
  <c r="AR12" i="9"/>
  <c r="AQ12" i="9"/>
  <c r="AP12" i="9"/>
  <c r="AS11" i="9"/>
  <c r="AR11" i="9"/>
  <c r="AQ11" i="9"/>
  <c r="AP11" i="9"/>
  <c r="AS10" i="9"/>
  <c r="AR10" i="9"/>
  <c r="AQ10" i="9"/>
  <c r="AP10" i="9"/>
  <c r="AS9" i="9"/>
  <c r="AR9" i="9"/>
  <c r="AQ9" i="9"/>
  <c r="AP9" i="9"/>
  <c r="AS8" i="9"/>
  <c r="AR8" i="9"/>
  <c r="AQ8" i="9"/>
  <c r="AP8" i="9"/>
  <c r="AS7" i="9"/>
  <c r="AR7" i="9"/>
  <c r="AQ7" i="9"/>
  <c r="AP7" i="9"/>
  <c r="AS6" i="9"/>
  <c r="AR6" i="9"/>
  <c r="AQ6" i="9"/>
  <c r="AP6" i="9"/>
  <c r="AS5" i="9"/>
  <c r="AR5" i="9"/>
  <c r="AQ5" i="9"/>
  <c r="AP5" i="9"/>
  <c r="AS4" i="9"/>
  <c r="AR4" i="9"/>
  <c r="AQ4" i="9"/>
  <c r="AP4" i="9"/>
  <c r="AS3" i="9"/>
  <c r="AR3" i="9"/>
  <c r="AQ3" i="9"/>
  <c r="AP3" i="9"/>
  <c r="AN38" i="9"/>
  <c r="AM38" i="9"/>
  <c r="AL38" i="9"/>
  <c r="AK38" i="9"/>
  <c r="AN37" i="9"/>
  <c r="AM37" i="9"/>
  <c r="AL37" i="9"/>
  <c r="AK37" i="9"/>
  <c r="AN36" i="9"/>
  <c r="AM36" i="9"/>
  <c r="AL36" i="9"/>
  <c r="AK36" i="9"/>
  <c r="AN35" i="9"/>
  <c r="AM35" i="9"/>
  <c r="AL35" i="9"/>
  <c r="AK35" i="9"/>
  <c r="AN34" i="9"/>
  <c r="AM34" i="9"/>
  <c r="AL34" i="9"/>
  <c r="AK34" i="9"/>
  <c r="AN33" i="9"/>
  <c r="AM33" i="9"/>
  <c r="AL33" i="9"/>
  <c r="AK33" i="9"/>
  <c r="AN32" i="9"/>
  <c r="AM32" i="9"/>
  <c r="AL32" i="9"/>
  <c r="AK32" i="9"/>
  <c r="AN31" i="9"/>
  <c r="AM31" i="9"/>
  <c r="AL31" i="9"/>
  <c r="AK31" i="9"/>
  <c r="AN30" i="9"/>
  <c r="AM30" i="9"/>
  <c r="AL30" i="9"/>
  <c r="AK30" i="9"/>
  <c r="AN29" i="9"/>
  <c r="AM29" i="9"/>
  <c r="AL29" i="9"/>
  <c r="AK29" i="9"/>
  <c r="AN28" i="9"/>
  <c r="AM28" i="9"/>
  <c r="AL28" i="9"/>
  <c r="AK28" i="9"/>
  <c r="AN27" i="9"/>
  <c r="AM27" i="9"/>
  <c r="AL27" i="9"/>
  <c r="AK27" i="9"/>
  <c r="AN26" i="9"/>
  <c r="AM26" i="9"/>
  <c r="AL26" i="9"/>
  <c r="AK26" i="9"/>
  <c r="AN25" i="9"/>
  <c r="AM25" i="9"/>
  <c r="AL25" i="9"/>
  <c r="AK25" i="9"/>
  <c r="AN24" i="9"/>
  <c r="AM24" i="9"/>
  <c r="AL24" i="9"/>
  <c r="AK24" i="9"/>
  <c r="AN23" i="9"/>
  <c r="AM23" i="9"/>
  <c r="AL23" i="9"/>
  <c r="AK23" i="9"/>
  <c r="AN22" i="9"/>
  <c r="AM22" i="9"/>
  <c r="AL22" i="9"/>
  <c r="AK22" i="9"/>
  <c r="AN21" i="9"/>
  <c r="AM21" i="9"/>
  <c r="AL21" i="9"/>
  <c r="AK21" i="9"/>
  <c r="AN20" i="9"/>
  <c r="AM20" i="9"/>
  <c r="AL20" i="9"/>
  <c r="AK20" i="9"/>
  <c r="AN19" i="9"/>
  <c r="AM19" i="9"/>
  <c r="AL19" i="9"/>
  <c r="AK19" i="9"/>
  <c r="AN18" i="9"/>
  <c r="AM18" i="9"/>
  <c r="AL18" i="9"/>
  <c r="AK18" i="9"/>
  <c r="AN17" i="9"/>
  <c r="AM17" i="9"/>
  <c r="AL17" i="9"/>
  <c r="AK17" i="9"/>
  <c r="AN16" i="9"/>
  <c r="AM16" i="9"/>
  <c r="AL16" i="9"/>
  <c r="AK16" i="9"/>
  <c r="AN15" i="9"/>
  <c r="AM15" i="9"/>
  <c r="AL15" i="9"/>
  <c r="AK15" i="9"/>
  <c r="AN14" i="9"/>
  <c r="AM14" i="9"/>
  <c r="AL14" i="9"/>
  <c r="AK14" i="9"/>
  <c r="AN13" i="9"/>
  <c r="AM13" i="9"/>
  <c r="AL13" i="9"/>
  <c r="AK13" i="9"/>
  <c r="AN12" i="9"/>
  <c r="AM12" i="9"/>
  <c r="AL12" i="9"/>
  <c r="AK12" i="9"/>
  <c r="AN11" i="9"/>
  <c r="AM11" i="9"/>
  <c r="AL11" i="9"/>
  <c r="AK11" i="9"/>
  <c r="AN10" i="9"/>
  <c r="AM10" i="9"/>
  <c r="AL10" i="9"/>
  <c r="AK10" i="9"/>
  <c r="AN9" i="9"/>
  <c r="AM9" i="9"/>
  <c r="AL9" i="9"/>
  <c r="AK9" i="9"/>
  <c r="AN8" i="9"/>
  <c r="AM8" i="9"/>
  <c r="AL8" i="9"/>
  <c r="AK8" i="9"/>
  <c r="AN7" i="9"/>
  <c r="AM7" i="9"/>
  <c r="AL7" i="9"/>
  <c r="AK7" i="9"/>
  <c r="AN6" i="9"/>
  <c r="AM6" i="9"/>
  <c r="AL6" i="9"/>
  <c r="AK6" i="9"/>
  <c r="AN5" i="9"/>
  <c r="AM5" i="9"/>
  <c r="AL5" i="9"/>
  <c r="AK5" i="9"/>
  <c r="AN4" i="9"/>
  <c r="AM4" i="9"/>
  <c r="AL4" i="9"/>
  <c r="AK4" i="9"/>
  <c r="AN3" i="9"/>
  <c r="AM3" i="9"/>
  <c r="AL3" i="9"/>
  <c r="AK3" i="9"/>
  <c r="AI38" i="9"/>
  <c r="AH38" i="9"/>
  <c r="AG38" i="9"/>
  <c r="AF38" i="9"/>
  <c r="AI37" i="9"/>
  <c r="AH37" i="9"/>
  <c r="AG37" i="9"/>
  <c r="AF37" i="9"/>
  <c r="AI36" i="9"/>
  <c r="AH36" i="9"/>
  <c r="AG36" i="9"/>
  <c r="AF36" i="9"/>
  <c r="AI35" i="9"/>
  <c r="AH35" i="9"/>
  <c r="AG35" i="9"/>
  <c r="AF35" i="9"/>
  <c r="AI34" i="9"/>
  <c r="AH34" i="9"/>
  <c r="AG34" i="9"/>
  <c r="AF34" i="9"/>
  <c r="AI33" i="9"/>
  <c r="AH33" i="9"/>
  <c r="AG33" i="9"/>
  <c r="AF33" i="9"/>
  <c r="AI32" i="9"/>
  <c r="AH32" i="9"/>
  <c r="AG32" i="9"/>
  <c r="AF32" i="9"/>
  <c r="AI31" i="9"/>
  <c r="AH31" i="9"/>
  <c r="AG31" i="9"/>
  <c r="AF31" i="9"/>
  <c r="AI30" i="9"/>
  <c r="AH30" i="9"/>
  <c r="AG30" i="9"/>
  <c r="AF30" i="9"/>
  <c r="AI29" i="9"/>
  <c r="AH29" i="9"/>
  <c r="AG29" i="9"/>
  <c r="AF29" i="9"/>
  <c r="AI28" i="9"/>
  <c r="AH28" i="9"/>
  <c r="AG28" i="9"/>
  <c r="AF28" i="9"/>
  <c r="AI27" i="9"/>
  <c r="AH27" i="9"/>
  <c r="AG27" i="9"/>
  <c r="AF27" i="9"/>
  <c r="AI26" i="9"/>
  <c r="AH26" i="9"/>
  <c r="AG26" i="9"/>
  <c r="AF26" i="9"/>
  <c r="AI25" i="9"/>
  <c r="AH25" i="9"/>
  <c r="AG25" i="9"/>
  <c r="AF25" i="9"/>
  <c r="AI24" i="9"/>
  <c r="AH24" i="9"/>
  <c r="AG24" i="9"/>
  <c r="AF24" i="9"/>
  <c r="AI23" i="9"/>
  <c r="AH23" i="9"/>
  <c r="AG23" i="9"/>
  <c r="AF23" i="9"/>
  <c r="AI22" i="9"/>
  <c r="AH22" i="9"/>
  <c r="AG22" i="9"/>
  <c r="AF22" i="9"/>
  <c r="AI21" i="9"/>
  <c r="AH21" i="9"/>
  <c r="AG21" i="9"/>
  <c r="AF21" i="9"/>
  <c r="AI20" i="9"/>
  <c r="AH20" i="9"/>
  <c r="AG20" i="9"/>
  <c r="AF20" i="9"/>
  <c r="AI19" i="9"/>
  <c r="AH19" i="9"/>
  <c r="AG19" i="9"/>
  <c r="AF19" i="9"/>
  <c r="AI18" i="9"/>
  <c r="AH18" i="9"/>
  <c r="AG18" i="9"/>
  <c r="AF18" i="9"/>
  <c r="AI17" i="9"/>
  <c r="AH17" i="9"/>
  <c r="AG17" i="9"/>
  <c r="AF17" i="9"/>
  <c r="AI16" i="9"/>
  <c r="AH16" i="9"/>
  <c r="AG16" i="9"/>
  <c r="AF16" i="9"/>
  <c r="AI15" i="9"/>
  <c r="AH15" i="9"/>
  <c r="AG15" i="9"/>
  <c r="AF15" i="9"/>
  <c r="AI14" i="9"/>
  <c r="AH14" i="9"/>
  <c r="AG14" i="9"/>
  <c r="AF14" i="9"/>
  <c r="AI13" i="9"/>
  <c r="AH13" i="9"/>
  <c r="AG13" i="9"/>
  <c r="AF13" i="9"/>
  <c r="AI12" i="9"/>
  <c r="AH12" i="9"/>
  <c r="AG12" i="9"/>
  <c r="AF12" i="9"/>
  <c r="AI11" i="9"/>
  <c r="AH11" i="9"/>
  <c r="AG11" i="9"/>
  <c r="AF11" i="9"/>
  <c r="AI10" i="9"/>
  <c r="AH10" i="9"/>
  <c r="AG10" i="9"/>
  <c r="AF10" i="9"/>
  <c r="AI9" i="9"/>
  <c r="AH9" i="9"/>
  <c r="AG9" i="9"/>
  <c r="AF9" i="9"/>
  <c r="AI8" i="9"/>
  <c r="AH8" i="9"/>
  <c r="AG8" i="9"/>
  <c r="AF8" i="9"/>
  <c r="AI7" i="9"/>
  <c r="AH7" i="9"/>
  <c r="AG7" i="9"/>
  <c r="AF7" i="9"/>
  <c r="AI6" i="9"/>
  <c r="AH6" i="9"/>
  <c r="AG6" i="9"/>
  <c r="AF6" i="9"/>
  <c r="AI5" i="9"/>
  <c r="AH5" i="9"/>
  <c r="AG5" i="9"/>
  <c r="AF5" i="9"/>
  <c r="AI4" i="9"/>
  <c r="AH4" i="9"/>
  <c r="AG4" i="9"/>
  <c r="AF4" i="9"/>
  <c r="AI3" i="9"/>
  <c r="AH3" i="9"/>
  <c r="AG3" i="9"/>
  <c r="AF3" i="9"/>
  <c r="AD38" i="11"/>
  <c r="AC38" i="11"/>
  <c r="AB38" i="11"/>
  <c r="AA38" i="11"/>
  <c r="AD37" i="11"/>
  <c r="AC37" i="11"/>
  <c r="AB37" i="11"/>
  <c r="AA37" i="11"/>
  <c r="AD36" i="11"/>
  <c r="AC36" i="11"/>
  <c r="AB36" i="11"/>
  <c r="AA36" i="11"/>
  <c r="AD35" i="11"/>
  <c r="AC35" i="11"/>
  <c r="AB35" i="11"/>
  <c r="AA35" i="11"/>
  <c r="AD34" i="11"/>
  <c r="AC34" i="11"/>
  <c r="AB34" i="11"/>
  <c r="AA34" i="11"/>
  <c r="AD33" i="11"/>
  <c r="AC33" i="11"/>
  <c r="AB33" i="11"/>
  <c r="AA33" i="11"/>
  <c r="AD32" i="11"/>
  <c r="AC32" i="11"/>
  <c r="AB32" i="11"/>
  <c r="AA32" i="11"/>
  <c r="AD31" i="11"/>
  <c r="AC31" i="11"/>
  <c r="AB31" i="11"/>
  <c r="AA31" i="11"/>
  <c r="AD30" i="11"/>
  <c r="AC30" i="11"/>
  <c r="AB30" i="11"/>
  <c r="AA30" i="11"/>
  <c r="AD29" i="11"/>
  <c r="AC29" i="11"/>
  <c r="AB29" i="11"/>
  <c r="AA29" i="11"/>
  <c r="AD28" i="11"/>
  <c r="AC28" i="11"/>
  <c r="AB28" i="11"/>
  <c r="AA28" i="11"/>
  <c r="AD27" i="11"/>
  <c r="AC27" i="11"/>
  <c r="AB27" i="11"/>
  <c r="AA27" i="11"/>
  <c r="AD26" i="11"/>
  <c r="AC26" i="11"/>
  <c r="AB26" i="11"/>
  <c r="AA26" i="11"/>
  <c r="AD25" i="11"/>
  <c r="AC25" i="11"/>
  <c r="AB25" i="11"/>
  <c r="AA25" i="11"/>
  <c r="AC24" i="11"/>
  <c r="AB24" i="11"/>
  <c r="AA24" i="11"/>
  <c r="AD23" i="11"/>
  <c r="AC23" i="11"/>
  <c r="AB23" i="11"/>
  <c r="AA23" i="11"/>
  <c r="AD22" i="11"/>
  <c r="AC22" i="11"/>
  <c r="AB22" i="11"/>
  <c r="AA22" i="11"/>
  <c r="AD21" i="11"/>
  <c r="AC21" i="11"/>
  <c r="AB21" i="11"/>
  <c r="AA21" i="11"/>
  <c r="AD20" i="11"/>
  <c r="AC20" i="11"/>
  <c r="AB20" i="11"/>
  <c r="AA20" i="11"/>
  <c r="AD19" i="11"/>
  <c r="AC19" i="11"/>
  <c r="AB19" i="11"/>
  <c r="AA19" i="11"/>
  <c r="AD18" i="11"/>
  <c r="AC18" i="11"/>
  <c r="AB18" i="11"/>
  <c r="AA18" i="11"/>
  <c r="AD17" i="11"/>
  <c r="AC17" i="11"/>
  <c r="AB17" i="11"/>
  <c r="AA17" i="11"/>
  <c r="AD16" i="11"/>
  <c r="AC16" i="11"/>
  <c r="AB16" i="11"/>
  <c r="AA16" i="11"/>
  <c r="AD15" i="11"/>
  <c r="AC15" i="11"/>
  <c r="AB15" i="11"/>
  <c r="AA15" i="11"/>
  <c r="AD14" i="11"/>
  <c r="AC14" i="11"/>
  <c r="AB14" i="11"/>
  <c r="AA14" i="11"/>
  <c r="AD13" i="11"/>
  <c r="AC13" i="11"/>
  <c r="AB13" i="11"/>
  <c r="AA13" i="11"/>
  <c r="AD12" i="11"/>
  <c r="AC12" i="11"/>
  <c r="AB12" i="11"/>
  <c r="AA12" i="11"/>
  <c r="AD11" i="11"/>
  <c r="AC11" i="11"/>
  <c r="AB11" i="11"/>
  <c r="AA11" i="11"/>
  <c r="AD10" i="11"/>
  <c r="AC10" i="11"/>
  <c r="AB10" i="11"/>
  <c r="AA10" i="11"/>
  <c r="AD9" i="11"/>
  <c r="AC9" i="11"/>
  <c r="AB9" i="11"/>
  <c r="AA9" i="11"/>
  <c r="AD8" i="11"/>
  <c r="AC8" i="11"/>
  <c r="AB8" i="11"/>
  <c r="AA8" i="11"/>
  <c r="AD7" i="11"/>
  <c r="AC7" i="11"/>
  <c r="AB7" i="11"/>
  <c r="AA7" i="11"/>
  <c r="AD6" i="11"/>
  <c r="AC6" i="11"/>
  <c r="AB6" i="11"/>
  <c r="AA6" i="11"/>
  <c r="AD5" i="11"/>
  <c r="AC5" i="11"/>
  <c r="AB5" i="11"/>
  <c r="AA5" i="11"/>
  <c r="AD4" i="11"/>
  <c r="AC4" i="11"/>
  <c r="AB4" i="11"/>
  <c r="AA4" i="11"/>
  <c r="AD3" i="11"/>
  <c r="AC3" i="11"/>
  <c r="AB3" i="11"/>
  <c r="AA3" i="11"/>
  <c r="AD38" i="9"/>
  <c r="AC38" i="9"/>
  <c r="AB38" i="9"/>
  <c r="AD37" i="9"/>
  <c r="AC37" i="9"/>
  <c r="AB37" i="9"/>
  <c r="AD36" i="9"/>
  <c r="AC36" i="9"/>
  <c r="AB36" i="9"/>
  <c r="AD35" i="9"/>
  <c r="AC35" i="9"/>
  <c r="AB35" i="9"/>
  <c r="AD34" i="9"/>
  <c r="AC34" i="9"/>
  <c r="AB34" i="9"/>
  <c r="AD33" i="9"/>
  <c r="AC33" i="9"/>
  <c r="AB33" i="9"/>
  <c r="AD32" i="9"/>
  <c r="AC32" i="9"/>
  <c r="AB32" i="9"/>
  <c r="AD31" i="9"/>
  <c r="AC31" i="9"/>
  <c r="AB31" i="9"/>
  <c r="AD30" i="9"/>
  <c r="AC30" i="9"/>
  <c r="AB30" i="9"/>
  <c r="AD29" i="9"/>
  <c r="AC29" i="9"/>
  <c r="AB29" i="9"/>
  <c r="AD28" i="9"/>
  <c r="AC28" i="9"/>
  <c r="AB28" i="9"/>
  <c r="AD27" i="9"/>
  <c r="AC27" i="9"/>
  <c r="AB27" i="9"/>
  <c r="AD26" i="9"/>
  <c r="AC26" i="9"/>
  <c r="AB26" i="9"/>
  <c r="AD25" i="9"/>
  <c r="AC25" i="9"/>
  <c r="AB25" i="9"/>
  <c r="AD24" i="9"/>
  <c r="AC24" i="9"/>
  <c r="AB24" i="9"/>
  <c r="AD23" i="9"/>
  <c r="AC23" i="9"/>
  <c r="AB23" i="9"/>
  <c r="AD22" i="9"/>
  <c r="AC22" i="9"/>
  <c r="AB22" i="9"/>
  <c r="AD21" i="9"/>
  <c r="AC21" i="9"/>
  <c r="AB21" i="9"/>
  <c r="AD20" i="9"/>
  <c r="AC20" i="9"/>
  <c r="AB20" i="9"/>
  <c r="AD19" i="9"/>
  <c r="AC19" i="9"/>
  <c r="AB19" i="9"/>
  <c r="AD18" i="9"/>
  <c r="AC18" i="9"/>
  <c r="AB18" i="9"/>
  <c r="AD17" i="9"/>
  <c r="AC17" i="9"/>
  <c r="AB17" i="9"/>
  <c r="AD16" i="9"/>
  <c r="AC16" i="9"/>
  <c r="AB16" i="9"/>
  <c r="AD15" i="9"/>
  <c r="AC15" i="9"/>
  <c r="AB15" i="9"/>
  <c r="AD14" i="9"/>
  <c r="AC14" i="9"/>
  <c r="AB14" i="9"/>
  <c r="AD13" i="9"/>
  <c r="AC13" i="9"/>
  <c r="AB13" i="9"/>
  <c r="AD12" i="9"/>
  <c r="AC12" i="9"/>
  <c r="AB12" i="9"/>
  <c r="AD11" i="9"/>
  <c r="AC11" i="9"/>
  <c r="AB11" i="9"/>
  <c r="AD10" i="9"/>
  <c r="AC10" i="9"/>
  <c r="AB10" i="9"/>
  <c r="AD9" i="9"/>
  <c r="AC9" i="9"/>
  <c r="AB9" i="9"/>
  <c r="AD8" i="9"/>
  <c r="AC8" i="9"/>
  <c r="AB8" i="9"/>
  <c r="AD7" i="9"/>
  <c r="AC7" i="9"/>
  <c r="AB7" i="9"/>
  <c r="AD6" i="9"/>
  <c r="AC6" i="9"/>
  <c r="AB6" i="9"/>
  <c r="AD5" i="9"/>
  <c r="AC5" i="9"/>
  <c r="AB5" i="9"/>
  <c r="AD4" i="9"/>
  <c r="AC4" i="9"/>
  <c r="AB4" i="9"/>
  <c r="AD3" i="9"/>
  <c r="AC3" i="9"/>
  <c r="AB3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25" i="9"/>
  <c r="AA24" i="9"/>
  <c r="AA23" i="9"/>
  <c r="AA22" i="9"/>
  <c r="AA21" i="9"/>
  <c r="AA20" i="9"/>
  <c r="AA19" i="9"/>
  <c r="AA18" i="9"/>
  <c r="AA17" i="9"/>
  <c r="AA16" i="9"/>
  <c r="AA15" i="9"/>
  <c r="AA14" i="9"/>
  <c r="AA13" i="9"/>
  <c r="AA12" i="9"/>
  <c r="AA11" i="9"/>
  <c r="AA10" i="9"/>
  <c r="AA9" i="9"/>
  <c r="AA8" i="9"/>
  <c r="AA7" i="9"/>
  <c r="AA6" i="9"/>
  <c r="AA5" i="9"/>
  <c r="AA4" i="9"/>
  <c r="AA3" i="9"/>
  <c r="J80" i="30" l="1"/>
  <c r="M61" i="30"/>
  <c r="M46" i="30"/>
  <c r="J64" i="30"/>
  <c r="K64" i="30" s="1"/>
  <c r="J56" i="30"/>
  <c r="J53" i="30"/>
  <c r="K53" i="30" s="1"/>
  <c r="AH40" i="9"/>
  <c r="AR40" i="9"/>
  <c r="J47" i="30"/>
  <c r="K47" i="30" s="1"/>
  <c r="J48" i="30"/>
  <c r="K48" i="30" s="1"/>
  <c r="AM40" i="9"/>
  <c r="J54" i="30"/>
  <c r="K54" i="30" s="1"/>
  <c r="J55" i="30"/>
  <c r="K55" i="30" s="1"/>
  <c r="J63" i="30"/>
  <c r="K63" i="30" s="1"/>
  <c r="J62" i="30"/>
  <c r="K62" i="30" s="1"/>
  <c r="AI40" i="11"/>
  <c r="AS40" i="11"/>
  <c r="AN40" i="11"/>
  <c r="AK40" i="11"/>
  <c r="AF40" i="11"/>
  <c r="AP40" i="11"/>
  <c r="AG40" i="11"/>
  <c r="AQ40" i="11"/>
  <c r="AH40" i="11"/>
  <c r="H55" i="30" s="1"/>
  <c r="I55" i="30" s="1"/>
  <c r="AL40" i="11"/>
  <c r="AR40" i="11"/>
  <c r="H71" i="30" s="1"/>
  <c r="I71" i="30" s="1"/>
  <c r="AM40" i="11"/>
  <c r="H63" i="30" s="1"/>
  <c r="I63" i="30" s="1"/>
  <c r="J79" i="30"/>
  <c r="K79" i="30" s="1"/>
  <c r="AW40" i="11"/>
  <c r="J78" i="30"/>
  <c r="K78" i="30" s="1"/>
  <c r="AX40" i="11"/>
  <c r="AF40" i="9"/>
  <c r="H53" i="30" s="1"/>
  <c r="I53" i="30" s="1"/>
  <c r="AP40" i="9"/>
  <c r="AK40" i="9"/>
  <c r="AU40" i="9"/>
  <c r="AU40" i="11"/>
  <c r="AW40" i="9"/>
  <c r="AV40" i="11"/>
  <c r="J77" i="30"/>
  <c r="K77" i="30" s="1"/>
  <c r="AA40" i="11"/>
  <c r="AA40" i="9"/>
  <c r="AG40" i="9"/>
  <c r="AQ40" i="9"/>
  <c r="AV40" i="9"/>
  <c r="AI40" i="9"/>
  <c r="AS40" i="9"/>
  <c r="K80" i="30"/>
  <c r="AB40" i="11"/>
  <c r="AC40" i="11"/>
  <c r="AB40" i="9"/>
  <c r="K45" i="30"/>
  <c r="AL40" i="9"/>
  <c r="AX40" i="9"/>
  <c r="AN40" i="9"/>
  <c r="AD40" i="11"/>
  <c r="AC40" i="9"/>
  <c r="AD40" i="9"/>
  <c r="K56" i="30"/>
  <c r="W2" i="2"/>
  <c r="Q4" i="2"/>
  <c r="Q6" i="2"/>
  <c r="Q7" i="2"/>
  <c r="Q9" i="2"/>
  <c r="Q10" i="2"/>
  <c r="Q11" i="2"/>
  <c r="Q14" i="2"/>
  <c r="Q15" i="2"/>
  <c r="Q17" i="2"/>
  <c r="Q18" i="2"/>
  <c r="Q20" i="2"/>
  <c r="Q22" i="2"/>
  <c r="Q23" i="2"/>
  <c r="Q25" i="2"/>
  <c r="Q26" i="2"/>
  <c r="Q27" i="2"/>
  <c r="Q30" i="2"/>
  <c r="Q31" i="2"/>
  <c r="Q33" i="2"/>
  <c r="Q34" i="2"/>
  <c r="Q36" i="2"/>
  <c r="Q38" i="2"/>
  <c r="Q5" i="2"/>
  <c r="Q8" i="2"/>
  <c r="Q12" i="2"/>
  <c r="Q13" i="2"/>
  <c r="Q16" i="2"/>
  <c r="Q19" i="2"/>
  <c r="Q21" i="2"/>
  <c r="Q24" i="2"/>
  <c r="Q28" i="2"/>
  <c r="Q29" i="2"/>
  <c r="Q32" i="2"/>
  <c r="Q35" i="2"/>
  <c r="Q37" i="2"/>
  <c r="Q2" i="2"/>
  <c r="Q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2" i="2"/>
  <c r="Y38" i="22"/>
  <c r="X38" i="22"/>
  <c r="W38" i="22"/>
  <c r="V38" i="22"/>
  <c r="T38" i="22"/>
  <c r="S38" i="22"/>
  <c r="R38" i="22"/>
  <c r="Q38" i="22"/>
  <c r="O38" i="22"/>
  <c r="N38" i="22"/>
  <c r="M38" i="22"/>
  <c r="L38" i="22"/>
  <c r="J38" i="22"/>
  <c r="I38" i="22"/>
  <c r="H38" i="22"/>
  <c r="G38" i="22"/>
  <c r="E38" i="22"/>
  <c r="D38" i="22"/>
  <c r="C38" i="22"/>
  <c r="B38" i="22"/>
  <c r="Y37" i="22"/>
  <c r="X37" i="22"/>
  <c r="W37" i="22"/>
  <c r="V37" i="22"/>
  <c r="T37" i="22"/>
  <c r="S37" i="22"/>
  <c r="R37" i="22"/>
  <c r="Q37" i="22"/>
  <c r="O37" i="22"/>
  <c r="N37" i="22"/>
  <c r="M37" i="22"/>
  <c r="L37" i="22"/>
  <c r="J37" i="22"/>
  <c r="I37" i="22"/>
  <c r="H37" i="22"/>
  <c r="G37" i="22"/>
  <c r="E37" i="22"/>
  <c r="D37" i="22"/>
  <c r="C37" i="22"/>
  <c r="B37" i="22"/>
  <c r="Y36" i="22"/>
  <c r="X36" i="22"/>
  <c r="W36" i="22"/>
  <c r="V36" i="22"/>
  <c r="T36" i="22"/>
  <c r="S36" i="22"/>
  <c r="R36" i="22"/>
  <c r="Q36" i="22"/>
  <c r="O36" i="22"/>
  <c r="N36" i="22"/>
  <c r="M36" i="22"/>
  <c r="L36" i="22"/>
  <c r="J36" i="22"/>
  <c r="I36" i="22"/>
  <c r="H36" i="22"/>
  <c r="G36" i="22"/>
  <c r="E36" i="22"/>
  <c r="D36" i="22"/>
  <c r="C36" i="22"/>
  <c r="B36" i="22"/>
  <c r="Y35" i="22"/>
  <c r="X35" i="22"/>
  <c r="W35" i="22"/>
  <c r="V35" i="22"/>
  <c r="T35" i="22"/>
  <c r="S35" i="22"/>
  <c r="R35" i="22"/>
  <c r="Q35" i="22"/>
  <c r="O35" i="22"/>
  <c r="N35" i="22"/>
  <c r="M35" i="22"/>
  <c r="L35" i="22"/>
  <c r="J35" i="22"/>
  <c r="I35" i="22"/>
  <c r="H35" i="22"/>
  <c r="G35" i="22"/>
  <c r="E35" i="22"/>
  <c r="D35" i="22"/>
  <c r="C35" i="22"/>
  <c r="B35" i="22"/>
  <c r="Y34" i="22"/>
  <c r="X34" i="22"/>
  <c r="W34" i="22"/>
  <c r="V34" i="22"/>
  <c r="T34" i="22"/>
  <c r="S34" i="22"/>
  <c r="R34" i="22"/>
  <c r="Q34" i="22"/>
  <c r="O34" i="22"/>
  <c r="N34" i="22"/>
  <c r="M34" i="22"/>
  <c r="L34" i="22"/>
  <c r="J34" i="22"/>
  <c r="I34" i="22"/>
  <c r="H34" i="22"/>
  <c r="G34" i="22"/>
  <c r="E34" i="22"/>
  <c r="D34" i="22"/>
  <c r="C34" i="22"/>
  <c r="B34" i="22"/>
  <c r="Y33" i="22"/>
  <c r="X33" i="22"/>
  <c r="W33" i="22"/>
  <c r="V33" i="22"/>
  <c r="T33" i="22"/>
  <c r="S33" i="22"/>
  <c r="R33" i="22"/>
  <c r="Q33" i="22"/>
  <c r="O33" i="22"/>
  <c r="N33" i="22"/>
  <c r="M33" i="22"/>
  <c r="L33" i="22"/>
  <c r="J33" i="22"/>
  <c r="I33" i="22"/>
  <c r="H33" i="22"/>
  <c r="G33" i="22"/>
  <c r="E33" i="22"/>
  <c r="D33" i="22"/>
  <c r="C33" i="22"/>
  <c r="B33" i="22"/>
  <c r="Y32" i="22"/>
  <c r="X32" i="22"/>
  <c r="W32" i="22"/>
  <c r="V32" i="22"/>
  <c r="T32" i="22"/>
  <c r="S32" i="22"/>
  <c r="R32" i="22"/>
  <c r="Q32" i="22"/>
  <c r="O32" i="22"/>
  <c r="N32" i="22"/>
  <c r="M32" i="22"/>
  <c r="L32" i="22"/>
  <c r="J32" i="22"/>
  <c r="I32" i="22"/>
  <c r="H32" i="22"/>
  <c r="G32" i="22"/>
  <c r="E32" i="22"/>
  <c r="D32" i="22"/>
  <c r="C32" i="22"/>
  <c r="B32" i="22"/>
  <c r="Y31" i="22"/>
  <c r="X31" i="22"/>
  <c r="W31" i="22"/>
  <c r="V31" i="22"/>
  <c r="T31" i="22"/>
  <c r="S31" i="22"/>
  <c r="R31" i="22"/>
  <c r="Q31" i="22"/>
  <c r="O31" i="22"/>
  <c r="N31" i="22"/>
  <c r="M31" i="22"/>
  <c r="L31" i="22"/>
  <c r="J31" i="22"/>
  <c r="I31" i="22"/>
  <c r="H31" i="22"/>
  <c r="G31" i="22"/>
  <c r="E31" i="22"/>
  <c r="D31" i="22"/>
  <c r="C31" i="22"/>
  <c r="B31" i="22"/>
  <c r="Y30" i="22"/>
  <c r="X30" i="22"/>
  <c r="W30" i="22"/>
  <c r="V30" i="22"/>
  <c r="T30" i="22"/>
  <c r="S30" i="22"/>
  <c r="R30" i="22"/>
  <c r="Q30" i="22"/>
  <c r="O30" i="22"/>
  <c r="N30" i="22"/>
  <c r="M30" i="22"/>
  <c r="L30" i="22"/>
  <c r="J30" i="22"/>
  <c r="I30" i="22"/>
  <c r="H30" i="22"/>
  <c r="G30" i="22"/>
  <c r="E30" i="22"/>
  <c r="D30" i="22"/>
  <c r="C30" i="22"/>
  <c r="B30" i="22"/>
  <c r="Y29" i="22"/>
  <c r="X29" i="22"/>
  <c r="W29" i="22"/>
  <c r="V29" i="22"/>
  <c r="T29" i="22"/>
  <c r="S29" i="22"/>
  <c r="R29" i="22"/>
  <c r="Q29" i="22"/>
  <c r="O29" i="22"/>
  <c r="N29" i="22"/>
  <c r="M29" i="22"/>
  <c r="L29" i="22"/>
  <c r="J29" i="22"/>
  <c r="I29" i="22"/>
  <c r="H29" i="22"/>
  <c r="G29" i="22"/>
  <c r="E29" i="22"/>
  <c r="D29" i="22"/>
  <c r="C29" i="22"/>
  <c r="B29" i="22"/>
  <c r="Y28" i="22"/>
  <c r="X28" i="22"/>
  <c r="W28" i="22"/>
  <c r="V28" i="22"/>
  <c r="T28" i="22"/>
  <c r="S28" i="22"/>
  <c r="R28" i="22"/>
  <c r="Q28" i="22"/>
  <c r="O28" i="22"/>
  <c r="N28" i="22"/>
  <c r="M28" i="22"/>
  <c r="L28" i="22"/>
  <c r="J28" i="22"/>
  <c r="I28" i="22"/>
  <c r="H28" i="22"/>
  <c r="G28" i="22"/>
  <c r="E28" i="22"/>
  <c r="D28" i="22"/>
  <c r="C28" i="22"/>
  <c r="B28" i="22"/>
  <c r="Y27" i="22"/>
  <c r="X27" i="22"/>
  <c r="W27" i="22"/>
  <c r="V27" i="22"/>
  <c r="T27" i="22"/>
  <c r="S27" i="22"/>
  <c r="R27" i="22"/>
  <c r="Q27" i="22"/>
  <c r="O27" i="22"/>
  <c r="N27" i="22"/>
  <c r="M27" i="22"/>
  <c r="L27" i="22"/>
  <c r="J27" i="22"/>
  <c r="I27" i="22"/>
  <c r="H27" i="22"/>
  <c r="G27" i="22"/>
  <c r="E27" i="22"/>
  <c r="D27" i="22"/>
  <c r="C27" i="22"/>
  <c r="B27" i="22"/>
  <c r="Y26" i="22"/>
  <c r="X26" i="22"/>
  <c r="W26" i="22"/>
  <c r="V26" i="22"/>
  <c r="T26" i="22"/>
  <c r="S26" i="22"/>
  <c r="R26" i="22"/>
  <c r="Q26" i="22"/>
  <c r="O26" i="22"/>
  <c r="N26" i="22"/>
  <c r="M26" i="22"/>
  <c r="L26" i="22"/>
  <c r="J26" i="22"/>
  <c r="I26" i="22"/>
  <c r="H26" i="22"/>
  <c r="G26" i="22"/>
  <c r="E26" i="22"/>
  <c r="D26" i="22"/>
  <c r="C26" i="22"/>
  <c r="B26" i="22"/>
  <c r="Y25" i="22"/>
  <c r="X25" i="22"/>
  <c r="W25" i="22"/>
  <c r="V25" i="22"/>
  <c r="T25" i="22"/>
  <c r="S25" i="22"/>
  <c r="R25" i="22"/>
  <c r="Q25" i="22"/>
  <c r="O25" i="22"/>
  <c r="N25" i="22"/>
  <c r="M25" i="22"/>
  <c r="L25" i="22"/>
  <c r="J25" i="22"/>
  <c r="I25" i="22"/>
  <c r="H25" i="22"/>
  <c r="G25" i="22"/>
  <c r="E25" i="22"/>
  <c r="D25" i="22"/>
  <c r="C25" i="22"/>
  <c r="B25" i="22"/>
  <c r="Y24" i="22"/>
  <c r="X24" i="22"/>
  <c r="W24" i="22"/>
  <c r="V24" i="22"/>
  <c r="T24" i="22"/>
  <c r="S24" i="22"/>
  <c r="R24" i="22"/>
  <c r="Q24" i="22"/>
  <c r="O24" i="22"/>
  <c r="N24" i="22"/>
  <c r="M24" i="22"/>
  <c r="L24" i="22"/>
  <c r="J24" i="22"/>
  <c r="I24" i="22"/>
  <c r="H24" i="22"/>
  <c r="G24" i="22"/>
  <c r="E24" i="22"/>
  <c r="D24" i="22"/>
  <c r="C24" i="22"/>
  <c r="B24" i="22"/>
  <c r="Y23" i="22"/>
  <c r="X23" i="22"/>
  <c r="W23" i="22"/>
  <c r="V23" i="22"/>
  <c r="T23" i="22"/>
  <c r="S23" i="22"/>
  <c r="R23" i="22"/>
  <c r="Q23" i="22"/>
  <c r="O23" i="22"/>
  <c r="N23" i="22"/>
  <c r="M23" i="22"/>
  <c r="L23" i="22"/>
  <c r="J23" i="22"/>
  <c r="I23" i="22"/>
  <c r="H23" i="22"/>
  <c r="G23" i="22"/>
  <c r="E23" i="22"/>
  <c r="D23" i="22"/>
  <c r="C23" i="22"/>
  <c r="B23" i="22"/>
  <c r="Y22" i="22"/>
  <c r="X22" i="22"/>
  <c r="W22" i="22"/>
  <c r="V22" i="22"/>
  <c r="T22" i="22"/>
  <c r="S22" i="22"/>
  <c r="R22" i="22"/>
  <c r="Q22" i="22"/>
  <c r="O22" i="22"/>
  <c r="N22" i="22"/>
  <c r="M22" i="22"/>
  <c r="L22" i="22"/>
  <c r="J22" i="22"/>
  <c r="I22" i="22"/>
  <c r="H22" i="22"/>
  <c r="G22" i="22"/>
  <c r="E22" i="22"/>
  <c r="D22" i="22"/>
  <c r="C22" i="22"/>
  <c r="B22" i="22"/>
  <c r="Y21" i="22"/>
  <c r="X21" i="22"/>
  <c r="W21" i="22"/>
  <c r="V21" i="22"/>
  <c r="T21" i="22"/>
  <c r="S21" i="22"/>
  <c r="R21" i="22"/>
  <c r="Q21" i="22"/>
  <c r="O21" i="22"/>
  <c r="N21" i="22"/>
  <c r="M21" i="22"/>
  <c r="L21" i="22"/>
  <c r="J21" i="22"/>
  <c r="I21" i="22"/>
  <c r="H21" i="22"/>
  <c r="G21" i="22"/>
  <c r="E21" i="22"/>
  <c r="D21" i="22"/>
  <c r="C21" i="22"/>
  <c r="B21" i="22"/>
  <c r="Y20" i="22"/>
  <c r="X20" i="22"/>
  <c r="W20" i="22"/>
  <c r="V20" i="22"/>
  <c r="T20" i="22"/>
  <c r="S20" i="22"/>
  <c r="R20" i="22"/>
  <c r="Q20" i="22"/>
  <c r="O20" i="22"/>
  <c r="N20" i="22"/>
  <c r="M20" i="22"/>
  <c r="L20" i="22"/>
  <c r="J20" i="22"/>
  <c r="I20" i="22"/>
  <c r="H20" i="22"/>
  <c r="G20" i="22"/>
  <c r="E20" i="22"/>
  <c r="D20" i="22"/>
  <c r="C20" i="22"/>
  <c r="B20" i="22"/>
  <c r="Y19" i="22"/>
  <c r="X19" i="22"/>
  <c r="W19" i="22"/>
  <c r="V19" i="22"/>
  <c r="T19" i="22"/>
  <c r="S19" i="22"/>
  <c r="R19" i="22"/>
  <c r="Q19" i="22"/>
  <c r="O19" i="22"/>
  <c r="N19" i="22"/>
  <c r="M19" i="22"/>
  <c r="L19" i="22"/>
  <c r="J19" i="22"/>
  <c r="I19" i="22"/>
  <c r="H19" i="22"/>
  <c r="G19" i="22"/>
  <c r="E19" i="22"/>
  <c r="D19" i="22"/>
  <c r="C19" i="22"/>
  <c r="B19" i="22"/>
  <c r="Y18" i="22"/>
  <c r="X18" i="22"/>
  <c r="W18" i="22"/>
  <c r="V18" i="22"/>
  <c r="T18" i="22"/>
  <c r="S18" i="22"/>
  <c r="R18" i="22"/>
  <c r="Q18" i="22"/>
  <c r="O18" i="22"/>
  <c r="N18" i="22"/>
  <c r="M18" i="22"/>
  <c r="L18" i="22"/>
  <c r="J18" i="22"/>
  <c r="I18" i="22"/>
  <c r="H18" i="22"/>
  <c r="G18" i="22"/>
  <c r="E18" i="22"/>
  <c r="D18" i="22"/>
  <c r="C18" i="22"/>
  <c r="B18" i="22"/>
  <c r="Y17" i="22"/>
  <c r="X17" i="22"/>
  <c r="W17" i="22"/>
  <c r="V17" i="22"/>
  <c r="T17" i="22"/>
  <c r="S17" i="22"/>
  <c r="R17" i="22"/>
  <c r="Q17" i="22"/>
  <c r="O17" i="22"/>
  <c r="N17" i="22"/>
  <c r="M17" i="22"/>
  <c r="L17" i="22"/>
  <c r="J17" i="22"/>
  <c r="I17" i="22"/>
  <c r="H17" i="22"/>
  <c r="G17" i="22"/>
  <c r="E17" i="22"/>
  <c r="D17" i="22"/>
  <c r="C17" i="22"/>
  <c r="B17" i="22"/>
  <c r="Y16" i="22"/>
  <c r="X16" i="22"/>
  <c r="W16" i="22"/>
  <c r="V16" i="22"/>
  <c r="T16" i="22"/>
  <c r="S16" i="22"/>
  <c r="R16" i="22"/>
  <c r="Q16" i="22"/>
  <c r="O16" i="22"/>
  <c r="N16" i="22"/>
  <c r="M16" i="22"/>
  <c r="L16" i="22"/>
  <c r="J16" i="22"/>
  <c r="I16" i="22"/>
  <c r="H16" i="22"/>
  <c r="G16" i="22"/>
  <c r="E16" i="22"/>
  <c r="D16" i="22"/>
  <c r="C16" i="22"/>
  <c r="B16" i="22"/>
  <c r="Y15" i="22"/>
  <c r="X15" i="22"/>
  <c r="W15" i="22"/>
  <c r="V15" i="22"/>
  <c r="T15" i="22"/>
  <c r="S15" i="22"/>
  <c r="R15" i="22"/>
  <c r="Q15" i="22"/>
  <c r="O15" i="22"/>
  <c r="N15" i="22"/>
  <c r="M15" i="22"/>
  <c r="L15" i="22"/>
  <c r="J15" i="22"/>
  <c r="I15" i="22"/>
  <c r="H15" i="22"/>
  <c r="G15" i="22"/>
  <c r="E15" i="22"/>
  <c r="D15" i="22"/>
  <c r="C15" i="22"/>
  <c r="B15" i="22"/>
  <c r="Y14" i="22"/>
  <c r="X14" i="22"/>
  <c r="W14" i="22"/>
  <c r="V14" i="22"/>
  <c r="T14" i="22"/>
  <c r="S14" i="22"/>
  <c r="R14" i="22"/>
  <c r="Q14" i="22"/>
  <c r="O14" i="22"/>
  <c r="N14" i="22"/>
  <c r="M14" i="22"/>
  <c r="L14" i="22"/>
  <c r="J14" i="22"/>
  <c r="I14" i="22"/>
  <c r="H14" i="22"/>
  <c r="G14" i="22"/>
  <c r="E14" i="22"/>
  <c r="D14" i="22"/>
  <c r="C14" i="22"/>
  <c r="B14" i="22"/>
  <c r="Y13" i="22"/>
  <c r="X13" i="22"/>
  <c r="W13" i="22"/>
  <c r="V13" i="22"/>
  <c r="T13" i="22"/>
  <c r="S13" i="22"/>
  <c r="R13" i="22"/>
  <c r="Q13" i="22"/>
  <c r="O13" i="22"/>
  <c r="N13" i="22"/>
  <c r="M13" i="22"/>
  <c r="L13" i="22"/>
  <c r="J13" i="22"/>
  <c r="I13" i="22"/>
  <c r="H13" i="22"/>
  <c r="G13" i="22"/>
  <c r="E13" i="22"/>
  <c r="D13" i="22"/>
  <c r="C13" i="22"/>
  <c r="B13" i="22"/>
  <c r="Y12" i="22"/>
  <c r="X12" i="22"/>
  <c r="W12" i="22"/>
  <c r="V12" i="22"/>
  <c r="T12" i="22"/>
  <c r="S12" i="22"/>
  <c r="R12" i="22"/>
  <c r="Q12" i="22"/>
  <c r="O12" i="22"/>
  <c r="N12" i="22"/>
  <c r="M12" i="22"/>
  <c r="L12" i="22"/>
  <c r="J12" i="22"/>
  <c r="I12" i="22"/>
  <c r="H12" i="22"/>
  <c r="G12" i="22"/>
  <c r="E12" i="22"/>
  <c r="D12" i="22"/>
  <c r="C12" i="22"/>
  <c r="B12" i="22"/>
  <c r="Y11" i="22"/>
  <c r="X11" i="22"/>
  <c r="W11" i="22"/>
  <c r="V11" i="22"/>
  <c r="T11" i="22"/>
  <c r="S11" i="22"/>
  <c r="R11" i="22"/>
  <c r="Q11" i="22"/>
  <c r="O11" i="22"/>
  <c r="N11" i="22"/>
  <c r="M11" i="22"/>
  <c r="L11" i="22"/>
  <c r="J11" i="22"/>
  <c r="I11" i="22"/>
  <c r="H11" i="22"/>
  <c r="G11" i="22"/>
  <c r="E11" i="22"/>
  <c r="D11" i="22"/>
  <c r="C11" i="22"/>
  <c r="B11" i="22"/>
  <c r="Y10" i="22"/>
  <c r="X10" i="22"/>
  <c r="W10" i="22"/>
  <c r="V10" i="22"/>
  <c r="T10" i="22"/>
  <c r="S10" i="22"/>
  <c r="R10" i="22"/>
  <c r="Q10" i="22"/>
  <c r="O10" i="22"/>
  <c r="N10" i="22"/>
  <c r="M10" i="22"/>
  <c r="L10" i="22"/>
  <c r="J10" i="22"/>
  <c r="I10" i="22"/>
  <c r="H10" i="22"/>
  <c r="G10" i="22"/>
  <c r="E10" i="22"/>
  <c r="D10" i="22"/>
  <c r="C10" i="22"/>
  <c r="B10" i="22"/>
  <c r="Y9" i="22"/>
  <c r="X9" i="22"/>
  <c r="W9" i="22"/>
  <c r="V9" i="22"/>
  <c r="T9" i="22"/>
  <c r="S9" i="22"/>
  <c r="R9" i="22"/>
  <c r="Q9" i="22"/>
  <c r="O9" i="22"/>
  <c r="N9" i="22"/>
  <c r="M9" i="22"/>
  <c r="L9" i="22"/>
  <c r="J9" i="22"/>
  <c r="I9" i="22"/>
  <c r="H9" i="22"/>
  <c r="G9" i="22"/>
  <c r="E9" i="22"/>
  <c r="D9" i="22"/>
  <c r="C9" i="22"/>
  <c r="B9" i="22"/>
  <c r="Y8" i="22"/>
  <c r="X8" i="22"/>
  <c r="W8" i="22"/>
  <c r="V8" i="22"/>
  <c r="T8" i="22"/>
  <c r="S8" i="22"/>
  <c r="R8" i="22"/>
  <c r="Q8" i="22"/>
  <c r="O8" i="22"/>
  <c r="N8" i="22"/>
  <c r="M8" i="22"/>
  <c r="L8" i="22"/>
  <c r="J8" i="22"/>
  <c r="I8" i="22"/>
  <c r="H8" i="22"/>
  <c r="G8" i="22"/>
  <c r="E8" i="22"/>
  <c r="D8" i="22"/>
  <c r="C8" i="22"/>
  <c r="B8" i="22"/>
  <c r="Y7" i="22"/>
  <c r="X7" i="22"/>
  <c r="W7" i="22"/>
  <c r="V7" i="22"/>
  <c r="T7" i="22"/>
  <c r="S7" i="22"/>
  <c r="R7" i="22"/>
  <c r="Q7" i="22"/>
  <c r="O7" i="22"/>
  <c r="N7" i="22"/>
  <c r="M7" i="22"/>
  <c r="L7" i="22"/>
  <c r="J7" i="22"/>
  <c r="I7" i="22"/>
  <c r="H7" i="22"/>
  <c r="G7" i="22"/>
  <c r="E7" i="22"/>
  <c r="D7" i="22"/>
  <c r="C7" i="22"/>
  <c r="B7" i="22"/>
  <c r="Y6" i="22"/>
  <c r="X6" i="22"/>
  <c r="W6" i="22"/>
  <c r="V6" i="22"/>
  <c r="T6" i="22"/>
  <c r="S6" i="22"/>
  <c r="R6" i="22"/>
  <c r="Q6" i="22"/>
  <c r="O6" i="22"/>
  <c r="N6" i="22"/>
  <c r="M6" i="22"/>
  <c r="L6" i="22"/>
  <c r="J6" i="22"/>
  <c r="I6" i="22"/>
  <c r="H6" i="22"/>
  <c r="G6" i="22"/>
  <c r="E6" i="22"/>
  <c r="D6" i="22"/>
  <c r="C6" i="22"/>
  <c r="B6" i="22"/>
  <c r="Y5" i="22"/>
  <c r="X5" i="22"/>
  <c r="W5" i="22"/>
  <c r="V5" i="22"/>
  <c r="T5" i="22"/>
  <c r="S5" i="22"/>
  <c r="R5" i="22"/>
  <c r="Q5" i="22"/>
  <c r="O5" i="22"/>
  <c r="N5" i="22"/>
  <c r="M5" i="22"/>
  <c r="L5" i="22"/>
  <c r="J5" i="22"/>
  <c r="I5" i="22"/>
  <c r="H5" i="22"/>
  <c r="G5" i="22"/>
  <c r="E5" i="22"/>
  <c r="D5" i="22"/>
  <c r="C5" i="22"/>
  <c r="B5" i="22"/>
  <c r="Y4" i="22"/>
  <c r="X4" i="22"/>
  <c r="W4" i="22"/>
  <c r="V4" i="22"/>
  <c r="T4" i="22"/>
  <c r="S4" i="22"/>
  <c r="R4" i="22"/>
  <c r="Q4" i="22"/>
  <c r="O4" i="22"/>
  <c r="N4" i="22"/>
  <c r="M4" i="22"/>
  <c r="L4" i="22"/>
  <c r="J4" i="22"/>
  <c r="I4" i="22"/>
  <c r="H4" i="22"/>
  <c r="G4" i="22"/>
  <c r="E4" i="22"/>
  <c r="D4" i="22"/>
  <c r="C4" i="22"/>
  <c r="B4" i="22"/>
  <c r="Y3" i="22"/>
  <c r="X3" i="22"/>
  <c r="W3" i="22"/>
  <c r="V3" i="22"/>
  <c r="T3" i="22"/>
  <c r="S3" i="22"/>
  <c r="R3" i="22"/>
  <c r="Q3" i="22"/>
  <c r="O3" i="22"/>
  <c r="N3" i="22"/>
  <c r="M3" i="22"/>
  <c r="L3" i="22"/>
  <c r="J3" i="22"/>
  <c r="I3" i="22"/>
  <c r="H3" i="22"/>
  <c r="G3" i="22"/>
  <c r="E3" i="22"/>
  <c r="D3" i="22"/>
  <c r="C3" i="22"/>
  <c r="B3" i="22"/>
  <c r="Y38" i="11"/>
  <c r="X38" i="11"/>
  <c r="W38" i="11"/>
  <c r="V38" i="11"/>
  <c r="T38" i="11"/>
  <c r="S38" i="11"/>
  <c r="R38" i="11"/>
  <c r="Q38" i="11"/>
  <c r="O38" i="11"/>
  <c r="N38" i="11"/>
  <c r="M38" i="11"/>
  <c r="L38" i="11"/>
  <c r="J38" i="11"/>
  <c r="I38" i="11"/>
  <c r="H38" i="11"/>
  <c r="G38" i="11"/>
  <c r="E38" i="11"/>
  <c r="D38" i="11"/>
  <c r="C38" i="11"/>
  <c r="B38" i="11"/>
  <c r="Y37" i="11"/>
  <c r="X37" i="11"/>
  <c r="W37" i="11"/>
  <c r="V37" i="11"/>
  <c r="T37" i="11"/>
  <c r="S37" i="11"/>
  <c r="R37" i="11"/>
  <c r="Q37" i="11"/>
  <c r="O37" i="11"/>
  <c r="N37" i="11"/>
  <c r="M37" i="11"/>
  <c r="L37" i="11"/>
  <c r="J37" i="11"/>
  <c r="I37" i="11"/>
  <c r="H37" i="11"/>
  <c r="G37" i="11"/>
  <c r="E37" i="11"/>
  <c r="D37" i="11"/>
  <c r="C37" i="11"/>
  <c r="B37" i="11"/>
  <c r="Y36" i="11"/>
  <c r="X36" i="11"/>
  <c r="W36" i="11"/>
  <c r="V36" i="11"/>
  <c r="T36" i="11"/>
  <c r="S36" i="11"/>
  <c r="R36" i="11"/>
  <c r="Q36" i="11"/>
  <c r="O36" i="11"/>
  <c r="N36" i="11"/>
  <c r="M36" i="11"/>
  <c r="L36" i="11"/>
  <c r="J36" i="11"/>
  <c r="I36" i="11"/>
  <c r="H36" i="11"/>
  <c r="G36" i="11"/>
  <c r="E36" i="11"/>
  <c r="D36" i="11"/>
  <c r="C36" i="11"/>
  <c r="B36" i="11"/>
  <c r="Y35" i="11"/>
  <c r="X35" i="11"/>
  <c r="W35" i="11"/>
  <c r="V35" i="11"/>
  <c r="T35" i="11"/>
  <c r="S35" i="11"/>
  <c r="R35" i="11"/>
  <c r="Q35" i="11"/>
  <c r="O35" i="11"/>
  <c r="N35" i="11"/>
  <c r="M35" i="11"/>
  <c r="L35" i="11"/>
  <c r="J35" i="11"/>
  <c r="I35" i="11"/>
  <c r="H35" i="11"/>
  <c r="G35" i="11"/>
  <c r="E35" i="11"/>
  <c r="D35" i="11"/>
  <c r="C35" i="11"/>
  <c r="B35" i="11"/>
  <c r="Y34" i="11"/>
  <c r="X34" i="11"/>
  <c r="W34" i="11"/>
  <c r="V34" i="11"/>
  <c r="T34" i="11"/>
  <c r="S34" i="11"/>
  <c r="R34" i="11"/>
  <c r="Q34" i="11"/>
  <c r="O34" i="11"/>
  <c r="N34" i="11"/>
  <c r="M34" i="11"/>
  <c r="L34" i="11"/>
  <c r="J34" i="11"/>
  <c r="I34" i="11"/>
  <c r="H34" i="11"/>
  <c r="G34" i="11"/>
  <c r="E34" i="11"/>
  <c r="D34" i="11"/>
  <c r="C34" i="11"/>
  <c r="B34" i="11"/>
  <c r="Y33" i="11"/>
  <c r="X33" i="11"/>
  <c r="W33" i="11"/>
  <c r="V33" i="11"/>
  <c r="T33" i="11"/>
  <c r="S33" i="11"/>
  <c r="R33" i="11"/>
  <c r="Q33" i="11"/>
  <c r="O33" i="11"/>
  <c r="N33" i="11"/>
  <c r="M33" i="11"/>
  <c r="L33" i="11"/>
  <c r="J33" i="11"/>
  <c r="I33" i="11"/>
  <c r="H33" i="11"/>
  <c r="G33" i="11"/>
  <c r="E33" i="11"/>
  <c r="D33" i="11"/>
  <c r="C33" i="11"/>
  <c r="B33" i="11"/>
  <c r="Y32" i="11"/>
  <c r="X32" i="11"/>
  <c r="W32" i="11"/>
  <c r="V32" i="11"/>
  <c r="T32" i="11"/>
  <c r="S32" i="11"/>
  <c r="R32" i="11"/>
  <c r="Q32" i="11"/>
  <c r="O32" i="11"/>
  <c r="N32" i="11"/>
  <c r="M32" i="11"/>
  <c r="L32" i="11"/>
  <c r="J32" i="11"/>
  <c r="I32" i="11"/>
  <c r="H32" i="11"/>
  <c r="G32" i="11"/>
  <c r="E32" i="11"/>
  <c r="D32" i="11"/>
  <c r="C32" i="11"/>
  <c r="B32" i="11"/>
  <c r="Y31" i="11"/>
  <c r="X31" i="11"/>
  <c r="W31" i="11"/>
  <c r="V31" i="11"/>
  <c r="T31" i="11"/>
  <c r="S31" i="11"/>
  <c r="R31" i="11"/>
  <c r="Q31" i="11"/>
  <c r="O31" i="11"/>
  <c r="N31" i="11"/>
  <c r="M31" i="11"/>
  <c r="L31" i="11"/>
  <c r="J31" i="11"/>
  <c r="I31" i="11"/>
  <c r="H31" i="11"/>
  <c r="G31" i="11"/>
  <c r="E31" i="11"/>
  <c r="D31" i="11"/>
  <c r="C31" i="11"/>
  <c r="B31" i="11"/>
  <c r="Y30" i="11"/>
  <c r="X30" i="11"/>
  <c r="W30" i="11"/>
  <c r="V30" i="11"/>
  <c r="T30" i="11"/>
  <c r="S30" i="11"/>
  <c r="R30" i="11"/>
  <c r="Q30" i="11"/>
  <c r="O30" i="11"/>
  <c r="N30" i="11"/>
  <c r="M30" i="11"/>
  <c r="L30" i="11"/>
  <c r="J30" i="11"/>
  <c r="I30" i="11"/>
  <c r="H30" i="11"/>
  <c r="G30" i="11"/>
  <c r="E30" i="11"/>
  <c r="D30" i="11"/>
  <c r="C30" i="11"/>
  <c r="B30" i="11"/>
  <c r="Y29" i="11"/>
  <c r="X29" i="11"/>
  <c r="W29" i="11"/>
  <c r="V29" i="11"/>
  <c r="T29" i="11"/>
  <c r="S29" i="11"/>
  <c r="R29" i="11"/>
  <c r="Q29" i="11"/>
  <c r="O29" i="11"/>
  <c r="N29" i="11"/>
  <c r="M29" i="11"/>
  <c r="L29" i="11"/>
  <c r="J29" i="11"/>
  <c r="I29" i="11"/>
  <c r="H29" i="11"/>
  <c r="G29" i="11"/>
  <c r="E29" i="11"/>
  <c r="D29" i="11"/>
  <c r="C29" i="11"/>
  <c r="B29" i="11"/>
  <c r="Y28" i="11"/>
  <c r="X28" i="11"/>
  <c r="W28" i="11"/>
  <c r="V28" i="11"/>
  <c r="T28" i="11"/>
  <c r="S28" i="11"/>
  <c r="R28" i="11"/>
  <c r="Q28" i="11"/>
  <c r="O28" i="11"/>
  <c r="N28" i="11"/>
  <c r="M28" i="11"/>
  <c r="L28" i="11"/>
  <c r="J28" i="11"/>
  <c r="I28" i="11"/>
  <c r="H28" i="11"/>
  <c r="G28" i="11"/>
  <c r="E28" i="11"/>
  <c r="D28" i="11"/>
  <c r="C28" i="11"/>
  <c r="B28" i="11"/>
  <c r="Y27" i="11"/>
  <c r="X27" i="11"/>
  <c r="W27" i="11"/>
  <c r="V27" i="11"/>
  <c r="T27" i="11"/>
  <c r="S27" i="11"/>
  <c r="R27" i="11"/>
  <c r="Q27" i="11"/>
  <c r="O27" i="11"/>
  <c r="N27" i="11"/>
  <c r="M27" i="11"/>
  <c r="L27" i="11"/>
  <c r="J27" i="11"/>
  <c r="I27" i="11"/>
  <c r="H27" i="11"/>
  <c r="G27" i="11"/>
  <c r="E27" i="11"/>
  <c r="D27" i="11"/>
  <c r="C27" i="11"/>
  <c r="B27" i="11"/>
  <c r="Y26" i="11"/>
  <c r="X26" i="11"/>
  <c r="W26" i="11"/>
  <c r="V26" i="11"/>
  <c r="T26" i="11"/>
  <c r="S26" i="11"/>
  <c r="R26" i="11"/>
  <c r="Q26" i="11"/>
  <c r="O26" i="11"/>
  <c r="N26" i="11"/>
  <c r="M26" i="11"/>
  <c r="L26" i="11"/>
  <c r="J26" i="11"/>
  <c r="I26" i="11"/>
  <c r="H26" i="11"/>
  <c r="G26" i="11"/>
  <c r="E26" i="11"/>
  <c r="D26" i="11"/>
  <c r="C26" i="11"/>
  <c r="B26" i="11"/>
  <c r="Y25" i="11"/>
  <c r="X25" i="11"/>
  <c r="W25" i="11"/>
  <c r="V25" i="11"/>
  <c r="T25" i="11"/>
  <c r="S25" i="11"/>
  <c r="R25" i="11"/>
  <c r="Q25" i="11"/>
  <c r="O25" i="11"/>
  <c r="N25" i="11"/>
  <c r="M25" i="11"/>
  <c r="L25" i="11"/>
  <c r="J25" i="11"/>
  <c r="I25" i="11"/>
  <c r="H25" i="11"/>
  <c r="G25" i="11"/>
  <c r="E25" i="11"/>
  <c r="D25" i="11"/>
  <c r="C25" i="11"/>
  <c r="B25" i="11"/>
  <c r="Y24" i="11"/>
  <c r="X24" i="11"/>
  <c r="W24" i="11"/>
  <c r="V24" i="11"/>
  <c r="T24" i="11"/>
  <c r="S24" i="11"/>
  <c r="R24" i="11"/>
  <c r="Q24" i="11"/>
  <c r="O24" i="11"/>
  <c r="N24" i="11"/>
  <c r="M24" i="11"/>
  <c r="L24" i="11"/>
  <c r="J24" i="11"/>
  <c r="I24" i="11"/>
  <c r="H24" i="11"/>
  <c r="G24" i="11"/>
  <c r="E24" i="11"/>
  <c r="D24" i="11"/>
  <c r="C24" i="11"/>
  <c r="B24" i="11"/>
  <c r="Y23" i="11"/>
  <c r="X23" i="11"/>
  <c r="W23" i="11"/>
  <c r="V23" i="11"/>
  <c r="T23" i="11"/>
  <c r="S23" i="11"/>
  <c r="R23" i="11"/>
  <c r="Q23" i="11"/>
  <c r="O23" i="11"/>
  <c r="N23" i="11"/>
  <c r="M23" i="11"/>
  <c r="L23" i="11"/>
  <c r="J23" i="11"/>
  <c r="I23" i="11"/>
  <c r="H23" i="11"/>
  <c r="G23" i="11"/>
  <c r="E23" i="11"/>
  <c r="D23" i="11"/>
  <c r="C23" i="11"/>
  <c r="B23" i="11"/>
  <c r="Y22" i="11"/>
  <c r="X22" i="11"/>
  <c r="W22" i="11"/>
  <c r="V22" i="11"/>
  <c r="T22" i="11"/>
  <c r="S22" i="11"/>
  <c r="R22" i="11"/>
  <c r="Q22" i="11"/>
  <c r="O22" i="11"/>
  <c r="N22" i="11"/>
  <c r="M22" i="11"/>
  <c r="L22" i="11"/>
  <c r="J22" i="11"/>
  <c r="I22" i="11"/>
  <c r="H22" i="11"/>
  <c r="G22" i="11"/>
  <c r="E22" i="11"/>
  <c r="D22" i="11"/>
  <c r="C22" i="11"/>
  <c r="B22" i="11"/>
  <c r="Y21" i="11"/>
  <c r="X21" i="11"/>
  <c r="W21" i="11"/>
  <c r="V21" i="11"/>
  <c r="T21" i="11"/>
  <c r="S21" i="11"/>
  <c r="R21" i="11"/>
  <c r="Q21" i="11"/>
  <c r="O21" i="11"/>
  <c r="N21" i="11"/>
  <c r="M21" i="11"/>
  <c r="L21" i="11"/>
  <c r="J21" i="11"/>
  <c r="I21" i="11"/>
  <c r="H21" i="11"/>
  <c r="G21" i="11"/>
  <c r="E21" i="11"/>
  <c r="D21" i="11"/>
  <c r="C21" i="11"/>
  <c r="B21" i="11"/>
  <c r="Y20" i="11"/>
  <c r="X20" i="11"/>
  <c r="W20" i="11"/>
  <c r="V20" i="11"/>
  <c r="T20" i="11"/>
  <c r="S20" i="11"/>
  <c r="R20" i="11"/>
  <c r="Q20" i="11"/>
  <c r="O20" i="11"/>
  <c r="N20" i="11"/>
  <c r="M20" i="11"/>
  <c r="L20" i="11"/>
  <c r="J20" i="11"/>
  <c r="I20" i="11"/>
  <c r="H20" i="11"/>
  <c r="G20" i="11"/>
  <c r="E20" i="11"/>
  <c r="D20" i="11"/>
  <c r="C20" i="11"/>
  <c r="B20" i="11"/>
  <c r="Y19" i="11"/>
  <c r="X19" i="11"/>
  <c r="W19" i="11"/>
  <c r="V19" i="11"/>
  <c r="T19" i="11"/>
  <c r="S19" i="11"/>
  <c r="R19" i="11"/>
  <c r="Q19" i="11"/>
  <c r="O19" i="11"/>
  <c r="N19" i="11"/>
  <c r="M19" i="11"/>
  <c r="L19" i="11"/>
  <c r="J19" i="11"/>
  <c r="I19" i="11"/>
  <c r="H19" i="11"/>
  <c r="G19" i="11"/>
  <c r="E19" i="11"/>
  <c r="D19" i="11"/>
  <c r="C19" i="11"/>
  <c r="B19" i="11"/>
  <c r="Y18" i="11"/>
  <c r="X18" i="11"/>
  <c r="W18" i="11"/>
  <c r="V18" i="11"/>
  <c r="T18" i="11"/>
  <c r="S18" i="11"/>
  <c r="R18" i="11"/>
  <c r="Q18" i="11"/>
  <c r="O18" i="11"/>
  <c r="N18" i="11"/>
  <c r="M18" i="11"/>
  <c r="L18" i="11"/>
  <c r="J18" i="11"/>
  <c r="I18" i="11"/>
  <c r="H18" i="11"/>
  <c r="G18" i="11"/>
  <c r="E18" i="11"/>
  <c r="D18" i="11"/>
  <c r="C18" i="11"/>
  <c r="B18" i="11"/>
  <c r="Y17" i="11"/>
  <c r="X17" i="11"/>
  <c r="W17" i="11"/>
  <c r="V17" i="11"/>
  <c r="T17" i="11"/>
  <c r="S17" i="11"/>
  <c r="R17" i="11"/>
  <c r="Q17" i="11"/>
  <c r="O17" i="11"/>
  <c r="N17" i="11"/>
  <c r="M17" i="11"/>
  <c r="L17" i="11"/>
  <c r="J17" i="11"/>
  <c r="I17" i="11"/>
  <c r="H17" i="11"/>
  <c r="G17" i="11"/>
  <c r="E17" i="11"/>
  <c r="D17" i="11"/>
  <c r="C17" i="11"/>
  <c r="B17" i="11"/>
  <c r="Y16" i="11"/>
  <c r="X16" i="11"/>
  <c r="W16" i="11"/>
  <c r="V16" i="11"/>
  <c r="T16" i="11"/>
  <c r="S16" i="11"/>
  <c r="R16" i="11"/>
  <c r="Q16" i="11"/>
  <c r="O16" i="11"/>
  <c r="N16" i="11"/>
  <c r="M16" i="11"/>
  <c r="L16" i="11"/>
  <c r="J16" i="11"/>
  <c r="I16" i="11"/>
  <c r="H16" i="11"/>
  <c r="G16" i="11"/>
  <c r="E16" i="11"/>
  <c r="D16" i="11"/>
  <c r="C16" i="11"/>
  <c r="B16" i="11"/>
  <c r="Y15" i="11"/>
  <c r="X15" i="11"/>
  <c r="W15" i="11"/>
  <c r="V15" i="11"/>
  <c r="T15" i="11"/>
  <c r="S15" i="11"/>
  <c r="R15" i="11"/>
  <c r="Q15" i="11"/>
  <c r="O15" i="11"/>
  <c r="N15" i="11"/>
  <c r="M15" i="11"/>
  <c r="L15" i="11"/>
  <c r="J15" i="11"/>
  <c r="I15" i="11"/>
  <c r="H15" i="11"/>
  <c r="G15" i="11"/>
  <c r="E15" i="11"/>
  <c r="D15" i="11"/>
  <c r="C15" i="11"/>
  <c r="B15" i="11"/>
  <c r="Y14" i="11"/>
  <c r="X14" i="11"/>
  <c r="W14" i="11"/>
  <c r="V14" i="11"/>
  <c r="T14" i="11"/>
  <c r="S14" i="11"/>
  <c r="R14" i="11"/>
  <c r="Q14" i="11"/>
  <c r="O14" i="11"/>
  <c r="N14" i="11"/>
  <c r="M14" i="11"/>
  <c r="L14" i="11"/>
  <c r="J14" i="11"/>
  <c r="I14" i="11"/>
  <c r="H14" i="11"/>
  <c r="G14" i="11"/>
  <c r="E14" i="11"/>
  <c r="D14" i="11"/>
  <c r="C14" i="11"/>
  <c r="B14" i="11"/>
  <c r="Y13" i="11"/>
  <c r="X13" i="11"/>
  <c r="W13" i="11"/>
  <c r="V13" i="11"/>
  <c r="T13" i="11"/>
  <c r="S13" i="11"/>
  <c r="R13" i="11"/>
  <c r="Q13" i="11"/>
  <c r="O13" i="11"/>
  <c r="N13" i="11"/>
  <c r="M13" i="11"/>
  <c r="L13" i="11"/>
  <c r="J13" i="11"/>
  <c r="I13" i="11"/>
  <c r="H13" i="11"/>
  <c r="G13" i="11"/>
  <c r="E13" i="11"/>
  <c r="D13" i="11"/>
  <c r="C13" i="11"/>
  <c r="B13" i="11"/>
  <c r="Y12" i="11"/>
  <c r="X12" i="11"/>
  <c r="W12" i="11"/>
  <c r="V12" i="11"/>
  <c r="T12" i="11"/>
  <c r="S12" i="11"/>
  <c r="R12" i="11"/>
  <c r="Q12" i="11"/>
  <c r="O12" i="11"/>
  <c r="N12" i="11"/>
  <c r="M12" i="11"/>
  <c r="L12" i="11"/>
  <c r="J12" i="11"/>
  <c r="I12" i="11"/>
  <c r="H12" i="11"/>
  <c r="G12" i="11"/>
  <c r="E12" i="11"/>
  <c r="D12" i="11"/>
  <c r="C12" i="11"/>
  <c r="B12" i="11"/>
  <c r="Y11" i="11"/>
  <c r="X11" i="11"/>
  <c r="W11" i="11"/>
  <c r="V11" i="11"/>
  <c r="T11" i="11"/>
  <c r="S11" i="11"/>
  <c r="R11" i="11"/>
  <c r="Q11" i="11"/>
  <c r="O11" i="11"/>
  <c r="N11" i="11"/>
  <c r="M11" i="11"/>
  <c r="L11" i="11"/>
  <c r="J11" i="11"/>
  <c r="I11" i="11"/>
  <c r="H11" i="11"/>
  <c r="G11" i="11"/>
  <c r="E11" i="11"/>
  <c r="D11" i="11"/>
  <c r="C11" i="11"/>
  <c r="B11" i="11"/>
  <c r="Y10" i="11"/>
  <c r="X10" i="11"/>
  <c r="W10" i="11"/>
  <c r="V10" i="11"/>
  <c r="T10" i="11"/>
  <c r="S10" i="11"/>
  <c r="R10" i="11"/>
  <c r="Q10" i="11"/>
  <c r="O10" i="11"/>
  <c r="N10" i="11"/>
  <c r="M10" i="11"/>
  <c r="L10" i="11"/>
  <c r="J10" i="11"/>
  <c r="I10" i="11"/>
  <c r="H10" i="11"/>
  <c r="G10" i="11"/>
  <c r="E10" i="11"/>
  <c r="D10" i="11"/>
  <c r="C10" i="11"/>
  <c r="B10" i="11"/>
  <c r="Y9" i="11"/>
  <c r="X9" i="11"/>
  <c r="W9" i="11"/>
  <c r="V9" i="11"/>
  <c r="T9" i="11"/>
  <c r="S9" i="11"/>
  <c r="R9" i="11"/>
  <c r="Q9" i="11"/>
  <c r="O9" i="11"/>
  <c r="N9" i="11"/>
  <c r="M9" i="11"/>
  <c r="L9" i="11"/>
  <c r="J9" i="11"/>
  <c r="I9" i="11"/>
  <c r="H9" i="11"/>
  <c r="G9" i="11"/>
  <c r="E9" i="11"/>
  <c r="D9" i="11"/>
  <c r="C9" i="11"/>
  <c r="B9" i="11"/>
  <c r="Y8" i="11"/>
  <c r="X8" i="11"/>
  <c r="W8" i="11"/>
  <c r="V8" i="11"/>
  <c r="T8" i="11"/>
  <c r="S8" i="11"/>
  <c r="R8" i="11"/>
  <c r="Q8" i="11"/>
  <c r="O8" i="11"/>
  <c r="N8" i="11"/>
  <c r="M8" i="11"/>
  <c r="L8" i="11"/>
  <c r="J8" i="11"/>
  <c r="I8" i="11"/>
  <c r="H8" i="11"/>
  <c r="G8" i="11"/>
  <c r="E8" i="11"/>
  <c r="D8" i="11"/>
  <c r="C8" i="11"/>
  <c r="B8" i="11"/>
  <c r="Y7" i="11"/>
  <c r="X7" i="11"/>
  <c r="W7" i="11"/>
  <c r="V7" i="11"/>
  <c r="T7" i="11"/>
  <c r="S7" i="11"/>
  <c r="R7" i="11"/>
  <c r="Q7" i="11"/>
  <c r="O7" i="11"/>
  <c r="N7" i="11"/>
  <c r="M7" i="11"/>
  <c r="L7" i="11"/>
  <c r="J7" i="11"/>
  <c r="I7" i="11"/>
  <c r="H7" i="11"/>
  <c r="G7" i="11"/>
  <c r="E7" i="11"/>
  <c r="D7" i="11"/>
  <c r="C7" i="11"/>
  <c r="B7" i="11"/>
  <c r="Y6" i="11"/>
  <c r="X6" i="11"/>
  <c r="W6" i="11"/>
  <c r="V6" i="11"/>
  <c r="T6" i="11"/>
  <c r="S6" i="11"/>
  <c r="R6" i="11"/>
  <c r="Q6" i="11"/>
  <c r="O6" i="11"/>
  <c r="N6" i="11"/>
  <c r="M6" i="11"/>
  <c r="L6" i="11"/>
  <c r="J6" i="11"/>
  <c r="I6" i="11"/>
  <c r="H6" i="11"/>
  <c r="G6" i="11"/>
  <c r="E6" i="11"/>
  <c r="D6" i="11"/>
  <c r="C6" i="11"/>
  <c r="B6" i="11"/>
  <c r="Y5" i="11"/>
  <c r="X5" i="11"/>
  <c r="W5" i="11"/>
  <c r="V5" i="11"/>
  <c r="T5" i="11"/>
  <c r="S5" i="11"/>
  <c r="R5" i="11"/>
  <c r="Q5" i="11"/>
  <c r="O5" i="11"/>
  <c r="N5" i="11"/>
  <c r="M5" i="11"/>
  <c r="L5" i="11"/>
  <c r="J5" i="11"/>
  <c r="I5" i="11"/>
  <c r="H5" i="11"/>
  <c r="G5" i="11"/>
  <c r="E5" i="11"/>
  <c r="D5" i="11"/>
  <c r="C5" i="11"/>
  <c r="B5" i="11"/>
  <c r="Y4" i="11"/>
  <c r="X4" i="11"/>
  <c r="W4" i="11"/>
  <c r="V4" i="11"/>
  <c r="T4" i="11"/>
  <c r="S4" i="11"/>
  <c r="R4" i="11"/>
  <c r="Q4" i="11"/>
  <c r="O4" i="11"/>
  <c r="N4" i="11"/>
  <c r="M4" i="11"/>
  <c r="L4" i="11"/>
  <c r="J4" i="11"/>
  <c r="I4" i="11"/>
  <c r="H4" i="11"/>
  <c r="G4" i="11"/>
  <c r="E4" i="11"/>
  <c r="D4" i="11"/>
  <c r="C4" i="11"/>
  <c r="B4" i="11"/>
  <c r="Y3" i="11"/>
  <c r="X3" i="11"/>
  <c r="W3" i="11"/>
  <c r="V3" i="11"/>
  <c r="T3" i="11"/>
  <c r="S3" i="11"/>
  <c r="R3" i="11"/>
  <c r="Q3" i="11"/>
  <c r="O3" i="11"/>
  <c r="N3" i="11"/>
  <c r="M3" i="11"/>
  <c r="L3" i="11"/>
  <c r="J3" i="11"/>
  <c r="I3" i="11"/>
  <c r="H3" i="11"/>
  <c r="G3" i="11"/>
  <c r="E3" i="11"/>
  <c r="D3" i="11"/>
  <c r="C3" i="11"/>
  <c r="B3" i="11"/>
  <c r="Y38" i="16"/>
  <c r="X38" i="16"/>
  <c r="W38" i="16"/>
  <c r="V38" i="16"/>
  <c r="T38" i="16"/>
  <c r="S38" i="16"/>
  <c r="R38" i="16"/>
  <c r="Q38" i="16"/>
  <c r="O38" i="16"/>
  <c r="N38" i="16"/>
  <c r="M38" i="16"/>
  <c r="L38" i="16"/>
  <c r="J38" i="16"/>
  <c r="I38" i="16"/>
  <c r="H38" i="16"/>
  <c r="G38" i="16"/>
  <c r="E38" i="16"/>
  <c r="D38" i="16"/>
  <c r="C38" i="16"/>
  <c r="B38" i="16"/>
  <c r="Y37" i="16"/>
  <c r="X37" i="16"/>
  <c r="W37" i="16"/>
  <c r="V37" i="16"/>
  <c r="T37" i="16"/>
  <c r="S37" i="16"/>
  <c r="R37" i="16"/>
  <c r="Q37" i="16"/>
  <c r="O37" i="16"/>
  <c r="N37" i="16"/>
  <c r="M37" i="16"/>
  <c r="L37" i="16"/>
  <c r="J37" i="16"/>
  <c r="I37" i="16"/>
  <c r="H37" i="16"/>
  <c r="G37" i="16"/>
  <c r="E37" i="16"/>
  <c r="D37" i="16"/>
  <c r="C37" i="16"/>
  <c r="B37" i="16"/>
  <c r="Y36" i="16"/>
  <c r="X36" i="16"/>
  <c r="W36" i="16"/>
  <c r="V36" i="16"/>
  <c r="T36" i="16"/>
  <c r="S36" i="16"/>
  <c r="R36" i="16"/>
  <c r="Q36" i="16"/>
  <c r="O36" i="16"/>
  <c r="N36" i="16"/>
  <c r="M36" i="16"/>
  <c r="L36" i="16"/>
  <c r="J36" i="16"/>
  <c r="I36" i="16"/>
  <c r="H36" i="16"/>
  <c r="G36" i="16"/>
  <c r="E36" i="16"/>
  <c r="D36" i="16"/>
  <c r="C36" i="16"/>
  <c r="B36" i="16"/>
  <c r="Y35" i="16"/>
  <c r="X35" i="16"/>
  <c r="W35" i="16"/>
  <c r="V35" i="16"/>
  <c r="T35" i="16"/>
  <c r="S35" i="16"/>
  <c r="R35" i="16"/>
  <c r="Q35" i="16"/>
  <c r="O35" i="16"/>
  <c r="N35" i="16"/>
  <c r="M35" i="16"/>
  <c r="L35" i="16"/>
  <c r="J35" i="16"/>
  <c r="I35" i="16"/>
  <c r="H35" i="16"/>
  <c r="G35" i="16"/>
  <c r="E35" i="16"/>
  <c r="D35" i="16"/>
  <c r="C35" i="16"/>
  <c r="B35" i="16"/>
  <c r="Y34" i="16"/>
  <c r="X34" i="16"/>
  <c r="W34" i="16"/>
  <c r="V34" i="16"/>
  <c r="T34" i="16"/>
  <c r="S34" i="16"/>
  <c r="R34" i="16"/>
  <c r="Q34" i="16"/>
  <c r="O34" i="16"/>
  <c r="N34" i="16"/>
  <c r="M34" i="16"/>
  <c r="L34" i="16"/>
  <c r="J34" i="16"/>
  <c r="I34" i="16"/>
  <c r="H34" i="16"/>
  <c r="G34" i="16"/>
  <c r="E34" i="16"/>
  <c r="D34" i="16"/>
  <c r="C34" i="16"/>
  <c r="B34" i="16"/>
  <c r="Y33" i="16"/>
  <c r="X33" i="16"/>
  <c r="W33" i="16"/>
  <c r="V33" i="16"/>
  <c r="T33" i="16"/>
  <c r="S33" i="16"/>
  <c r="R33" i="16"/>
  <c r="Q33" i="16"/>
  <c r="O33" i="16"/>
  <c r="N33" i="16"/>
  <c r="M33" i="16"/>
  <c r="L33" i="16"/>
  <c r="J33" i="16"/>
  <c r="I33" i="16"/>
  <c r="H33" i="16"/>
  <c r="G33" i="16"/>
  <c r="E33" i="16"/>
  <c r="D33" i="16"/>
  <c r="C33" i="16"/>
  <c r="BA33" i="16" s="1"/>
  <c r="B33" i="16"/>
  <c r="Y32" i="16"/>
  <c r="X32" i="16"/>
  <c r="W32" i="16"/>
  <c r="V32" i="16"/>
  <c r="T32" i="16"/>
  <c r="S32" i="16"/>
  <c r="R32" i="16"/>
  <c r="Q32" i="16"/>
  <c r="O32" i="16"/>
  <c r="N32" i="16"/>
  <c r="M32" i="16"/>
  <c r="L32" i="16"/>
  <c r="J32" i="16"/>
  <c r="I32" i="16"/>
  <c r="H32" i="16"/>
  <c r="G32" i="16"/>
  <c r="E32" i="16"/>
  <c r="D32" i="16"/>
  <c r="C32" i="16"/>
  <c r="B32" i="16"/>
  <c r="Y31" i="16"/>
  <c r="X31" i="16"/>
  <c r="W31" i="16"/>
  <c r="V31" i="16"/>
  <c r="T31" i="16"/>
  <c r="S31" i="16"/>
  <c r="R31" i="16"/>
  <c r="Q31" i="16"/>
  <c r="O31" i="16"/>
  <c r="N31" i="16"/>
  <c r="M31" i="16"/>
  <c r="L31" i="16"/>
  <c r="J31" i="16"/>
  <c r="I31" i="16"/>
  <c r="H31" i="16"/>
  <c r="G31" i="16"/>
  <c r="E31" i="16"/>
  <c r="D31" i="16"/>
  <c r="C31" i="16"/>
  <c r="B31" i="16"/>
  <c r="Y30" i="16"/>
  <c r="X30" i="16"/>
  <c r="W30" i="16"/>
  <c r="BA30" i="16" s="1"/>
  <c r="V30" i="16"/>
  <c r="AZ30" i="16" s="1"/>
  <c r="T30" i="16"/>
  <c r="S30" i="16"/>
  <c r="R30" i="16"/>
  <c r="Q30" i="16"/>
  <c r="O30" i="16"/>
  <c r="N30" i="16"/>
  <c r="M30" i="16"/>
  <c r="L30" i="16"/>
  <c r="J30" i="16"/>
  <c r="I30" i="16"/>
  <c r="H30" i="16"/>
  <c r="G30" i="16"/>
  <c r="E30" i="16"/>
  <c r="D30" i="16"/>
  <c r="C30" i="16"/>
  <c r="B30" i="16"/>
  <c r="Y29" i="16"/>
  <c r="X29" i="16"/>
  <c r="W29" i="16"/>
  <c r="V29" i="16"/>
  <c r="T29" i="16"/>
  <c r="S29" i="16"/>
  <c r="R29" i="16"/>
  <c r="Q29" i="16"/>
  <c r="O29" i="16"/>
  <c r="N29" i="16"/>
  <c r="M29" i="16"/>
  <c r="L29" i="16"/>
  <c r="J29" i="16"/>
  <c r="I29" i="16"/>
  <c r="H29" i="16"/>
  <c r="G29" i="16"/>
  <c r="E29" i="16"/>
  <c r="D29" i="16"/>
  <c r="C29" i="16"/>
  <c r="B29" i="16"/>
  <c r="Y28" i="16"/>
  <c r="X28" i="16"/>
  <c r="W28" i="16"/>
  <c r="V28" i="16"/>
  <c r="T28" i="16"/>
  <c r="S28" i="16"/>
  <c r="R28" i="16"/>
  <c r="Q28" i="16"/>
  <c r="O28" i="16"/>
  <c r="N28" i="16"/>
  <c r="M28" i="16"/>
  <c r="L28" i="16"/>
  <c r="J28" i="16"/>
  <c r="I28" i="16"/>
  <c r="H28" i="16"/>
  <c r="G28" i="16"/>
  <c r="E28" i="16"/>
  <c r="D28" i="16"/>
  <c r="C28" i="16"/>
  <c r="B28" i="16"/>
  <c r="Y27" i="16"/>
  <c r="X27" i="16"/>
  <c r="W27" i="16"/>
  <c r="V27" i="16"/>
  <c r="T27" i="16"/>
  <c r="S27" i="16"/>
  <c r="R27" i="16"/>
  <c r="Q27" i="16"/>
  <c r="O27" i="16"/>
  <c r="N27" i="16"/>
  <c r="M27" i="16"/>
  <c r="L27" i="16"/>
  <c r="J27" i="16"/>
  <c r="I27" i="16"/>
  <c r="H27" i="16"/>
  <c r="G27" i="16"/>
  <c r="E27" i="16"/>
  <c r="D27" i="16"/>
  <c r="C27" i="16"/>
  <c r="B27" i="16"/>
  <c r="Y26" i="16"/>
  <c r="X26" i="16"/>
  <c r="W26" i="16"/>
  <c r="V26" i="16"/>
  <c r="T26" i="16"/>
  <c r="S26" i="16"/>
  <c r="R26" i="16"/>
  <c r="Q26" i="16"/>
  <c r="O26" i="16"/>
  <c r="N26" i="16"/>
  <c r="M26" i="16"/>
  <c r="L26" i="16"/>
  <c r="J26" i="16"/>
  <c r="I26" i="16"/>
  <c r="H26" i="16"/>
  <c r="G26" i="16"/>
  <c r="E26" i="16"/>
  <c r="D26" i="16"/>
  <c r="C26" i="16"/>
  <c r="B26" i="16"/>
  <c r="Y25" i="16"/>
  <c r="X25" i="16"/>
  <c r="W25" i="16"/>
  <c r="V25" i="16"/>
  <c r="T25" i="16"/>
  <c r="S25" i="16"/>
  <c r="R25" i="16"/>
  <c r="Q25" i="16"/>
  <c r="O25" i="16"/>
  <c r="N25" i="16"/>
  <c r="M25" i="16"/>
  <c r="L25" i="16"/>
  <c r="J25" i="16"/>
  <c r="I25" i="16"/>
  <c r="H25" i="16"/>
  <c r="G25" i="16"/>
  <c r="E25" i="16"/>
  <c r="D25" i="16"/>
  <c r="C25" i="16"/>
  <c r="BA25" i="16" s="1"/>
  <c r="B25" i="16"/>
  <c r="Y24" i="16"/>
  <c r="X24" i="16"/>
  <c r="W24" i="16"/>
  <c r="V24" i="16"/>
  <c r="T24" i="16"/>
  <c r="S24" i="16"/>
  <c r="R24" i="16"/>
  <c r="Q24" i="16"/>
  <c r="O24" i="16"/>
  <c r="N24" i="16"/>
  <c r="M24" i="16"/>
  <c r="L24" i="16"/>
  <c r="J24" i="16"/>
  <c r="I24" i="16"/>
  <c r="H24" i="16"/>
  <c r="G24" i="16"/>
  <c r="E24" i="16"/>
  <c r="D24" i="16"/>
  <c r="C24" i="16"/>
  <c r="B24" i="16"/>
  <c r="Y23" i="16"/>
  <c r="X23" i="16"/>
  <c r="W23" i="16"/>
  <c r="V23" i="16"/>
  <c r="T23" i="16"/>
  <c r="S23" i="16"/>
  <c r="R23" i="16"/>
  <c r="Q23" i="16"/>
  <c r="O23" i="16"/>
  <c r="N23" i="16"/>
  <c r="M23" i="16"/>
  <c r="L23" i="16"/>
  <c r="J23" i="16"/>
  <c r="I23" i="16"/>
  <c r="H23" i="16"/>
  <c r="G23" i="16"/>
  <c r="E23" i="16"/>
  <c r="D23" i="16"/>
  <c r="C23" i="16"/>
  <c r="B23" i="16"/>
  <c r="AZ23" i="16" s="1"/>
  <c r="Y22" i="16"/>
  <c r="X22" i="16"/>
  <c r="W22" i="16"/>
  <c r="V22" i="16"/>
  <c r="T22" i="16"/>
  <c r="S22" i="16"/>
  <c r="R22" i="16"/>
  <c r="Q22" i="16"/>
  <c r="O22" i="16"/>
  <c r="N22" i="16"/>
  <c r="M22" i="16"/>
  <c r="L22" i="16"/>
  <c r="J22" i="16"/>
  <c r="I22" i="16"/>
  <c r="H22" i="16"/>
  <c r="G22" i="16"/>
  <c r="E22" i="16"/>
  <c r="D22" i="16"/>
  <c r="C22" i="16"/>
  <c r="B22" i="16"/>
  <c r="Y21" i="16"/>
  <c r="X21" i="16"/>
  <c r="W21" i="16"/>
  <c r="V21" i="16"/>
  <c r="T21" i="16"/>
  <c r="S21" i="16"/>
  <c r="R21" i="16"/>
  <c r="Q21" i="16"/>
  <c r="O21" i="16"/>
  <c r="N21" i="16"/>
  <c r="M21" i="16"/>
  <c r="L21" i="16"/>
  <c r="J21" i="16"/>
  <c r="I21" i="16"/>
  <c r="H21" i="16"/>
  <c r="G21" i="16"/>
  <c r="E21" i="16"/>
  <c r="D21" i="16"/>
  <c r="C21" i="16"/>
  <c r="B21" i="16"/>
  <c r="Y20" i="16"/>
  <c r="X20" i="16"/>
  <c r="W20" i="16"/>
  <c r="V20" i="16"/>
  <c r="T20" i="16"/>
  <c r="S20" i="16"/>
  <c r="R20" i="16"/>
  <c r="Q20" i="16"/>
  <c r="O20" i="16"/>
  <c r="N20" i="16"/>
  <c r="M20" i="16"/>
  <c r="L20" i="16"/>
  <c r="J20" i="16"/>
  <c r="I20" i="16"/>
  <c r="H20" i="16"/>
  <c r="G20" i="16"/>
  <c r="E20" i="16"/>
  <c r="D20" i="16"/>
  <c r="C20" i="16"/>
  <c r="B20" i="16"/>
  <c r="Y19" i="16"/>
  <c r="X19" i="16"/>
  <c r="W19" i="16"/>
  <c r="V19" i="16"/>
  <c r="T19" i="16"/>
  <c r="S19" i="16"/>
  <c r="R19" i="16"/>
  <c r="Q19" i="16"/>
  <c r="O19" i="16"/>
  <c r="N19" i="16"/>
  <c r="M19" i="16"/>
  <c r="L19" i="16"/>
  <c r="J19" i="16"/>
  <c r="I19" i="16"/>
  <c r="H19" i="16"/>
  <c r="G19" i="16"/>
  <c r="E19" i="16"/>
  <c r="D19" i="16"/>
  <c r="C19" i="16"/>
  <c r="B19" i="16"/>
  <c r="Y18" i="16"/>
  <c r="X18" i="16"/>
  <c r="W18" i="16"/>
  <c r="V18" i="16"/>
  <c r="T18" i="16"/>
  <c r="S18" i="16"/>
  <c r="R18" i="16"/>
  <c r="Q18" i="16"/>
  <c r="O18" i="16"/>
  <c r="N18" i="16"/>
  <c r="M18" i="16"/>
  <c r="L18" i="16"/>
  <c r="J18" i="16"/>
  <c r="I18" i="16"/>
  <c r="H18" i="16"/>
  <c r="G18" i="16"/>
  <c r="E18" i="16"/>
  <c r="D18" i="16"/>
  <c r="C18" i="16"/>
  <c r="B18" i="16"/>
  <c r="Y17" i="16"/>
  <c r="X17" i="16"/>
  <c r="W17" i="16"/>
  <c r="V17" i="16"/>
  <c r="T17" i="16"/>
  <c r="S17" i="16"/>
  <c r="R17" i="16"/>
  <c r="Q17" i="16"/>
  <c r="O17" i="16"/>
  <c r="N17" i="16"/>
  <c r="M17" i="16"/>
  <c r="L17" i="16"/>
  <c r="J17" i="16"/>
  <c r="I17" i="16"/>
  <c r="BB17" i="16" s="1"/>
  <c r="H17" i="16"/>
  <c r="G17" i="16"/>
  <c r="E17" i="16"/>
  <c r="D17" i="16"/>
  <c r="C17" i="16"/>
  <c r="B17" i="16"/>
  <c r="Y16" i="16"/>
  <c r="X16" i="16"/>
  <c r="W16" i="16"/>
  <c r="V16" i="16"/>
  <c r="T16" i="16"/>
  <c r="S16" i="16"/>
  <c r="R16" i="16"/>
  <c r="Q16" i="16"/>
  <c r="O16" i="16"/>
  <c r="N16" i="16"/>
  <c r="M16" i="16"/>
  <c r="L16" i="16"/>
  <c r="J16" i="16"/>
  <c r="I16" i="16"/>
  <c r="H16" i="16"/>
  <c r="G16" i="16"/>
  <c r="E16" i="16"/>
  <c r="D16" i="16"/>
  <c r="C16" i="16"/>
  <c r="B16" i="16"/>
  <c r="Y15" i="16"/>
  <c r="X15" i="16"/>
  <c r="W15" i="16"/>
  <c r="V15" i="16"/>
  <c r="T15" i="16"/>
  <c r="S15" i="16"/>
  <c r="R15" i="16"/>
  <c r="Q15" i="16"/>
  <c r="O15" i="16"/>
  <c r="N15" i="16"/>
  <c r="M15" i="16"/>
  <c r="L15" i="16"/>
  <c r="J15" i="16"/>
  <c r="I15" i="16"/>
  <c r="H15" i="16"/>
  <c r="G15" i="16"/>
  <c r="E15" i="16"/>
  <c r="D15" i="16"/>
  <c r="C15" i="16"/>
  <c r="B15" i="16"/>
  <c r="AZ15" i="16" s="1"/>
  <c r="Y14" i="16"/>
  <c r="X14" i="16"/>
  <c r="W14" i="16"/>
  <c r="V14" i="16"/>
  <c r="T14" i="16"/>
  <c r="S14" i="16"/>
  <c r="R14" i="16"/>
  <c r="Q14" i="16"/>
  <c r="O14" i="16"/>
  <c r="N14" i="16"/>
  <c r="M14" i="16"/>
  <c r="L14" i="16"/>
  <c r="J14" i="16"/>
  <c r="I14" i="16"/>
  <c r="H14" i="16"/>
  <c r="G14" i="16"/>
  <c r="E14" i="16"/>
  <c r="D14" i="16"/>
  <c r="C14" i="16"/>
  <c r="B14" i="16"/>
  <c r="Y13" i="16"/>
  <c r="X13" i="16"/>
  <c r="W13" i="16"/>
  <c r="V13" i="16"/>
  <c r="T13" i="16"/>
  <c r="S13" i="16"/>
  <c r="R13" i="16"/>
  <c r="Q13" i="16"/>
  <c r="O13" i="16"/>
  <c r="N13" i="16"/>
  <c r="M13" i="16"/>
  <c r="L13" i="16"/>
  <c r="J13" i="16"/>
  <c r="I13" i="16"/>
  <c r="H13" i="16"/>
  <c r="G13" i="16"/>
  <c r="E13" i="16"/>
  <c r="D13" i="16"/>
  <c r="C13" i="16"/>
  <c r="B13" i="16"/>
  <c r="Y12" i="16"/>
  <c r="X12" i="16"/>
  <c r="W12" i="16"/>
  <c r="V12" i="16"/>
  <c r="T12" i="16"/>
  <c r="S12" i="16"/>
  <c r="R12" i="16"/>
  <c r="Q12" i="16"/>
  <c r="O12" i="16"/>
  <c r="N12" i="16"/>
  <c r="M12" i="16"/>
  <c r="L12" i="16"/>
  <c r="J12" i="16"/>
  <c r="I12" i="16"/>
  <c r="H12" i="16"/>
  <c r="G12" i="16"/>
  <c r="E12" i="16"/>
  <c r="D12" i="16"/>
  <c r="C12" i="16"/>
  <c r="B12" i="16"/>
  <c r="Y11" i="16"/>
  <c r="X11" i="16"/>
  <c r="W11" i="16"/>
  <c r="V11" i="16"/>
  <c r="T11" i="16"/>
  <c r="S11" i="16"/>
  <c r="R11" i="16"/>
  <c r="Q11" i="16"/>
  <c r="O11" i="16"/>
  <c r="N11" i="16"/>
  <c r="M11" i="16"/>
  <c r="L11" i="16"/>
  <c r="J11" i="16"/>
  <c r="I11" i="16"/>
  <c r="H11" i="16"/>
  <c r="G11" i="16"/>
  <c r="E11" i="16"/>
  <c r="D11" i="16"/>
  <c r="C11" i="16"/>
  <c r="B11" i="16"/>
  <c r="Y10" i="16"/>
  <c r="X10" i="16"/>
  <c r="W10" i="16"/>
  <c r="V10" i="16"/>
  <c r="T10" i="16"/>
  <c r="S10" i="16"/>
  <c r="R10" i="16"/>
  <c r="Q10" i="16"/>
  <c r="O10" i="16"/>
  <c r="N10" i="16"/>
  <c r="M10" i="16"/>
  <c r="L10" i="16"/>
  <c r="J10" i="16"/>
  <c r="I10" i="16"/>
  <c r="H10" i="16"/>
  <c r="G10" i="16"/>
  <c r="E10" i="16"/>
  <c r="D10" i="16"/>
  <c r="C10" i="16"/>
  <c r="B10" i="16"/>
  <c r="Y9" i="16"/>
  <c r="X9" i="16"/>
  <c r="W9" i="16"/>
  <c r="V9" i="16"/>
  <c r="T9" i="16"/>
  <c r="S9" i="16"/>
  <c r="R9" i="16"/>
  <c r="Q9" i="16"/>
  <c r="O9" i="16"/>
  <c r="N9" i="16"/>
  <c r="M9" i="16"/>
  <c r="L9" i="16"/>
  <c r="J9" i="16"/>
  <c r="I9" i="16"/>
  <c r="H9" i="16"/>
  <c r="G9" i="16"/>
  <c r="E9" i="16"/>
  <c r="D9" i="16"/>
  <c r="C9" i="16"/>
  <c r="BA9" i="16" s="1"/>
  <c r="B9" i="16"/>
  <c r="Y8" i="16"/>
  <c r="X8" i="16"/>
  <c r="W8" i="16"/>
  <c r="V8" i="16"/>
  <c r="T8" i="16"/>
  <c r="S8" i="16"/>
  <c r="R8" i="16"/>
  <c r="Q8" i="16"/>
  <c r="O8" i="16"/>
  <c r="N8" i="16"/>
  <c r="M8" i="16"/>
  <c r="L8" i="16"/>
  <c r="J8" i="16"/>
  <c r="I8" i="16"/>
  <c r="H8" i="16"/>
  <c r="G8" i="16"/>
  <c r="E8" i="16"/>
  <c r="D8" i="16"/>
  <c r="C8" i="16"/>
  <c r="B8" i="16"/>
  <c r="Y7" i="16"/>
  <c r="X7" i="16"/>
  <c r="W7" i="16"/>
  <c r="V7" i="16"/>
  <c r="T7" i="16"/>
  <c r="S7" i="16"/>
  <c r="R7" i="16"/>
  <c r="Q7" i="16"/>
  <c r="O7" i="16"/>
  <c r="N7" i="16"/>
  <c r="M7" i="16"/>
  <c r="L7" i="16"/>
  <c r="J7" i="16"/>
  <c r="I7" i="16"/>
  <c r="H7" i="16"/>
  <c r="G7" i="16"/>
  <c r="E7" i="16"/>
  <c r="D7" i="16"/>
  <c r="C7" i="16"/>
  <c r="B7" i="16"/>
  <c r="AZ7" i="16" s="1"/>
  <c r="Y6" i="16"/>
  <c r="X6" i="16"/>
  <c r="BB6" i="16" s="1"/>
  <c r="W6" i="16"/>
  <c r="V6" i="16"/>
  <c r="T6" i="16"/>
  <c r="BC6" i="16" s="1"/>
  <c r="S6" i="16"/>
  <c r="R6" i="16"/>
  <c r="Q6" i="16"/>
  <c r="O6" i="16"/>
  <c r="N6" i="16"/>
  <c r="M6" i="16"/>
  <c r="L6" i="16"/>
  <c r="J6" i="16"/>
  <c r="I6" i="16"/>
  <c r="H6" i="16"/>
  <c r="G6" i="16"/>
  <c r="E6" i="16"/>
  <c r="D6" i="16"/>
  <c r="C6" i="16"/>
  <c r="B6" i="16"/>
  <c r="Y5" i="16"/>
  <c r="X5" i="16"/>
  <c r="W5" i="16"/>
  <c r="V5" i="16"/>
  <c r="T5" i="16"/>
  <c r="S5" i="16"/>
  <c r="R5" i="16"/>
  <c r="Q5" i="16"/>
  <c r="O5" i="16"/>
  <c r="N5" i="16"/>
  <c r="M5" i="16"/>
  <c r="L5" i="16"/>
  <c r="J5" i="16"/>
  <c r="I5" i="16"/>
  <c r="H5" i="16"/>
  <c r="G5" i="16"/>
  <c r="E5" i="16"/>
  <c r="D5" i="16"/>
  <c r="C5" i="16"/>
  <c r="B5" i="16"/>
  <c r="Y4" i="16"/>
  <c r="X4" i="16"/>
  <c r="W4" i="16"/>
  <c r="V4" i="16"/>
  <c r="T4" i="16"/>
  <c r="S4" i="16"/>
  <c r="R4" i="16"/>
  <c r="Q4" i="16"/>
  <c r="O4" i="16"/>
  <c r="N4" i="16"/>
  <c r="M4" i="16"/>
  <c r="L4" i="16"/>
  <c r="J4" i="16"/>
  <c r="I4" i="16"/>
  <c r="H4" i="16"/>
  <c r="G4" i="16"/>
  <c r="E4" i="16"/>
  <c r="D4" i="16"/>
  <c r="C4" i="16"/>
  <c r="B4" i="16"/>
  <c r="Y3" i="16"/>
  <c r="X3" i="16"/>
  <c r="W3" i="16"/>
  <c r="V3" i="16"/>
  <c r="T3" i="16"/>
  <c r="S3" i="16"/>
  <c r="R3" i="16"/>
  <c r="Q3" i="16"/>
  <c r="O3" i="16"/>
  <c r="N3" i="16"/>
  <c r="M3" i="16"/>
  <c r="L3" i="16"/>
  <c r="J3" i="16"/>
  <c r="I3" i="16"/>
  <c r="H3" i="16"/>
  <c r="G3" i="16"/>
  <c r="E3" i="16"/>
  <c r="D3" i="16"/>
  <c r="C3" i="16"/>
  <c r="B3" i="16"/>
  <c r="BC2" i="22"/>
  <c r="BB2" i="22"/>
  <c r="BA2" i="22"/>
  <c r="AZ2" i="22"/>
  <c r="BC2" i="21"/>
  <c r="BB2" i="21"/>
  <c r="Q2" i="23" s="1"/>
  <c r="BA2" i="21"/>
  <c r="AZ2" i="21"/>
  <c r="S2" i="23" s="1"/>
  <c r="BB2" i="11"/>
  <c r="BA2" i="11"/>
  <c r="AZ2" i="11"/>
  <c r="AY2" i="11"/>
  <c r="BC2" i="9"/>
  <c r="R2" i="3" s="1"/>
  <c r="AB2" i="3" s="1"/>
  <c r="BB2" i="9"/>
  <c r="Q2" i="3" s="1"/>
  <c r="AA2" i="3" s="1"/>
  <c r="BA2" i="9"/>
  <c r="AZ2" i="9"/>
  <c r="AX38" i="15"/>
  <c r="AW38" i="15"/>
  <c r="AV38" i="15"/>
  <c r="AU38" i="15"/>
  <c r="AX37" i="15"/>
  <c r="AW37" i="15"/>
  <c r="AV37" i="15"/>
  <c r="AU37" i="15"/>
  <c r="AX36" i="15"/>
  <c r="AW36" i="15"/>
  <c r="AV36" i="15"/>
  <c r="AU36" i="15"/>
  <c r="AX35" i="15"/>
  <c r="AW35" i="15"/>
  <c r="AV35" i="15"/>
  <c r="AU35" i="15"/>
  <c r="AX34" i="15"/>
  <c r="AW34" i="15"/>
  <c r="AV34" i="15"/>
  <c r="AU34" i="15"/>
  <c r="AX33" i="15"/>
  <c r="AW33" i="15"/>
  <c r="AV33" i="15"/>
  <c r="AU33" i="15"/>
  <c r="AX32" i="15"/>
  <c r="AW32" i="15"/>
  <c r="AV32" i="15"/>
  <c r="AU32" i="15"/>
  <c r="AX31" i="15"/>
  <c r="AW31" i="15"/>
  <c r="AV31" i="15"/>
  <c r="AU31" i="15"/>
  <c r="AX30" i="15"/>
  <c r="AW30" i="15"/>
  <c r="AV30" i="15"/>
  <c r="AU30" i="15"/>
  <c r="AX29" i="15"/>
  <c r="AW29" i="15"/>
  <c r="AV29" i="15"/>
  <c r="AU29" i="15"/>
  <c r="AX28" i="15"/>
  <c r="AW28" i="15"/>
  <c r="AV28" i="15"/>
  <c r="AU28" i="15"/>
  <c r="AX27" i="15"/>
  <c r="AW27" i="15"/>
  <c r="AV27" i="15"/>
  <c r="AU27" i="15"/>
  <c r="AX26" i="15"/>
  <c r="AW26" i="15"/>
  <c r="AV26" i="15"/>
  <c r="AU26" i="15"/>
  <c r="AX25" i="15"/>
  <c r="AW25" i="15"/>
  <c r="AV25" i="15"/>
  <c r="AU25" i="15"/>
  <c r="AX24" i="15"/>
  <c r="AW24" i="15"/>
  <c r="AV24" i="15"/>
  <c r="AU24" i="15"/>
  <c r="AX23" i="15"/>
  <c r="AW23" i="15"/>
  <c r="AV23" i="15"/>
  <c r="AU23" i="15"/>
  <c r="AX22" i="15"/>
  <c r="AW22" i="15"/>
  <c r="AV22" i="15"/>
  <c r="AU22" i="15"/>
  <c r="AX21" i="15"/>
  <c r="AW21" i="15"/>
  <c r="AV21" i="15"/>
  <c r="AU21" i="15"/>
  <c r="AX20" i="15"/>
  <c r="AW20" i="15"/>
  <c r="AV20" i="15"/>
  <c r="AU20" i="15"/>
  <c r="AX19" i="15"/>
  <c r="AW19" i="15"/>
  <c r="AV19" i="15"/>
  <c r="AU19" i="15"/>
  <c r="AX18" i="15"/>
  <c r="AW18" i="15"/>
  <c r="AV18" i="15"/>
  <c r="AU18" i="15"/>
  <c r="AX17" i="15"/>
  <c r="AW17" i="15"/>
  <c r="AV17" i="15"/>
  <c r="AU17" i="15"/>
  <c r="AX16" i="15"/>
  <c r="AW16" i="15"/>
  <c r="AV16" i="15"/>
  <c r="AU16" i="15"/>
  <c r="AX15" i="15"/>
  <c r="AW15" i="15"/>
  <c r="AV15" i="15"/>
  <c r="AU15" i="15"/>
  <c r="AX14" i="15"/>
  <c r="AW14" i="15"/>
  <c r="AV14" i="15"/>
  <c r="AU14" i="15"/>
  <c r="AX13" i="15"/>
  <c r="AW13" i="15"/>
  <c r="AV13" i="15"/>
  <c r="AU13" i="15"/>
  <c r="AX12" i="15"/>
  <c r="AW12" i="15"/>
  <c r="AV12" i="15"/>
  <c r="AU12" i="15"/>
  <c r="AX11" i="15"/>
  <c r="AW11" i="15"/>
  <c r="AV11" i="15"/>
  <c r="AU11" i="15"/>
  <c r="AX10" i="15"/>
  <c r="AW10" i="15"/>
  <c r="AV10" i="15"/>
  <c r="AU10" i="15"/>
  <c r="AX9" i="15"/>
  <c r="AW9" i="15"/>
  <c r="AV9" i="15"/>
  <c r="AU9" i="15"/>
  <c r="AX8" i="15"/>
  <c r="AW8" i="15"/>
  <c r="AV8" i="15"/>
  <c r="AU8" i="15"/>
  <c r="AX7" i="15"/>
  <c r="AW7" i="15"/>
  <c r="AV7" i="15"/>
  <c r="AU7" i="15"/>
  <c r="AX6" i="15"/>
  <c r="AW6" i="15"/>
  <c r="AV6" i="15"/>
  <c r="AU6" i="15"/>
  <c r="AX5" i="15"/>
  <c r="AW5" i="15"/>
  <c r="AV5" i="15"/>
  <c r="AU5" i="15"/>
  <c r="AX4" i="15"/>
  <c r="AW4" i="15"/>
  <c r="AV4" i="15"/>
  <c r="AU4" i="15"/>
  <c r="AX3" i="15"/>
  <c r="AW3" i="15"/>
  <c r="AV3" i="15"/>
  <c r="AU3" i="15"/>
  <c r="AS38" i="15"/>
  <c r="AR38" i="15"/>
  <c r="AQ38" i="15"/>
  <c r="AP38" i="15"/>
  <c r="AS37" i="15"/>
  <c r="AR37" i="15"/>
  <c r="AQ37" i="15"/>
  <c r="AP37" i="15"/>
  <c r="AS36" i="15"/>
  <c r="AR36" i="15"/>
  <c r="AQ36" i="15"/>
  <c r="AP36" i="15"/>
  <c r="AS35" i="15"/>
  <c r="AR35" i="15"/>
  <c r="AQ35" i="15"/>
  <c r="AP35" i="15"/>
  <c r="AS34" i="15"/>
  <c r="AR34" i="15"/>
  <c r="AQ34" i="15"/>
  <c r="AP34" i="15"/>
  <c r="AS33" i="15"/>
  <c r="AR33" i="15"/>
  <c r="AQ33" i="15"/>
  <c r="AP33" i="15"/>
  <c r="AS32" i="15"/>
  <c r="AR32" i="15"/>
  <c r="AQ32" i="15"/>
  <c r="AP32" i="15"/>
  <c r="AS31" i="15"/>
  <c r="BB31" i="15" s="1"/>
  <c r="AR31" i="15"/>
  <c r="AQ31" i="15"/>
  <c r="AP31" i="15"/>
  <c r="AY31" i="15" s="1"/>
  <c r="AS30" i="15"/>
  <c r="AR30" i="15"/>
  <c r="AQ30" i="15"/>
  <c r="AP30" i="15"/>
  <c r="AS29" i="15"/>
  <c r="AR29" i="15"/>
  <c r="AQ29" i="15"/>
  <c r="AP29" i="15"/>
  <c r="AS28" i="15"/>
  <c r="AR28" i="15"/>
  <c r="AQ28" i="15"/>
  <c r="AP28" i="15"/>
  <c r="AS27" i="15"/>
  <c r="AR27" i="15"/>
  <c r="AQ27" i="15"/>
  <c r="AP27" i="15"/>
  <c r="AS26" i="15"/>
  <c r="AR26" i="15"/>
  <c r="AQ26" i="15"/>
  <c r="AP26" i="15"/>
  <c r="AS25" i="15"/>
  <c r="AR25" i="15"/>
  <c r="AQ25" i="15"/>
  <c r="AP25" i="15"/>
  <c r="AS24" i="15"/>
  <c r="AR24" i="15"/>
  <c r="AQ24" i="15"/>
  <c r="AP24" i="15"/>
  <c r="AS23" i="15"/>
  <c r="BB23" i="15" s="1"/>
  <c r="AR23" i="15"/>
  <c r="BA23" i="15" s="1"/>
  <c r="AQ23" i="15"/>
  <c r="AZ23" i="15" s="1"/>
  <c r="AP23" i="15"/>
  <c r="AY23" i="15" s="1"/>
  <c r="AS22" i="15"/>
  <c r="AR22" i="15"/>
  <c r="AQ22" i="15"/>
  <c r="AP22" i="15"/>
  <c r="AS21" i="15"/>
  <c r="AR21" i="15"/>
  <c r="AQ21" i="15"/>
  <c r="AP21" i="15"/>
  <c r="AS20" i="15"/>
  <c r="AR20" i="15"/>
  <c r="AQ20" i="15"/>
  <c r="AP20" i="15"/>
  <c r="AS19" i="15"/>
  <c r="AR19" i="15"/>
  <c r="AQ19" i="15"/>
  <c r="AP19" i="15"/>
  <c r="AS18" i="15"/>
  <c r="AR18" i="15"/>
  <c r="AQ18" i="15"/>
  <c r="AP18" i="15"/>
  <c r="AS17" i="15"/>
  <c r="AR17" i="15"/>
  <c r="AQ17" i="15"/>
  <c r="AP17" i="15"/>
  <c r="AS16" i="15"/>
  <c r="AR16" i="15"/>
  <c r="AQ16" i="15"/>
  <c r="AP16" i="15"/>
  <c r="AS15" i="15"/>
  <c r="BB15" i="15" s="1"/>
  <c r="AR15" i="15"/>
  <c r="BA15" i="15" s="1"/>
  <c r="AQ15" i="15"/>
  <c r="AP15" i="15"/>
  <c r="AS14" i="15"/>
  <c r="AR14" i="15"/>
  <c r="AQ14" i="15"/>
  <c r="AP14" i="15"/>
  <c r="AS13" i="15"/>
  <c r="AR13" i="15"/>
  <c r="AQ13" i="15"/>
  <c r="AP13" i="15"/>
  <c r="AS12" i="15"/>
  <c r="AR12" i="15"/>
  <c r="AQ12" i="15"/>
  <c r="AP12" i="15"/>
  <c r="AS11" i="15"/>
  <c r="AR11" i="15"/>
  <c r="AQ11" i="15"/>
  <c r="AP11" i="15"/>
  <c r="AS10" i="15"/>
  <c r="AR10" i="15"/>
  <c r="AQ10" i="15"/>
  <c r="AP10" i="15"/>
  <c r="AS9" i="15"/>
  <c r="AR9" i="15"/>
  <c r="AQ9" i="15"/>
  <c r="AP9" i="15"/>
  <c r="AS8" i="15"/>
  <c r="AR8" i="15"/>
  <c r="AQ8" i="15"/>
  <c r="AP8" i="15"/>
  <c r="AS7" i="15"/>
  <c r="BB7" i="15" s="1"/>
  <c r="AR7" i="15"/>
  <c r="BA7" i="15" s="1"/>
  <c r="AQ7" i="15"/>
  <c r="AP7" i="15"/>
  <c r="AY7" i="15" s="1"/>
  <c r="AS6" i="15"/>
  <c r="AR6" i="15"/>
  <c r="AQ6" i="15"/>
  <c r="AP6" i="15"/>
  <c r="AS5" i="15"/>
  <c r="AR5" i="15"/>
  <c r="AQ5" i="15"/>
  <c r="AP5" i="15"/>
  <c r="AS4" i="15"/>
  <c r="AR4" i="15"/>
  <c r="AQ4" i="15"/>
  <c r="AP4" i="15"/>
  <c r="AS3" i="15"/>
  <c r="AR3" i="15"/>
  <c r="AQ3" i="15"/>
  <c r="AP3" i="15"/>
  <c r="Y38" i="21"/>
  <c r="X38" i="21"/>
  <c r="W38" i="21"/>
  <c r="V38" i="21"/>
  <c r="T38" i="21"/>
  <c r="S38" i="21"/>
  <c r="R38" i="21"/>
  <c r="Q38" i="21"/>
  <c r="O38" i="21"/>
  <c r="N38" i="21"/>
  <c r="M38" i="21"/>
  <c r="L38" i="21"/>
  <c r="J38" i="21"/>
  <c r="I38" i="21"/>
  <c r="H38" i="21"/>
  <c r="G38" i="21"/>
  <c r="E38" i="21"/>
  <c r="D38" i="21"/>
  <c r="C38" i="21"/>
  <c r="B38" i="21"/>
  <c r="Y37" i="21"/>
  <c r="X37" i="21"/>
  <c r="W37" i="21"/>
  <c r="V37" i="21"/>
  <c r="T37" i="21"/>
  <c r="S37" i="21"/>
  <c r="R37" i="21"/>
  <c r="Q37" i="21"/>
  <c r="O37" i="21"/>
  <c r="N37" i="21"/>
  <c r="M37" i="21"/>
  <c r="L37" i="21"/>
  <c r="J37" i="21"/>
  <c r="I37" i="21"/>
  <c r="H37" i="21"/>
  <c r="G37" i="21"/>
  <c r="E37" i="21"/>
  <c r="D37" i="21"/>
  <c r="C37" i="21"/>
  <c r="B37" i="21"/>
  <c r="Y36" i="21"/>
  <c r="X36" i="21"/>
  <c r="W36" i="21"/>
  <c r="V36" i="21"/>
  <c r="T36" i="21"/>
  <c r="S36" i="21"/>
  <c r="R36" i="21"/>
  <c r="Q36" i="21"/>
  <c r="O36" i="21"/>
  <c r="N36" i="21"/>
  <c r="M36" i="21"/>
  <c r="L36" i="21"/>
  <c r="J36" i="21"/>
  <c r="I36" i="21"/>
  <c r="H36" i="21"/>
  <c r="G36" i="21"/>
  <c r="E36" i="21"/>
  <c r="D36" i="21"/>
  <c r="C36" i="21"/>
  <c r="B36" i="21"/>
  <c r="Y35" i="21"/>
  <c r="X35" i="21"/>
  <c r="W35" i="21"/>
  <c r="V35" i="21"/>
  <c r="T35" i="21"/>
  <c r="S35" i="21"/>
  <c r="R35" i="21"/>
  <c r="Q35" i="21"/>
  <c r="O35" i="21"/>
  <c r="N35" i="21"/>
  <c r="M35" i="21"/>
  <c r="L35" i="21"/>
  <c r="J35" i="21"/>
  <c r="I35" i="21"/>
  <c r="H35" i="21"/>
  <c r="G35" i="21"/>
  <c r="E35" i="21"/>
  <c r="D35" i="21"/>
  <c r="C35" i="21"/>
  <c r="B35" i="21"/>
  <c r="Y34" i="21"/>
  <c r="X34" i="21"/>
  <c r="W34" i="21"/>
  <c r="V34" i="21"/>
  <c r="T34" i="21"/>
  <c r="S34" i="21"/>
  <c r="R34" i="21"/>
  <c r="Q34" i="21"/>
  <c r="O34" i="21"/>
  <c r="N34" i="21"/>
  <c r="M34" i="21"/>
  <c r="L34" i="21"/>
  <c r="J34" i="21"/>
  <c r="I34" i="21"/>
  <c r="H34" i="21"/>
  <c r="G34" i="21"/>
  <c r="E34" i="21"/>
  <c r="D34" i="21"/>
  <c r="C34" i="21"/>
  <c r="B34" i="21"/>
  <c r="Y33" i="21"/>
  <c r="X33" i="21"/>
  <c r="W33" i="21"/>
  <c r="V33" i="21"/>
  <c r="T33" i="21"/>
  <c r="S33" i="21"/>
  <c r="R33" i="21"/>
  <c r="Q33" i="21"/>
  <c r="O33" i="21"/>
  <c r="N33" i="21"/>
  <c r="M33" i="21"/>
  <c r="L33" i="21"/>
  <c r="J33" i="21"/>
  <c r="I33" i="21"/>
  <c r="H33" i="21"/>
  <c r="G33" i="21"/>
  <c r="E33" i="21"/>
  <c r="D33" i="21"/>
  <c r="C33" i="21"/>
  <c r="B33" i="21"/>
  <c r="Y32" i="21"/>
  <c r="X32" i="21"/>
  <c r="W32" i="21"/>
  <c r="V32" i="21"/>
  <c r="T32" i="21"/>
  <c r="S32" i="21"/>
  <c r="R32" i="21"/>
  <c r="Q32" i="21"/>
  <c r="O32" i="21"/>
  <c r="N32" i="21"/>
  <c r="M32" i="21"/>
  <c r="L32" i="21"/>
  <c r="J32" i="21"/>
  <c r="I32" i="21"/>
  <c r="H32" i="21"/>
  <c r="G32" i="21"/>
  <c r="E32" i="21"/>
  <c r="D32" i="21"/>
  <c r="C32" i="21"/>
  <c r="B32" i="21"/>
  <c r="Y31" i="21"/>
  <c r="X31" i="21"/>
  <c r="W31" i="21"/>
  <c r="V31" i="21"/>
  <c r="T31" i="21"/>
  <c r="S31" i="21"/>
  <c r="R31" i="21"/>
  <c r="Q31" i="21"/>
  <c r="O31" i="21"/>
  <c r="N31" i="21"/>
  <c r="M31" i="21"/>
  <c r="L31" i="21"/>
  <c r="J31" i="21"/>
  <c r="I31" i="21"/>
  <c r="H31" i="21"/>
  <c r="G31" i="21"/>
  <c r="E31" i="21"/>
  <c r="D31" i="21"/>
  <c r="C31" i="21"/>
  <c r="B31" i="21"/>
  <c r="Y30" i="21"/>
  <c r="X30" i="21"/>
  <c r="W30" i="21"/>
  <c r="V30" i="21"/>
  <c r="T30" i="21"/>
  <c r="S30" i="21"/>
  <c r="R30" i="21"/>
  <c r="Q30" i="21"/>
  <c r="O30" i="21"/>
  <c r="N30" i="21"/>
  <c r="M30" i="21"/>
  <c r="L30" i="21"/>
  <c r="J30" i="21"/>
  <c r="I30" i="21"/>
  <c r="H30" i="21"/>
  <c r="G30" i="21"/>
  <c r="E30" i="21"/>
  <c r="D30" i="21"/>
  <c r="C30" i="21"/>
  <c r="B30" i="21"/>
  <c r="Y29" i="21"/>
  <c r="X29" i="21"/>
  <c r="W29" i="21"/>
  <c r="V29" i="21"/>
  <c r="T29" i="21"/>
  <c r="S29" i="21"/>
  <c r="R29" i="21"/>
  <c r="Q29" i="21"/>
  <c r="O29" i="21"/>
  <c r="N29" i="21"/>
  <c r="M29" i="21"/>
  <c r="L29" i="21"/>
  <c r="J29" i="21"/>
  <c r="I29" i="21"/>
  <c r="H29" i="21"/>
  <c r="G29" i="21"/>
  <c r="E29" i="21"/>
  <c r="D29" i="21"/>
  <c r="C29" i="21"/>
  <c r="B29" i="21"/>
  <c r="Y28" i="21"/>
  <c r="X28" i="21"/>
  <c r="W28" i="21"/>
  <c r="V28" i="21"/>
  <c r="T28" i="21"/>
  <c r="S28" i="21"/>
  <c r="R28" i="21"/>
  <c r="Q28" i="21"/>
  <c r="O28" i="21"/>
  <c r="N28" i="21"/>
  <c r="M28" i="21"/>
  <c r="L28" i="21"/>
  <c r="J28" i="21"/>
  <c r="I28" i="21"/>
  <c r="H28" i="21"/>
  <c r="G28" i="21"/>
  <c r="E28" i="21"/>
  <c r="D28" i="21"/>
  <c r="C28" i="21"/>
  <c r="B28" i="21"/>
  <c r="Y27" i="21"/>
  <c r="X27" i="21"/>
  <c r="W27" i="21"/>
  <c r="V27" i="21"/>
  <c r="T27" i="21"/>
  <c r="S27" i="21"/>
  <c r="R27" i="21"/>
  <c r="Q27" i="21"/>
  <c r="O27" i="21"/>
  <c r="N27" i="21"/>
  <c r="M27" i="21"/>
  <c r="L27" i="21"/>
  <c r="J27" i="21"/>
  <c r="I27" i="21"/>
  <c r="H27" i="21"/>
  <c r="G27" i="21"/>
  <c r="E27" i="21"/>
  <c r="D27" i="21"/>
  <c r="C27" i="21"/>
  <c r="B27" i="21"/>
  <c r="Y26" i="21"/>
  <c r="X26" i="21"/>
  <c r="W26" i="21"/>
  <c r="V26" i="21"/>
  <c r="T26" i="21"/>
  <c r="S26" i="21"/>
  <c r="R26" i="21"/>
  <c r="Q26" i="21"/>
  <c r="O26" i="21"/>
  <c r="N26" i="21"/>
  <c r="M26" i="21"/>
  <c r="L26" i="21"/>
  <c r="J26" i="21"/>
  <c r="I26" i="21"/>
  <c r="H26" i="21"/>
  <c r="G26" i="21"/>
  <c r="E26" i="21"/>
  <c r="D26" i="21"/>
  <c r="C26" i="21"/>
  <c r="B26" i="21"/>
  <c r="Y25" i="21"/>
  <c r="X25" i="21"/>
  <c r="W25" i="21"/>
  <c r="V25" i="21"/>
  <c r="T25" i="21"/>
  <c r="S25" i="21"/>
  <c r="R25" i="21"/>
  <c r="Q25" i="21"/>
  <c r="O25" i="21"/>
  <c r="N25" i="21"/>
  <c r="M25" i="21"/>
  <c r="L25" i="21"/>
  <c r="J25" i="21"/>
  <c r="I25" i="21"/>
  <c r="H25" i="21"/>
  <c r="G25" i="21"/>
  <c r="E25" i="21"/>
  <c r="D25" i="21"/>
  <c r="C25" i="21"/>
  <c r="B25" i="21"/>
  <c r="Y24" i="21"/>
  <c r="X24" i="21"/>
  <c r="W24" i="21"/>
  <c r="V24" i="21"/>
  <c r="T24" i="21"/>
  <c r="S24" i="21"/>
  <c r="R24" i="21"/>
  <c r="Q24" i="21"/>
  <c r="O24" i="21"/>
  <c r="N24" i="21"/>
  <c r="M24" i="21"/>
  <c r="L24" i="21"/>
  <c r="J24" i="21"/>
  <c r="I24" i="21"/>
  <c r="H24" i="21"/>
  <c r="G24" i="21"/>
  <c r="E24" i="21"/>
  <c r="D24" i="21"/>
  <c r="C24" i="21"/>
  <c r="B24" i="21"/>
  <c r="Y23" i="21"/>
  <c r="X23" i="21"/>
  <c r="W23" i="21"/>
  <c r="V23" i="21"/>
  <c r="T23" i="21"/>
  <c r="S23" i="21"/>
  <c r="R23" i="21"/>
  <c r="Q23" i="21"/>
  <c r="O23" i="21"/>
  <c r="N23" i="21"/>
  <c r="M23" i="21"/>
  <c r="L23" i="21"/>
  <c r="J23" i="21"/>
  <c r="I23" i="21"/>
  <c r="H23" i="21"/>
  <c r="G23" i="21"/>
  <c r="E23" i="21"/>
  <c r="D23" i="21"/>
  <c r="C23" i="21"/>
  <c r="B23" i="21"/>
  <c r="Y22" i="21"/>
  <c r="X22" i="21"/>
  <c r="W22" i="21"/>
  <c r="V22" i="21"/>
  <c r="T22" i="21"/>
  <c r="S22" i="21"/>
  <c r="R22" i="21"/>
  <c r="Q22" i="21"/>
  <c r="O22" i="21"/>
  <c r="N22" i="21"/>
  <c r="M22" i="21"/>
  <c r="L22" i="21"/>
  <c r="J22" i="21"/>
  <c r="I22" i="21"/>
  <c r="H22" i="21"/>
  <c r="G22" i="21"/>
  <c r="E22" i="21"/>
  <c r="D22" i="21"/>
  <c r="C22" i="21"/>
  <c r="B22" i="21"/>
  <c r="Y21" i="21"/>
  <c r="X21" i="21"/>
  <c r="W21" i="21"/>
  <c r="V21" i="21"/>
  <c r="T21" i="21"/>
  <c r="S21" i="21"/>
  <c r="R21" i="21"/>
  <c r="Q21" i="21"/>
  <c r="O21" i="21"/>
  <c r="N21" i="21"/>
  <c r="M21" i="21"/>
  <c r="L21" i="21"/>
  <c r="J21" i="21"/>
  <c r="I21" i="21"/>
  <c r="H21" i="21"/>
  <c r="G21" i="21"/>
  <c r="E21" i="21"/>
  <c r="D21" i="21"/>
  <c r="C21" i="21"/>
  <c r="B21" i="21"/>
  <c r="Y20" i="21"/>
  <c r="X20" i="21"/>
  <c r="W20" i="21"/>
  <c r="V20" i="21"/>
  <c r="T20" i="21"/>
  <c r="S20" i="21"/>
  <c r="R20" i="21"/>
  <c r="Q20" i="21"/>
  <c r="O20" i="21"/>
  <c r="N20" i="21"/>
  <c r="M20" i="21"/>
  <c r="L20" i="21"/>
  <c r="J20" i="21"/>
  <c r="I20" i="21"/>
  <c r="H20" i="21"/>
  <c r="G20" i="21"/>
  <c r="E20" i="21"/>
  <c r="D20" i="21"/>
  <c r="C20" i="21"/>
  <c r="B20" i="21"/>
  <c r="Y19" i="21"/>
  <c r="X19" i="21"/>
  <c r="W19" i="21"/>
  <c r="V19" i="21"/>
  <c r="T19" i="21"/>
  <c r="S19" i="21"/>
  <c r="R19" i="21"/>
  <c r="Q19" i="21"/>
  <c r="O19" i="21"/>
  <c r="N19" i="21"/>
  <c r="M19" i="21"/>
  <c r="L19" i="21"/>
  <c r="J19" i="21"/>
  <c r="I19" i="21"/>
  <c r="H19" i="21"/>
  <c r="G19" i="21"/>
  <c r="E19" i="21"/>
  <c r="D19" i="21"/>
  <c r="C19" i="21"/>
  <c r="B19" i="21"/>
  <c r="Y18" i="21"/>
  <c r="X18" i="21"/>
  <c r="W18" i="21"/>
  <c r="V18" i="21"/>
  <c r="T18" i="21"/>
  <c r="S18" i="21"/>
  <c r="R18" i="21"/>
  <c r="Q18" i="21"/>
  <c r="O18" i="21"/>
  <c r="N18" i="21"/>
  <c r="M18" i="21"/>
  <c r="L18" i="21"/>
  <c r="J18" i="21"/>
  <c r="I18" i="21"/>
  <c r="H18" i="21"/>
  <c r="G18" i="21"/>
  <c r="E18" i="21"/>
  <c r="D18" i="21"/>
  <c r="C18" i="21"/>
  <c r="B18" i="21"/>
  <c r="Y17" i="21"/>
  <c r="X17" i="21"/>
  <c r="W17" i="21"/>
  <c r="V17" i="21"/>
  <c r="T17" i="21"/>
  <c r="S17" i="21"/>
  <c r="R17" i="21"/>
  <c r="Q17" i="21"/>
  <c r="O17" i="21"/>
  <c r="N17" i="21"/>
  <c r="M17" i="21"/>
  <c r="L17" i="21"/>
  <c r="J17" i="21"/>
  <c r="I17" i="21"/>
  <c r="H17" i="21"/>
  <c r="G17" i="21"/>
  <c r="E17" i="21"/>
  <c r="D17" i="21"/>
  <c r="C17" i="21"/>
  <c r="B17" i="21"/>
  <c r="Y16" i="21"/>
  <c r="X16" i="21"/>
  <c r="W16" i="21"/>
  <c r="V16" i="21"/>
  <c r="T16" i="21"/>
  <c r="S16" i="21"/>
  <c r="R16" i="21"/>
  <c r="Q16" i="21"/>
  <c r="O16" i="21"/>
  <c r="N16" i="21"/>
  <c r="M16" i="21"/>
  <c r="L16" i="21"/>
  <c r="J16" i="21"/>
  <c r="I16" i="21"/>
  <c r="H16" i="21"/>
  <c r="G16" i="21"/>
  <c r="E16" i="21"/>
  <c r="D16" i="21"/>
  <c r="C16" i="21"/>
  <c r="B16" i="21"/>
  <c r="Y15" i="21"/>
  <c r="X15" i="21"/>
  <c r="W15" i="21"/>
  <c r="V15" i="21"/>
  <c r="T15" i="21"/>
  <c r="S15" i="21"/>
  <c r="R15" i="21"/>
  <c r="Q15" i="21"/>
  <c r="O15" i="21"/>
  <c r="N15" i="21"/>
  <c r="M15" i="21"/>
  <c r="L15" i="21"/>
  <c r="J15" i="21"/>
  <c r="I15" i="21"/>
  <c r="H15" i="21"/>
  <c r="G15" i="21"/>
  <c r="E15" i="21"/>
  <c r="D15" i="21"/>
  <c r="C15" i="21"/>
  <c r="B15" i="21"/>
  <c r="Y14" i="21"/>
  <c r="X14" i="21"/>
  <c r="W14" i="21"/>
  <c r="V14" i="21"/>
  <c r="T14" i="21"/>
  <c r="S14" i="21"/>
  <c r="R14" i="21"/>
  <c r="Q14" i="21"/>
  <c r="O14" i="21"/>
  <c r="N14" i="21"/>
  <c r="M14" i="21"/>
  <c r="L14" i="21"/>
  <c r="J14" i="21"/>
  <c r="I14" i="21"/>
  <c r="H14" i="21"/>
  <c r="G14" i="21"/>
  <c r="E14" i="21"/>
  <c r="D14" i="21"/>
  <c r="C14" i="21"/>
  <c r="B14" i="21"/>
  <c r="Y13" i="21"/>
  <c r="X13" i="21"/>
  <c r="W13" i="21"/>
  <c r="V13" i="21"/>
  <c r="T13" i="21"/>
  <c r="S13" i="21"/>
  <c r="R13" i="21"/>
  <c r="Q13" i="21"/>
  <c r="O13" i="21"/>
  <c r="N13" i="21"/>
  <c r="M13" i="21"/>
  <c r="L13" i="21"/>
  <c r="J13" i="21"/>
  <c r="I13" i="21"/>
  <c r="H13" i="21"/>
  <c r="G13" i="21"/>
  <c r="E13" i="21"/>
  <c r="D13" i="21"/>
  <c r="C13" i="21"/>
  <c r="B13" i="21"/>
  <c r="Y12" i="21"/>
  <c r="X12" i="21"/>
  <c r="W12" i="21"/>
  <c r="V12" i="21"/>
  <c r="T12" i="21"/>
  <c r="S12" i="21"/>
  <c r="R12" i="21"/>
  <c r="Q12" i="21"/>
  <c r="O12" i="21"/>
  <c r="N12" i="21"/>
  <c r="M12" i="21"/>
  <c r="L12" i="21"/>
  <c r="J12" i="21"/>
  <c r="I12" i="21"/>
  <c r="H12" i="21"/>
  <c r="G12" i="21"/>
  <c r="E12" i="21"/>
  <c r="D12" i="21"/>
  <c r="C12" i="21"/>
  <c r="B12" i="21"/>
  <c r="Y11" i="21"/>
  <c r="X11" i="21"/>
  <c r="W11" i="21"/>
  <c r="V11" i="21"/>
  <c r="T11" i="21"/>
  <c r="S11" i="21"/>
  <c r="R11" i="21"/>
  <c r="Q11" i="21"/>
  <c r="O11" i="21"/>
  <c r="N11" i="21"/>
  <c r="M11" i="21"/>
  <c r="L11" i="21"/>
  <c r="J11" i="21"/>
  <c r="I11" i="21"/>
  <c r="H11" i="21"/>
  <c r="G11" i="21"/>
  <c r="E11" i="21"/>
  <c r="D11" i="21"/>
  <c r="C11" i="21"/>
  <c r="B11" i="21"/>
  <c r="Y10" i="21"/>
  <c r="X10" i="21"/>
  <c r="W10" i="21"/>
  <c r="V10" i="21"/>
  <c r="T10" i="21"/>
  <c r="S10" i="21"/>
  <c r="R10" i="21"/>
  <c r="Q10" i="21"/>
  <c r="O10" i="21"/>
  <c r="N10" i="21"/>
  <c r="M10" i="21"/>
  <c r="L10" i="21"/>
  <c r="J10" i="21"/>
  <c r="I10" i="21"/>
  <c r="H10" i="21"/>
  <c r="G10" i="21"/>
  <c r="E10" i="21"/>
  <c r="D10" i="21"/>
  <c r="C10" i="21"/>
  <c r="B10" i="21"/>
  <c r="Y9" i="21"/>
  <c r="X9" i="21"/>
  <c r="W9" i="21"/>
  <c r="V9" i="21"/>
  <c r="T9" i="21"/>
  <c r="S9" i="21"/>
  <c r="R9" i="21"/>
  <c r="Q9" i="21"/>
  <c r="O9" i="21"/>
  <c r="N9" i="21"/>
  <c r="M9" i="21"/>
  <c r="L9" i="21"/>
  <c r="J9" i="21"/>
  <c r="I9" i="21"/>
  <c r="H9" i="21"/>
  <c r="G9" i="21"/>
  <c r="E9" i="21"/>
  <c r="D9" i="21"/>
  <c r="C9" i="21"/>
  <c r="B9" i="21"/>
  <c r="Y8" i="21"/>
  <c r="X8" i="21"/>
  <c r="W8" i="21"/>
  <c r="V8" i="21"/>
  <c r="T8" i="21"/>
  <c r="S8" i="21"/>
  <c r="R8" i="21"/>
  <c r="Q8" i="21"/>
  <c r="O8" i="21"/>
  <c r="N8" i="21"/>
  <c r="M8" i="21"/>
  <c r="L8" i="21"/>
  <c r="J8" i="21"/>
  <c r="I8" i="21"/>
  <c r="H8" i="21"/>
  <c r="G8" i="21"/>
  <c r="E8" i="21"/>
  <c r="D8" i="21"/>
  <c r="C8" i="21"/>
  <c r="B8" i="21"/>
  <c r="Y7" i="21"/>
  <c r="X7" i="21"/>
  <c r="W7" i="21"/>
  <c r="V7" i="21"/>
  <c r="T7" i="21"/>
  <c r="S7" i="21"/>
  <c r="R7" i="21"/>
  <c r="Q7" i="21"/>
  <c r="O7" i="21"/>
  <c r="N7" i="21"/>
  <c r="M7" i="21"/>
  <c r="L7" i="21"/>
  <c r="J7" i="21"/>
  <c r="I7" i="21"/>
  <c r="H7" i="21"/>
  <c r="G7" i="21"/>
  <c r="E7" i="21"/>
  <c r="D7" i="21"/>
  <c r="C7" i="21"/>
  <c r="B7" i="21"/>
  <c r="Y6" i="21"/>
  <c r="X6" i="21"/>
  <c r="W6" i="21"/>
  <c r="V6" i="21"/>
  <c r="T6" i="21"/>
  <c r="S6" i="21"/>
  <c r="R6" i="21"/>
  <c r="Q6" i="21"/>
  <c r="O6" i="21"/>
  <c r="N6" i="21"/>
  <c r="M6" i="21"/>
  <c r="L6" i="21"/>
  <c r="J6" i="21"/>
  <c r="I6" i="21"/>
  <c r="H6" i="21"/>
  <c r="G6" i="21"/>
  <c r="E6" i="21"/>
  <c r="D6" i="21"/>
  <c r="C6" i="21"/>
  <c r="B6" i="21"/>
  <c r="Y5" i="21"/>
  <c r="X5" i="21"/>
  <c r="W5" i="21"/>
  <c r="V5" i="21"/>
  <c r="T5" i="21"/>
  <c r="S5" i="21"/>
  <c r="R5" i="21"/>
  <c r="Q5" i="21"/>
  <c r="O5" i="21"/>
  <c r="N5" i="21"/>
  <c r="M5" i="21"/>
  <c r="L5" i="21"/>
  <c r="J5" i="21"/>
  <c r="I5" i="21"/>
  <c r="H5" i="21"/>
  <c r="G5" i="21"/>
  <c r="E5" i="21"/>
  <c r="D5" i="21"/>
  <c r="C5" i="21"/>
  <c r="B5" i="21"/>
  <c r="Y4" i="21"/>
  <c r="X4" i="21"/>
  <c r="W4" i="21"/>
  <c r="V4" i="21"/>
  <c r="T4" i="21"/>
  <c r="S4" i="21"/>
  <c r="R4" i="21"/>
  <c r="Q4" i="21"/>
  <c r="O4" i="21"/>
  <c r="N4" i="21"/>
  <c r="M4" i="21"/>
  <c r="L4" i="21"/>
  <c r="J4" i="21"/>
  <c r="I4" i="21"/>
  <c r="H4" i="21"/>
  <c r="G4" i="21"/>
  <c r="E4" i="21"/>
  <c r="D4" i="21"/>
  <c r="C4" i="21"/>
  <c r="B4" i="21"/>
  <c r="Y3" i="21"/>
  <c r="X3" i="21"/>
  <c r="W3" i="21"/>
  <c r="V3" i="21"/>
  <c r="T3" i="21"/>
  <c r="S3" i="21"/>
  <c r="R3" i="21"/>
  <c r="Q3" i="21"/>
  <c r="O3" i="21"/>
  <c r="N3" i="21"/>
  <c r="M3" i="21"/>
  <c r="L3" i="21"/>
  <c r="J3" i="21"/>
  <c r="I3" i="21"/>
  <c r="H3" i="21"/>
  <c r="G3" i="21"/>
  <c r="E3" i="21"/>
  <c r="D3" i="21"/>
  <c r="C3" i="21"/>
  <c r="B3" i="21"/>
  <c r="AZ38" i="20"/>
  <c r="N38" i="23" s="1"/>
  <c r="AZ37" i="20"/>
  <c r="N37" i="23" s="1"/>
  <c r="AZ36" i="20"/>
  <c r="N36" i="23" s="1"/>
  <c r="AZ35" i="20"/>
  <c r="N35" i="23" s="1"/>
  <c r="AZ34" i="20"/>
  <c r="N34" i="23" s="1"/>
  <c r="AZ33" i="20"/>
  <c r="N33" i="23" s="1"/>
  <c r="AZ32" i="20"/>
  <c r="N32" i="23" s="1"/>
  <c r="AZ31" i="20"/>
  <c r="N31" i="23" s="1"/>
  <c r="AZ30" i="20"/>
  <c r="N30" i="23" s="1"/>
  <c r="AZ29" i="20"/>
  <c r="N29" i="23" s="1"/>
  <c r="AZ28" i="20"/>
  <c r="N28" i="23" s="1"/>
  <c r="AZ27" i="20"/>
  <c r="N27" i="23" s="1"/>
  <c r="AZ26" i="20"/>
  <c r="N26" i="23" s="1"/>
  <c r="AZ25" i="20"/>
  <c r="N25" i="23" s="1"/>
  <c r="AZ24" i="20"/>
  <c r="N24" i="23" s="1"/>
  <c r="AZ23" i="20"/>
  <c r="N23" i="23" s="1"/>
  <c r="AZ22" i="20"/>
  <c r="N22" i="23" s="1"/>
  <c r="AZ21" i="20"/>
  <c r="N21" i="23" s="1"/>
  <c r="AZ20" i="20"/>
  <c r="N20" i="23" s="1"/>
  <c r="AZ19" i="20"/>
  <c r="N19" i="23" s="1"/>
  <c r="AZ18" i="20"/>
  <c r="N18" i="23" s="1"/>
  <c r="AZ17" i="20"/>
  <c r="N17" i="23" s="1"/>
  <c r="AZ16" i="20"/>
  <c r="N16" i="23" s="1"/>
  <c r="AZ15" i="20"/>
  <c r="N15" i="23" s="1"/>
  <c r="AZ14" i="20"/>
  <c r="N14" i="23" s="1"/>
  <c r="AZ13" i="20"/>
  <c r="N13" i="23" s="1"/>
  <c r="AZ12" i="20"/>
  <c r="N12" i="23" s="1"/>
  <c r="AZ11" i="20"/>
  <c r="N11" i="23" s="1"/>
  <c r="AZ10" i="20"/>
  <c r="N10" i="23" s="1"/>
  <c r="AZ9" i="20"/>
  <c r="N9" i="23" s="1"/>
  <c r="AZ8" i="20"/>
  <c r="N8" i="23" s="1"/>
  <c r="AZ7" i="20"/>
  <c r="N7" i="23" s="1"/>
  <c r="AZ6" i="20"/>
  <c r="N6" i="23" s="1"/>
  <c r="AZ5" i="20"/>
  <c r="N5" i="23" s="1"/>
  <c r="AZ4" i="20"/>
  <c r="N4" i="23" s="1"/>
  <c r="AZ3" i="20"/>
  <c r="N3" i="23" s="1"/>
  <c r="BC2" i="20"/>
  <c r="M2" i="23" s="1"/>
  <c r="BB2" i="20"/>
  <c r="L2" i="23" s="1"/>
  <c r="BA2" i="20"/>
  <c r="O2" i="23" s="1"/>
  <c r="AZ2" i="20"/>
  <c r="O38" i="17"/>
  <c r="N38" i="17"/>
  <c r="M38" i="17"/>
  <c r="L38" i="17"/>
  <c r="J38" i="17"/>
  <c r="I38" i="17"/>
  <c r="H38" i="17"/>
  <c r="G38" i="17"/>
  <c r="E38" i="17"/>
  <c r="D38" i="17"/>
  <c r="C38" i="17"/>
  <c r="B38" i="17"/>
  <c r="O37" i="17"/>
  <c r="N37" i="17"/>
  <c r="M37" i="17"/>
  <c r="L37" i="17"/>
  <c r="J37" i="17"/>
  <c r="I37" i="17"/>
  <c r="H37" i="17"/>
  <c r="G37" i="17"/>
  <c r="E37" i="17"/>
  <c r="D37" i="17"/>
  <c r="C37" i="17"/>
  <c r="B37" i="17"/>
  <c r="O36" i="17"/>
  <c r="N36" i="17"/>
  <c r="M36" i="17"/>
  <c r="L36" i="17"/>
  <c r="J36" i="17"/>
  <c r="I36" i="17"/>
  <c r="H36" i="17"/>
  <c r="G36" i="17"/>
  <c r="E36" i="17"/>
  <c r="D36" i="17"/>
  <c r="C36" i="17"/>
  <c r="B36" i="17"/>
  <c r="O35" i="17"/>
  <c r="N35" i="17"/>
  <c r="M35" i="17"/>
  <c r="L35" i="17"/>
  <c r="J35" i="17"/>
  <c r="I35" i="17"/>
  <c r="H35" i="17"/>
  <c r="G35" i="17"/>
  <c r="E35" i="17"/>
  <c r="D35" i="17"/>
  <c r="C35" i="17"/>
  <c r="B35" i="17"/>
  <c r="O34" i="17"/>
  <c r="N34" i="17"/>
  <c r="M34" i="17"/>
  <c r="L34" i="17"/>
  <c r="J34" i="17"/>
  <c r="I34" i="17"/>
  <c r="H34" i="17"/>
  <c r="G34" i="17"/>
  <c r="E34" i="17"/>
  <c r="D34" i="17"/>
  <c r="C34" i="17"/>
  <c r="B34" i="17"/>
  <c r="O33" i="17"/>
  <c r="N33" i="17"/>
  <c r="M33" i="17"/>
  <c r="L33" i="17"/>
  <c r="J33" i="17"/>
  <c r="I33" i="17"/>
  <c r="H33" i="17"/>
  <c r="G33" i="17"/>
  <c r="E33" i="17"/>
  <c r="D33" i="17"/>
  <c r="C33" i="17"/>
  <c r="B33" i="17"/>
  <c r="O32" i="17"/>
  <c r="N32" i="17"/>
  <c r="M32" i="17"/>
  <c r="L32" i="17"/>
  <c r="J32" i="17"/>
  <c r="I32" i="17"/>
  <c r="H32" i="17"/>
  <c r="G32" i="17"/>
  <c r="E32" i="17"/>
  <c r="D32" i="17"/>
  <c r="C32" i="17"/>
  <c r="B32" i="17"/>
  <c r="O31" i="17"/>
  <c r="N31" i="17"/>
  <c r="M31" i="17"/>
  <c r="L31" i="17"/>
  <c r="J31" i="17"/>
  <c r="I31" i="17"/>
  <c r="H31" i="17"/>
  <c r="G31" i="17"/>
  <c r="E31" i="17"/>
  <c r="D31" i="17"/>
  <c r="C31" i="17"/>
  <c r="B31" i="17"/>
  <c r="O30" i="17"/>
  <c r="N30" i="17"/>
  <c r="M30" i="17"/>
  <c r="L30" i="17"/>
  <c r="J30" i="17"/>
  <c r="I30" i="17"/>
  <c r="H30" i="17"/>
  <c r="G30" i="17"/>
  <c r="E30" i="17"/>
  <c r="D30" i="17"/>
  <c r="C30" i="17"/>
  <c r="B30" i="17"/>
  <c r="O29" i="17"/>
  <c r="N29" i="17"/>
  <c r="M29" i="17"/>
  <c r="L29" i="17"/>
  <c r="J29" i="17"/>
  <c r="I29" i="17"/>
  <c r="H29" i="17"/>
  <c r="G29" i="17"/>
  <c r="E29" i="17"/>
  <c r="D29" i="17"/>
  <c r="C29" i="17"/>
  <c r="B29" i="17"/>
  <c r="O28" i="17"/>
  <c r="N28" i="17"/>
  <c r="M28" i="17"/>
  <c r="L28" i="17"/>
  <c r="J28" i="17"/>
  <c r="I28" i="17"/>
  <c r="H28" i="17"/>
  <c r="G28" i="17"/>
  <c r="E28" i="17"/>
  <c r="D28" i="17"/>
  <c r="C28" i="17"/>
  <c r="B28" i="17"/>
  <c r="O27" i="17"/>
  <c r="N27" i="17"/>
  <c r="M27" i="17"/>
  <c r="L27" i="17"/>
  <c r="J27" i="17"/>
  <c r="I27" i="17"/>
  <c r="H27" i="17"/>
  <c r="G27" i="17"/>
  <c r="E27" i="17"/>
  <c r="D27" i="17"/>
  <c r="C27" i="17"/>
  <c r="B27" i="17"/>
  <c r="O26" i="17"/>
  <c r="N26" i="17"/>
  <c r="M26" i="17"/>
  <c r="L26" i="17"/>
  <c r="J26" i="17"/>
  <c r="I26" i="17"/>
  <c r="H26" i="17"/>
  <c r="G26" i="17"/>
  <c r="E26" i="17"/>
  <c r="D26" i="17"/>
  <c r="C26" i="17"/>
  <c r="B26" i="17"/>
  <c r="O25" i="17"/>
  <c r="N25" i="17"/>
  <c r="M25" i="17"/>
  <c r="L25" i="17"/>
  <c r="J25" i="17"/>
  <c r="I25" i="17"/>
  <c r="H25" i="17"/>
  <c r="G25" i="17"/>
  <c r="E25" i="17"/>
  <c r="D25" i="17"/>
  <c r="C25" i="17"/>
  <c r="B25" i="17"/>
  <c r="O24" i="17"/>
  <c r="N24" i="17"/>
  <c r="M24" i="17"/>
  <c r="L24" i="17"/>
  <c r="J24" i="17"/>
  <c r="I24" i="17"/>
  <c r="H24" i="17"/>
  <c r="G24" i="17"/>
  <c r="E24" i="17"/>
  <c r="D24" i="17"/>
  <c r="C24" i="17"/>
  <c r="B24" i="17"/>
  <c r="O23" i="17"/>
  <c r="N23" i="17"/>
  <c r="M23" i="17"/>
  <c r="L23" i="17"/>
  <c r="J23" i="17"/>
  <c r="I23" i="17"/>
  <c r="H23" i="17"/>
  <c r="G23" i="17"/>
  <c r="E23" i="17"/>
  <c r="D23" i="17"/>
  <c r="C23" i="17"/>
  <c r="B23" i="17"/>
  <c r="O22" i="17"/>
  <c r="N22" i="17"/>
  <c r="M22" i="17"/>
  <c r="L22" i="17"/>
  <c r="J22" i="17"/>
  <c r="I22" i="17"/>
  <c r="H22" i="17"/>
  <c r="G22" i="17"/>
  <c r="E22" i="17"/>
  <c r="D22" i="17"/>
  <c r="C22" i="17"/>
  <c r="B22" i="17"/>
  <c r="O21" i="17"/>
  <c r="N21" i="17"/>
  <c r="M21" i="17"/>
  <c r="L21" i="17"/>
  <c r="J21" i="17"/>
  <c r="I21" i="17"/>
  <c r="H21" i="17"/>
  <c r="G21" i="17"/>
  <c r="E21" i="17"/>
  <c r="D21" i="17"/>
  <c r="C21" i="17"/>
  <c r="B21" i="17"/>
  <c r="O20" i="17"/>
  <c r="N20" i="17"/>
  <c r="M20" i="17"/>
  <c r="L20" i="17"/>
  <c r="J20" i="17"/>
  <c r="I20" i="17"/>
  <c r="H20" i="17"/>
  <c r="G20" i="17"/>
  <c r="E20" i="17"/>
  <c r="D20" i="17"/>
  <c r="C20" i="17"/>
  <c r="B20" i="17"/>
  <c r="O19" i="17"/>
  <c r="N19" i="17"/>
  <c r="M19" i="17"/>
  <c r="L19" i="17"/>
  <c r="J19" i="17"/>
  <c r="I19" i="17"/>
  <c r="H19" i="17"/>
  <c r="G19" i="17"/>
  <c r="E19" i="17"/>
  <c r="D19" i="17"/>
  <c r="C19" i="17"/>
  <c r="B19" i="17"/>
  <c r="O18" i="17"/>
  <c r="N18" i="17"/>
  <c r="M18" i="17"/>
  <c r="L18" i="17"/>
  <c r="J18" i="17"/>
  <c r="I18" i="17"/>
  <c r="H18" i="17"/>
  <c r="G18" i="17"/>
  <c r="E18" i="17"/>
  <c r="D18" i="17"/>
  <c r="C18" i="17"/>
  <c r="B18" i="17"/>
  <c r="O17" i="17"/>
  <c r="N17" i="17"/>
  <c r="M17" i="17"/>
  <c r="L17" i="17"/>
  <c r="J17" i="17"/>
  <c r="I17" i="17"/>
  <c r="H17" i="17"/>
  <c r="G17" i="17"/>
  <c r="E17" i="17"/>
  <c r="D17" i="17"/>
  <c r="C17" i="17"/>
  <c r="B17" i="17"/>
  <c r="O16" i="17"/>
  <c r="N16" i="17"/>
  <c r="M16" i="17"/>
  <c r="L16" i="17"/>
  <c r="J16" i="17"/>
  <c r="I16" i="17"/>
  <c r="H16" i="17"/>
  <c r="G16" i="17"/>
  <c r="E16" i="17"/>
  <c r="D16" i="17"/>
  <c r="C16" i="17"/>
  <c r="B16" i="17"/>
  <c r="O15" i="17"/>
  <c r="N15" i="17"/>
  <c r="M15" i="17"/>
  <c r="L15" i="17"/>
  <c r="J15" i="17"/>
  <c r="I15" i="17"/>
  <c r="H15" i="17"/>
  <c r="G15" i="17"/>
  <c r="E15" i="17"/>
  <c r="D15" i="17"/>
  <c r="C15" i="17"/>
  <c r="B15" i="17"/>
  <c r="O14" i="17"/>
  <c r="N14" i="17"/>
  <c r="M14" i="17"/>
  <c r="L14" i="17"/>
  <c r="J14" i="17"/>
  <c r="I14" i="17"/>
  <c r="H14" i="17"/>
  <c r="G14" i="17"/>
  <c r="E14" i="17"/>
  <c r="D14" i="17"/>
  <c r="C14" i="17"/>
  <c r="B14" i="17"/>
  <c r="O13" i="17"/>
  <c r="N13" i="17"/>
  <c r="M13" i="17"/>
  <c r="L13" i="17"/>
  <c r="J13" i="17"/>
  <c r="I13" i="17"/>
  <c r="H13" i="17"/>
  <c r="G13" i="17"/>
  <c r="E13" i="17"/>
  <c r="D13" i="17"/>
  <c r="C13" i="17"/>
  <c r="B13" i="17"/>
  <c r="O12" i="17"/>
  <c r="N12" i="17"/>
  <c r="M12" i="17"/>
  <c r="L12" i="17"/>
  <c r="J12" i="17"/>
  <c r="I12" i="17"/>
  <c r="H12" i="17"/>
  <c r="G12" i="17"/>
  <c r="E12" i="17"/>
  <c r="D12" i="17"/>
  <c r="C12" i="17"/>
  <c r="B12" i="17"/>
  <c r="O11" i="17"/>
  <c r="N11" i="17"/>
  <c r="M11" i="17"/>
  <c r="L11" i="17"/>
  <c r="J11" i="17"/>
  <c r="I11" i="17"/>
  <c r="H11" i="17"/>
  <c r="G11" i="17"/>
  <c r="E11" i="17"/>
  <c r="D11" i="17"/>
  <c r="C11" i="17"/>
  <c r="B11" i="17"/>
  <c r="O10" i="17"/>
  <c r="N10" i="17"/>
  <c r="M10" i="17"/>
  <c r="L10" i="17"/>
  <c r="J10" i="17"/>
  <c r="I10" i="17"/>
  <c r="H10" i="17"/>
  <c r="G10" i="17"/>
  <c r="E10" i="17"/>
  <c r="D10" i="17"/>
  <c r="C10" i="17"/>
  <c r="B10" i="17"/>
  <c r="O9" i="17"/>
  <c r="N9" i="17"/>
  <c r="M9" i="17"/>
  <c r="L9" i="17"/>
  <c r="J9" i="17"/>
  <c r="I9" i="17"/>
  <c r="H9" i="17"/>
  <c r="G9" i="17"/>
  <c r="E9" i="17"/>
  <c r="D9" i="17"/>
  <c r="C9" i="17"/>
  <c r="B9" i="17"/>
  <c r="O8" i="17"/>
  <c r="N8" i="17"/>
  <c r="M8" i="17"/>
  <c r="L8" i="17"/>
  <c r="J8" i="17"/>
  <c r="I8" i="17"/>
  <c r="H8" i="17"/>
  <c r="G8" i="17"/>
  <c r="E8" i="17"/>
  <c r="D8" i="17"/>
  <c r="C8" i="17"/>
  <c r="B8" i="17"/>
  <c r="O7" i="17"/>
  <c r="N7" i="17"/>
  <c r="M7" i="17"/>
  <c r="L7" i="17"/>
  <c r="J7" i="17"/>
  <c r="I7" i="17"/>
  <c r="H7" i="17"/>
  <c r="G7" i="17"/>
  <c r="E7" i="17"/>
  <c r="D7" i="17"/>
  <c r="C7" i="17"/>
  <c r="B7" i="17"/>
  <c r="O6" i="17"/>
  <c r="N6" i="17"/>
  <c r="M6" i="17"/>
  <c r="L6" i="17"/>
  <c r="J6" i="17"/>
  <c r="I6" i="17"/>
  <c r="H6" i="17"/>
  <c r="G6" i="17"/>
  <c r="E6" i="17"/>
  <c r="D6" i="17"/>
  <c r="C6" i="17"/>
  <c r="B6" i="17"/>
  <c r="O5" i="17"/>
  <c r="N5" i="17"/>
  <c r="M5" i="17"/>
  <c r="L5" i="17"/>
  <c r="J5" i="17"/>
  <c r="I5" i="17"/>
  <c r="H5" i="17"/>
  <c r="G5" i="17"/>
  <c r="E5" i="17"/>
  <c r="D5" i="17"/>
  <c r="C5" i="17"/>
  <c r="B5" i="17"/>
  <c r="O4" i="17"/>
  <c r="N4" i="17"/>
  <c r="M4" i="17"/>
  <c r="L4" i="17"/>
  <c r="J4" i="17"/>
  <c r="I4" i="17"/>
  <c r="H4" i="17"/>
  <c r="G4" i="17"/>
  <c r="E4" i="17"/>
  <c r="D4" i="17"/>
  <c r="C4" i="17"/>
  <c r="B4" i="17"/>
  <c r="O3" i="17"/>
  <c r="N3" i="17"/>
  <c r="M3" i="17"/>
  <c r="L3" i="17"/>
  <c r="J3" i="17"/>
  <c r="I3" i="17"/>
  <c r="H3" i="17"/>
  <c r="G3" i="17"/>
  <c r="E3" i="17"/>
  <c r="D3" i="17"/>
  <c r="C3" i="17"/>
  <c r="B3" i="17"/>
  <c r="O2" i="17"/>
  <c r="N2" i="17"/>
  <c r="M2" i="17"/>
  <c r="L2" i="17"/>
  <c r="J2" i="17"/>
  <c r="I2" i="17"/>
  <c r="H2" i="17"/>
  <c r="G2" i="17"/>
  <c r="E2" i="17"/>
  <c r="D2" i="17"/>
  <c r="C2" i="17"/>
  <c r="B2" i="17"/>
  <c r="BC28" i="16"/>
  <c r="BB28" i="16"/>
  <c r="BC2" i="16"/>
  <c r="BB2" i="16"/>
  <c r="BA2" i="16"/>
  <c r="AZ2" i="16"/>
  <c r="BA17" i="16"/>
  <c r="AN38" i="15"/>
  <c r="AM38" i="15"/>
  <c r="AL38" i="15"/>
  <c r="AK38" i="15"/>
  <c r="AI38" i="15"/>
  <c r="AH38" i="15"/>
  <c r="AG38" i="15"/>
  <c r="AF38" i="15"/>
  <c r="AD38" i="15"/>
  <c r="AC38" i="15"/>
  <c r="AB38" i="15"/>
  <c r="AA38" i="15"/>
  <c r="Y38" i="15"/>
  <c r="X38" i="15"/>
  <c r="W38" i="15"/>
  <c r="V38" i="15"/>
  <c r="T38" i="15"/>
  <c r="S38" i="15"/>
  <c r="R38" i="15"/>
  <c r="Q38" i="15"/>
  <c r="O38" i="15"/>
  <c r="N38" i="15"/>
  <c r="M38" i="15"/>
  <c r="L38" i="15"/>
  <c r="J38" i="15"/>
  <c r="I38" i="15"/>
  <c r="H38" i="15"/>
  <c r="G38" i="15"/>
  <c r="E38" i="15"/>
  <c r="BB38" i="15" s="1"/>
  <c r="D38" i="15"/>
  <c r="BA38" i="15" s="1"/>
  <c r="C38" i="15"/>
  <c r="AZ38" i="15" s="1"/>
  <c r="B38" i="15"/>
  <c r="AY38" i="15" s="1"/>
  <c r="AN37" i="15"/>
  <c r="AM37" i="15"/>
  <c r="AL37" i="15"/>
  <c r="AK37" i="15"/>
  <c r="AI37" i="15"/>
  <c r="AH37" i="15"/>
  <c r="AG37" i="15"/>
  <c r="AF37" i="15"/>
  <c r="AD37" i="15"/>
  <c r="AC37" i="15"/>
  <c r="AB37" i="15"/>
  <c r="AA37" i="15"/>
  <c r="Y37" i="15"/>
  <c r="X37" i="15"/>
  <c r="W37" i="15"/>
  <c r="V37" i="15"/>
  <c r="T37" i="15"/>
  <c r="S37" i="15"/>
  <c r="R37" i="15"/>
  <c r="Q37" i="15"/>
  <c r="O37" i="15"/>
  <c r="N37" i="15"/>
  <c r="M37" i="15"/>
  <c r="L37" i="15"/>
  <c r="J37" i="15"/>
  <c r="I37" i="15"/>
  <c r="H37" i="15"/>
  <c r="G37" i="15"/>
  <c r="E37" i="15"/>
  <c r="BB37" i="15" s="1"/>
  <c r="D37" i="15"/>
  <c r="BA37" i="15" s="1"/>
  <c r="C37" i="15"/>
  <c r="AZ37" i="15" s="1"/>
  <c r="B37" i="15"/>
  <c r="AY37" i="15" s="1"/>
  <c r="AN36" i="15"/>
  <c r="AM36" i="15"/>
  <c r="AL36" i="15"/>
  <c r="AK36" i="15"/>
  <c r="AI36" i="15"/>
  <c r="AH36" i="15"/>
  <c r="AG36" i="15"/>
  <c r="AF36" i="15"/>
  <c r="AD36" i="15"/>
  <c r="AC36" i="15"/>
  <c r="AB36" i="15"/>
  <c r="AA36" i="15"/>
  <c r="Y36" i="15"/>
  <c r="X36" i="15"/>
  <c r="W36" i="15"/>
  <c r="V36" i="15"/>
  <c r="T36" i="15"/>
  <c r="S36" i="15"/>
  <c r="R36" i="15"/>
  <c r="Q36" i="15"/>
  <c r="O36" i="15"/>
  <c r="N36" i="15"/>
  <c r="M36" i="15"/>
  <c r="L36" i="15"/>
  <c r="J36" i="15"/>
  <c r="I36" i="15"/>
  <c r="H36" i="15"/>
  <c r="G36" i="15"/>
  <c r="E36" i="15"/>
  <c r="D36" i="15"/>
  <c r="C36" i="15"/>
  <c r="B36" i="15"/>
  <c r="AN35" i="15"/>
  <c r="AM35" i="15"/>
  <c r="AL35" i="15"/>
  <c r="AK35" i="15"/>
  <c r="AI35" i="15"/>
  <c r="AH35" i="15"/>
  <c r="AG35" i="15"/>
  <c r="AF35" i="15"/>
  <c r="AD35" i="15"/>
  <c r="AC35" i="15"/>
  <c r="AB35" i="15"/>
  <c r="AA35" i="15"/>
  <c r="Y35" i="15"/>
  <c r="X35" i="15"/>
  <c r="W35" i="15"/>
  <c r="V35" i="15"/>
  <c r="T35" i="15"/>
  <c r="S35" i="15"/>
  <c r="R35" i="15"/>
  <c r="Q35" i="15"/>
  <c r="O35" i="15"/>
  <c r="N35" i="15"/>
  <c r="M35" i="15"/>
  <c r="L35" i="15"/>
  <c r="J35" i="15"/>
  <c r="I35" i="15"/>
  <c r="H35" i="15"/>
  <c r="G35" i="15"/>
  <c r="E35" i="15"/>
  <c r="D35" i="15"/>
  <c r="C35" i="15"/>
  <c r="B35" i="15"/>
  <c r="AN34" i="15"/>
  <c r="AM34" i="15"/>
  <c r="AL34" i="15"/>
  <c r="AK34" i="15"/>
  <c r="AI34" i="15"/>
  <c r="AH34" i="15"/>
  <c r="AG34" i="15"/>
  <c r="AF34" i="15"/>
  <c r="AD34" i="15"/>
  <c r="AC34" i="15"/>
  <c r="AB34" i="15"/>
  <c r="AA34" i="15"/>
  <c r="Y34" i="15"/>
  <c r="X34" i="15"/>
  <c r="W34" i="15"/>
  <c r="V34" i="15"/>
  <c r="T34" i="15"/>
  <c r="S34" i="15"/>
  <c r="R34" i="15"/>
  <c r="Q34" i="15"/>
  <c r="O34" i="15"/>
  <c r="N34" i="15"/>
  <c r="M34" i="15"/>
  <c r="L34" i="15"/>
  <c r="J34" i="15"/>
  <c r="I34" i="15"/>
  <c r="H34" i="15"/>
  <c r="G34" i="15"/>
  <c r="E34" i="15"/>
  <c r="D34" i="15"/>
  <c r="C34" i="15"/>
  <c r="B34" i="15"/>
  <c r="AN33" i="15"/>
  <c r="AM33" i="15"/>
  <c r="AL33" i="15"/>
  <c r="AK33" i="15"/>
  <c r="AI33" i="15"/>
  <c r="AH33" i="15"/>
  <c r="AG33" i="15"/>
  <c r="AF33" i="15"/>
  <c r="AD33" i="15"/>
  <c r="AC33" i="15"/>
  <c r="AB33" i="15"/>
  <c r="AA33" i="15"/>
  <c r="Y33" i="15"/>
  <c r="X33" i="15"/>
  <c r="W33" i="15"/>
  <c r="V33" i="15"/>
  <c r="T33" i="15"/>
  <c r="S33" i="15"/>
  <c r="R33" i="15"/>
  <c r="Q33" i="15"/>
  <c r="O33" i="15"/>
  <c r="N33" i="15"/>
  <c r="M33" i="15"/>
  <c r="L33" i="15"/>
  <c r="J33" i="15"/>
  <c r="I33" i="15"/>
  <c r="H33" i="15"/>
  <c r="G33" i="15"/>
  <c r="E33" i="15"/>
  <c r="BB33" i="15" s="1"/>
  <c r="D33" i="15"/>
  <c r="BA33" i="15" s="1"/>
  <c r="C33" i="15"/>
  <c r="AZ33" i="15" s="1"/>
  <c r="B33" i="15"/>
  <c r="AY33" i="15" s="1"/>
  <c r="AN32" i="15"/>
  <c r="AM32" i="15"/>
  <c r="AL32" i="15"/>
  <c r="AK32" i="15"/>
  <c r="AI32" i="15"/>
  <c r="AH32" i="15"/>
  <c r="AG32" i="15"/>
  <c r="AF32" i="15"/>
  <c r="AD32" i="15"/>
  <c r="AC32" i="15"/>
  <c r="AB32" i="15"/>
  <c r="AA32" i="15"/>
  <c r="Y32" i="15"/>
  <c r="X32" i="15"/>
  <c r="W32" i="15"/>
  <c r="V32" i="15"/>
  <c r="T32" i="15"/>
  <c r="S32" i="15"/>
  <c r="R32" i="15"/>
  <c r="Q32" i="15"/>
  <c r="O32" i="15"/>
  <c r="N32" i="15"/>
  <c r="M32" i="15"/>
  <c r="L32" i="15"/>
  <c r="J32" i="15"/>
  <c r="I32" i="15"/>
  <c r="H32" i="15"/>
  <c r="G32" i="15"/>
  <c r="E32" i="15"/>
  <c r="D32" i="15"/>
  <c r="C32" i="15"/>
  <c r="B32" i="15"/>
  <c r="AN31" i="15"/>
  <c r="AM31" i="15"/>
  <c r="AL31" i="15"/>
  <c r="AK31" i="15"/>
  <c r="AI31" i="15"/>
  <c r="AH31" i="15"/>
  <c r="AG31" i="15"/>
  <c r="AF31" i="15"/>
  <c r="AD31" i="15"/>
  <c r="AC31" i="15"/>
  <c r="AB31" i="15"/>
  <c r="AA31" i="15"/>
  <c r="Y31" i="15"/>
  <c r="X31" i="15"/>
  <c r="W31" i="15"/>
  <c r="V31" i="15"/>
  <c r="T31" i="15"/>
  <c r="S31" i="15"/>
  <c r="R31" i="15"/>
  <c r="Q31" i="15"/>
  <c r="O31" i="15"/>
  <c r="N31" i="15"/>
  <c r="M31" i="15"/>
  <c r="L31" i="15"/>
  <c r="J31" i="15"/>
  <c r="I31" i="15"/>
  <c r="H31" i="15"/>
  <c r="G31" i="15"/>
  <c r="E31" i="15"/>
  <c r="D31" i="15"/>
  <c r="C31" i="15"/>
  <c r="B31" i="15"/>
  <c r="AN30" i="15"/>
  <c r="AM30" i="15"/>
  <c r="AL30" i="15"/>
  <c r="AK30" i="15"/>
  <c r="AI30" i="15"/>
  <c r="AH30" i="15"/>
  <c r="AG30" i="15"/>
  <c r="AF30" i="15"/>
  <c r="AD30" i="15"/>
  <c r="AC30" i="15"/>
  <c r="AB30" i="15"/>
  <c r="AA30" i="15"/>
  <c r="Y30" i="15"/>
  <c r="X30" i="15"/>
  <c r="W30" i="15"/>
  <c r="V30" i="15"/>
  <c r="T30" i="15"/>
  <c r="S30" i="15"/>
  <c r="R30" i="15"/>
  <c r="Q30" i="15"/>
  <c r="O30" i="15"/>
  <c r="N30" i="15"/>
  <c r="M30" i="15"/>
  <c r="L30" i="15"/>
  <c r="J30" i="15"/>
  <c r="I30" i="15"/>
  <c r="H30" i="15"/>
  <c r="G30" i="15"/>
  <c r="E30" i="15"/>
  <c r="BB30" i="15" s="1"/>
  <c r="D30" i="15"/>
  <c r="BA30" i="15" s="1"/>
  <c r="C30" i="15"/>
  <c r="AZ30" i="15" s="1"/>
  <c r="B30" i="15"/>
  <c r="AY30" i="15" s="1"/>
  <c r="AN29" i="15"/>
  <c r="AM29" i="15"/>
  <c r="AL29" i="15"/>
  <c r="AK29" i="15"/>
  <c r="AI29" i="15"/>
  <c r="AH29" i="15"/>
  <c r="AG29" i="15"/>
  <c r="AF29" i="15"/>
  <c r="AD29" i="15"/>
  <c r="AC29" i="15"/>
  <c r="AB29" i="15"/>
  <c r="AA29" i="15"/>
  <c r="Y29" i="15"/>
  <c r="X29" i="15"/>
  <c r="W29" i="15"/>
  <c r="V29" i="15"/>
  <c r="T29" i="15"/>
  <c r="S29" i="15"/>
  <c r="R29" i="15"/>
  <c r="Q29" i="15"/>
  <c r="O29" i="15"/>
  <c r="N29" i="15"/>
  <c r="M29" i="15"/>
  <c r="L29" i="15"/>
  <c r="J29" i="15"/>
  <c r="I29" i="15"/>
  <c r="H29" i="15"/>
  <c r="G29" i="15"/>
  <c r="E29" i="15"/>
  <c r="BB29" i="15" s="1"/>
  <c r="D29" i="15"/>
  <c r="BA29" i="15" s="1"/>
  <c r="C29" i="15"/>
  <c r="AZ29" i="15" s="1"/>
  <c r="B29" i="15"/>
  <c r="AY29" i="15" s="1"/>
  <c r="AN28" i="15"/>
  <c r="AM28" i="15"/>
  <c r="AL28" i="15"/>
  <c r="AK28" i="15"/>
  <c r="AI28" i="15"/>
  <c r="AH28" i="15"/>
  <c r="AG28" i="15"/>
  <c r="AF28" i="15"/>
  <c r="AD28" i="15"/>
  <c r="AC28" i="15"/>
  <c r="AB28" i="15"/>
  <c r="AA28" i="15"/>
  <c r="Y28" i="15"/>
  <c r="X28" i="15"/>
  <c r="W28" i="15"/>
  <c r="V28" i="15"/>
  <c r="T28" i="15"/>
  <c r="S28" i="15"/>
  <c r="R28" i="15"/>
  <c r="Q28" i="15"/>
  <c r="O28" i="15"/>
  <c r="N28" i="15"/>
  <c r="M28" i="15"/>
  <c r="L28" i="15"/>
  <c r="J28" i="15"/>
  <c r="I28" i="15"/>
  <c r="H28" i="15"/>
  <c r="G28" i="15"/>
  <c r="E28" i="15"/>
  <c r="D28" i="15"/>
  <c r="C28" i="15"/>
  <c r="B28" i="15"/>
  <c r="AN27" i="15"/>
  <c r="AM27" i="15"/>
  <c r="AL27" i="15"/>
  <c r="AK27" i="15"/>
  <c r="AI27" i="15"/>
  <c r="AH27" i="15"/>
  <c r="AG27" i="15"/>
  <c r="AF27" i="15"/>
  <c r="AD27" i="15"/>
  <c r="AC27" i="15"/>
  <c r="AB27" i="15"/>
  <c r="AA27" i="15"/>
  <c r="Y27" i="15"/>
  <c r="X27" i="15"/>
  <c r="W27" i="15"/>
  <c r="V27" i="15"/>
  <c r="T27" i="15"/>
  <c r="S27" i="15"/>
  <c r="R27" i="15"/>
  <c r="Q27" i="15"/>
  <c r="O27" i="15"/>
  <c r="N27" i="15"/>
  <c r="M27" i="15"/>
  <c r="L27" i="15"/>
  <c r="J27" i="15"/>
  <c r="I27" i="15"/>
  <c r="H27" i="15"/>
  <c r="G27" i="15"/>
  <c r="E27" i="15"/>
  <c r="D27" i="15"/>
  <c r="C27" i="15"/>
  <c r="B27" i="15"/>
  <c r="AN26" i="15"/>
  <c r="AM26" i="15"/>
  <c r="AL26" i="15"/>
  <c r="AK26" i="15"/>
  <c r="AI26" i="15"/>
  <c r="AH26" i="15"/>
  <c r="AG26" i="15"/>
  <c r="AF26" i="15"/>
  <c r="AD26" i="15"/>
  <c r="AC26" i="15"/>
  <c r="AB26" i="15"/>
  <c r="AA26" i="15"/>
  <c r="Y26" i="15"/>
  <c r="X26" i="15"/>
  <c r="W26" i="15"/>
  <c r="V26" i="15"/>
  <c r="T26" i="15"/>
  <c r="S26" i="15"/>
  <c r="R26" i="15"/>
  <c r="Q26" i="15"/>
  <c r="O26" i="15"/>
  <c r="N26" i="15"/>
  <c r="M26" i="15"/>
  <c r="L26" i="15"/>
  <c r="J26" i="15"/>
  <c r="I26" i="15"/>
  <c r="H26" i="15"/>
  <c r="G26" i="15"/>
  <c r="E26" i="15"/>
  <c r="D26" i="15"/>
  <c r="C26" i="15"/>
  <c r="B26" i="15"/>
  <c r="AN25" i="15"/>
  <c r="AM25" i="15"/>
  <c r="AL25" i="15"/>
  <c r="AK25" i="15"/>
  <c r="AI25" i="15"/>
  <c r="AH25" i="15"/>
  <c r="AG25" i="15"/>
  <c r="AF25" i="15"/>
  <c r="AD25" i="15"/>
  <c r="AC25" i="15"/>
  <c r="AB25" i="15"/>
  <c r="AA25" i="15"/>
  <c r="Y25" i="15"/>
  <c r="X25" i="15"/>
  <c r="W25" i="15"/>
  <c r="V25" i="15"/>
  <c r="T25" i="15"/>
  <c r="S25" i="15"/>
  <c r="R25" i="15"/>
  <c r="Q25" i="15"/>
  <c r="O25" i="15"/>
  <c r="N25" i="15"/>
  <c r="M25" i="15"/>
  <c r="L25" i="15"/>
  <c r="J25" i="15"/>
  <c r="I25" i="15"/>
  <c r="H25" i="15"/>
  <c r="G25" i="15"/>
  <c r="E25" i="15"/>
  <c r="BB25" i="15" s="1"/>
  <c r="D25" i="15"/>
  <c r="BA25" i="15" s="1"/>
  <c r="C25" i="15"/>
  <c r="AZ25" i="15" s="1"/>
  <c r="B25" i="15"/>
  <c r="AY25" i="15" s="1"/>
  <c r="AN24" i="15"/>
  <c r="AM24" i="15"/>
  <c r="AL24" i="15"/>
  <c r="AK24" i="15"/>
  <c r="AI24" i="15"/>
  <c r="AH24" i="15"/>
  <c r="AG24" i="15"/>
  <c r="AF24" i="15"/>
  <c r="AD24" i="15"/>
  <c r="AC24" i="15"/>
  <c r="AB24" i="15"/>
  <c r="AA24" i="15"/>
  <c r="Y24" i="15"/>
  <c r="X24" i="15"/>
  <c r="W24" i="15"/>
  <c r="V24" i="15"/>
  <c r="T24" i="15"/>
  <c r="S24" i="15"/>
  <c r="R24" i="15"/>
  <c r="Q24" i="15"/>
  <c r="O24" i="15"/>
  <c r="N24" i="15"/>
  <c r="M24" i="15"/>
  <c r="L24" i="15"/>
  <c r="J24" i="15"/>
  <c r="I24" i="15"/>
  <c r="H24" i="15"/>
  <c r="G24" i="15"/>
  <c r="E24" i="15"/>
  <c r="D24" i="15"/>
  <c r="C24" i="15"/>
  <c r="B24" i="15"/>
  <c r="AN23" i="15"/>
  <c r="AM23" i="15"/>
  <c r="AL23" i="15"/>
  <c r="AK23" i="15"/>
  <c r="AI23" i="15"/>
  <c r="AH23" i="15"/>
  <c r="AG23" i="15"/>
  <c r="AF23" i="15"/>
  <c r="AD23" i="15"/>
  <c r="AC23" i="15"/>
  <c r="AB23" i="15"/>
  <c r="AA23" i="15"/>
  <c r="Y23" i="15"/>
  <c r="X23" i="15"/>
  <c r="W23" i="15"/>
  <c r="V23" i="15"/>
  <c r="T23" i="15"/>
  <c r="S23" i="15"/>
  <c r="R23" i="15"/>
  <c r="Q23" i="15"/>
  <c r="O23" i="15"/>
  <c r="N23" i="15"/>
  <c r="M23" i="15"/>
  <c r="L23" i="15"/>
  <c r="J23" i="15"/>
  <c r="I23" i="15"/>
  <c r="H23" i="15"/>
  <c r="G23" i="15"/>
  <c r="E23" i="15"/>
  <c r="D23" i="15"/>
  <c r="C23" i="15"/>
  <c r="B23" i="15"/>
  <c r="AN22" i="15"/>
  <c r="AM22" i="15"/>
  <c r="AL22" i="15"/>
  <c r="AK22" i="15"/>
  <c r="AI22" i="15"/>
  <c r="AH22" i="15"/>
  <c r="AG22" i="15"/>
  <c r="AF22" i="15"/>
  <c r="AD22" i="15"/>
  <c r="AC22" i="15"/>
  <c r="AB22" i="15"/>
  <c r="AA22" i="15"/>
  <c r="Y22" i="15"/>
  <c r="X22" i="15"/>
  <c r="W22" i="15"/>
  <c r="V22" i="15"/>
  <c r="T22" i="15"/>
  <c r="S22" i="15"/>
  <c r="R22" i="15"/>
  <c r="Q22" i="15"/>
  <c r="O22" i="15"/>
  <c r="N22" i="15"/>
  <c r="M22" i="15"/>
  <c r="L22" i="15"/>
  <c r="J22" i="15"/>
  <c r="I22" i="15"/>
  <c r="H22" i="15"/>
  <c r="G22" i="15"/>
  <c r="E22" i="15"/>
  <c r="BB22" i="15" s="1"/>
  <c r="D22" i="15"/>
  <c r="BA22" i="15" s="1"/>
  <c r="C22" i="15"/>
  <c r="AZ22" i="15" s="1"/>
  <c r="B22" i="15"/>
  <c r="AY22" i="15" s="1"/>
  <c r="AN21" i="15"/>
  <c r="AM21" i="15"/>
  <c r="AL21" i="15"/>
  <c r="AK21" i="15"/>
  <c r="AI21" i="15"/>
  <c r="AH21" i="15"/>
  <c r="AG21" i="15"/>
  <c r="AF21" i="15"/>
  <c r="AD21" i="15"/>
  <c r="AC21" i="15"/>
  <c r="AB21" i="15"/>
  <c r="AA21" i="15"/>
  <c r="Y21" i="15"/>
  <c r="X21" i="15"/>
  <c r="W21" i="15"/>
  <c r="V21" i="15"/>
  <c r="T21" i="15"/>
  <c r="S21" i="15"/>
  <c r="R21" i="15"/>
  <c r="Q21" i="15"/>
  <c r="O21" i="15"/>
  <c r="N21" i="15"/>
  <c r="M21" i="15"/>
  <c r="L21" i="15"/>
  <c r="J21" i="15"/>
  <c r="I21" i="15"/>
  <c r="H21" i="15"/>
  <c r="G21" i="15"/>
  <c r="E21" i="15"/>
  <c r="BB21" i="15" s="1"/>
  <c r="D21" i="15"/>
  <c r="BA21" i="15" s="1"/>
  <c r="C21" i="15"/>
  <c r="AZ21" i="15" s="1"/>
  <c r="B21" i="15"/>
  <c r="AY21" i="15" s="1"/>
  <c r="AN20" i="15"/>
  <c r="AM20" i="15"/>
  <c r="AL20" i="15"/>
  <c r="AK20" i="15"/>
  <c r="AI20" i="15"/>
  <c r="AH20" i="15"/>
  <c r="AG20" i="15"/>
  <c r="AF20" i="15"/>
  <c r="AD20" i="15"/>
  <c r="AC20" i="15"/>
  <c r="AB20" i="15"/>
  <c r="AA20" i="15"/>
  <c r="Y20" i="15"/>
  <c r="X20" i="15"/>
  <c r="W20" i="15"/>
  <c r="V20" i="15"/>
  <c r="T20" i="15"/>
  <c r="S20" i="15"/>
  <c r="R20" i="15"/>
  <c r="Q20" i="15"/>
  <c r="O20" i="15"/>
  <c r="N20" i="15"/>
  <c r="M20" i="15"/>
  <c r="L20" i="15"/>
  <c r="J20" i="15"/>
  <c r="I20" i="15"/>
  <c r="H20" i="15"/>
  <c r="G20" i="15"/>
  <c r="E20" i="15"/>
  <c r="D20" i="15"/>
  <c r="C20" i="15"/>
  <c r="B20" i="15"/>
  <c r="AN19" i="15"/>
  <c r="AM19" i="15"/>
  <c r="AL19" i="15"/>
  <c r="AK19" i="15"/>
  <c r="AI19" i="15"/>
  <c r="AH19" i="15"/>
  <c r="AG19" i="15"/>
  <c r="AF19" i="15"/>
  <c r="AD19" i="15"/>
  <c r="AC19" i="15"/>
  <c r="AB19" i="15"/>
  <c r="AA19" i="15"/>
  <c r="Y19" i="15"/>
  <c r="X19" i="15"/>
  <c r="W19" i="15"/>
  <c r="V19" i="15"/>
  <c r="T19" i="15"/>
  <c r="S19" i="15"/>
  <c r="R19" i="15"/>
  <c r="Q19" i="15"/>
  <c r="O19" i="15"/>
  <c r="N19" i="15"/>
  <c r="M19" i="15"/>
  <c r="L19" i="15"/>
  <c r="J19" i="15"/>
  <c r="I19" i="15"/>
  <c r="H19" i="15"/>
  <c r="G19" i="15"/>
  <c r="E19" i="15"/>
  <c r="D19" i="15"/>
  <c r="C19" i="15"/>
  <c r="B19" i="15"/>
  <c r="AN18" i="15"/>
  <c r="AM18" i="15"/>
  <c r="AL18" i="15"/>
  <c r="AK18" i="15"/>
  <c r="AI18" i="15"/>
  <c r="AH18" i="15"/>
  <c r="AG18" i="15"/>
  <c r="AF18" i="15"/>
  <c r="AD18" i="15"/>
  <c r="AC18" i="15"/>
  <c r="AB18" i="15"/>
  <c r="AA18" i="15"/>
  <c r="Y18" i="15"/>
  <c r="X18" i="15"/>
  <c r="W18" i="15"/>
  <c r="V18" i="15"/>
  <c r="T18" i="15"/>
  <c r="S18" i="15"/>
  <c r="R18" i="15"/>
  <c r="Q18" i="15"/>
  <c r="O18" i="15"/>
  <c r="N18" i="15"/>
  <c r="M18" i="15"/>
  <c r="L18" i="15"/>
  <c r="J18" i="15"/>
  <c r="I18" i="15"/>
  <c r="H18" i="15"/>
  <c r="G18" i="15"/>
  <c r="E18" i="15"/>
  <c r="D18" i="15"/>
  <c r="C18" i="15"/>
  <c r="B18" i="15"/>
  <c r="AN17" i="15"/>
  <c r="AM17" i="15"/>
  <c r="AL17" i="15"/>
  <c r="AK17" i="15"/>
  <c r="AI17" i="15"/>
  <c r="AH17" i="15"/>
  <c r="AG17" i="15"/>
  <c r="AF17" i="15"/>
  <c r="AD17" i="15"/>
  <c r="AC17" i="15"/>
  <c r="AB17" i="15"/>
  <c r="AA17" i="15"/>
  <c r="Y17" i="15"/>
  <c r="X17" i="15"/>
  <c r="W17" i="15"/>
  <c r="V17" i="15"/>
  <c r="T17" i="15"/>
  <c r="S17" i="15"/>
  <c r="R17" i="15"/>
  <c r="Q17" i="15"/>
  <c r="O17" i="15"/>
  <c r="N17" i="15"/>
  <c r="M17" i="15"/>
  <c r="L17" i="15"/>
  <c r="J17" i="15"/>
  <c r="I17" i="15"/>
  <c r="H17" i="15"/>
  <c r="G17" i="15"/>
  <c r="E17" i="15"/>
  <c r="BB17" i="15" s="1"/>
  <c r="D17" i="15"/>
  <c r="BA17" i="15" s="1"/>
  <c r="C17" i="15"/>
  <c r="AZ17" i="15" s="1"/>
  <c r="B17" i="15"/>
  <c r="AY17" i="15" s="1"/>
  <c r="AN16" i="15"/>
  <c r="AM16" i="15"/>
  <c r="AL16" i="15"/>
  <c r="AK16" i="15"/>
  <c r="AI16" i="15"/>
  <c r="AH16" i="15"/>
  <c r="AG16" i="15"/>
  <c r="AF16" i="15"/>
  <c r="AD16" i="15"/>
  <c r="AC16" i="15"/>
  <c r="AB16" i="15"/>
  <c r="AA16" i="15"/>
  <c r="Y16" i="15"/>
  <c r="X16" i="15"/>
  <c r="W16" i="15"/>
  <c r="V16" i="15"/>
  <c r="T16" i="15"/>
  <c r="S16" i="15"/>
  <c r="R16" i="15"/>
  <c r="Q16" i="15"/>
  <c r="O16" i="15"/>
  <c r="N16" i="15"/>
  <c r="M16" i="15"/>
  <c r="L16" i="15"/>
  <c r="J16" i="15"/>
  <c r="I16" i="15"/>
  <c r="H16" i="15"/>
  <c r="G16" i="15"/>
  <c r="E16" i="15"/>
  <c r="D16" i="15"/>
  <c r="C16" i="15"/>
  <c r="B16" i="15"/>
  <c r="AN15" i="15"/>
  <c r="AM15" i="15"/>
  <c r="AL15" i="15"/>
  <c r="AK15" i="15"/>
  <c r="AI15" i="15"/>
  <c r="AH15" i="15"/>
  <c r="AG15" i="15"/>
  <c r="AF15" i="15"/>
  <c r="AD15" i="15"/>
  <c r="AC15" i="15"/>
  <c r="AB15" i="15"/>
  <c r="AA15" i="15"/>
  <c r="Y15" i="15"/>
  <c r="X15" i="15"/>
  <c r="W15" i="15"/>
  <c r="V15" i="15"/>
  <c r="T15" i="15"/>
  <c r="S15" i="15"/>
  <c r="R15" i="15"/>
  <c r="Q15" i="15"/>
  <c r="O15" i="15"/>
  <c r="N15" i="15"/>
  <c r="M15" i="15"/>
  <c r="L15" i="15"/>
  <c r="J15" i="15"/>
  <c r="I15" i="15"/>
  <c r="H15" i="15"/>
  <c r="G15" i="15"/>
  <c r="E15" i="15"/>
  <c r="D15" i="15"/>
  <c r="C15" i="15"/>
  <c r="B15" i="15"/>
  <c r="AN14" i="15"/>
  <c r="AM14" i="15"/>
  <c r="AL14" i="15"/>
  <c r="AK14" i="15"/>
  <c r="AI14" i="15"/>
  <c r="AH14" i="15"/>
  <c r="AG14" i="15"/>
  <c r="AF14" i="15"/>
  <c r="AD14" i="15"/>
  <c r="AC14" i="15"/>
  <c r="AB14" i="15"/>
  <c r="AA14" i="15"/>
  <c r="Y14" i="15"/>
  <c r="X14" i="15"/>
  <c r="W14" i="15"/>
  <c r="V14" i="15"/>
  <c r="T14" i="15"/>
  <c r="S14" i="15"/>
  <c r="R14" i="15"/>
  <c r="Q14" i="15"/>
  <c r="O14" i="15"/>
  <c r="N14" i="15"/>
  <c r="M14" i="15"/>
  <c r="L14" i="15"/>
  <c r="J14" i="15"/>
  <c r="I14" i="15"/>
  <c r="H14" i="15"/>
  <c r="G14" i="15"/>
  <c r="E14" i="15"/>
  <c r="BB14" i="15" s="1"/>
  <c r="D14" i="15"/>
  <c r="BA14" i="15" s="1"/>
  <c r="C14" i="15"/>
  <c r="AZ14" i="15" s="1"/>
  <c r="B14" i="15"/>
  <c r="AY14" i="15" s="1"/>
  <c r="AN13" i="15"/>
  <c r="AM13" i="15"/>
  <c r="AL13" i="15"/>
  <c r="AK13" i="15"/>
  <c r="AI13" i="15"/>
  <c r="AH13" i="15"/>
  <c r="AG13" i="15"/>
  <c r="AF13" i="15"/>
  <c r="AD13" i="15"/>
  <c r="AC13" i="15"/>
  <c r="AB13" i="15"/>
  <c r="AA13" i="15"/>
  <c r="Y13" i="15"/>
  <c r="X13" i="15"/>
  <c r="W13" i="15"/>
  <c r="V13" i="15"/>
  <c r="T13" i="15"/>
  <c r="S13" i="15"/>
  <c r="R13" i="15"/>
  <c r="Q13" i="15"/>
  <c r="O13" i="15"/>
  <c r="N13" i="15"/>
  <c r="M13" i="15"/>
  <c r="L13" i="15"/>
  <c r="J13" i="15"/>
  <c r="I13" i="15"/>
  <c r="H13" i="15"/>
  <c r="G13" i="15"/>
  <c r="E13" i="15"/>
  <c r="BB13" i="15" s="1"/>
  <c r="D13" i="15"/>
  <c r="BA13" i="15" s="1"/>
  <c r="C13" i="15"/>
  <c r="AZ13" i="15" s="1"/>
  <c r="B13" i="15"/>
  <c r="AY13" i="15" s="1"/>
  <c r="AN12" i="15"/>
  <c r="AM12" i="15"/>
  <c r="AL12" i="15"/>
  <c r="AK12" i="15"/>
  <c r="AI12" i="15"/>
  <c r="AH12" i="15"/>
  <c r="AG12" i="15"/>
  <c r="AF12" i="15"/>
  <c r="AD12" i="15"/>
  <c r="AC12" i="15"/>
  <c r="AB12" i="15"/>
  <c r="AA12" i="15"/>
  <c r="Y12" i="15"/>
  <c r="X12" i="15"/>
  <c r="W12" i="15"/>
  <c r="V12" i="15"/>
  <c r="T12" i="15"/>
  <c r="S12" i="15"/>
  <c r="R12" i="15"/>
  <c r="Q12" i="15"/>
  <c r="O12" i="15"/>
  <c r="N12" i="15"/>
  <c r="M12" i="15"/>
  <c r="L12" i="15"/>
  <c r="J12" i="15"/>
  <c r="I12" i="15"/>
  <c r="H12" i="15"/>
  <c r="G12" i="15"/>
  <c r="E12" i="15"/>
  <c r="D12" i="15"/>
  <c r="C12" i="15"/>
  <c r="B12" i="15"/>
  <c r="AN11" i="15"/>
  <c r="AM11" i="15"/>
  <c r="AL11" i="15"/>
  <c r="AK11" i="15"/>
  <c r="AI11" i="15"/>
  <c r="AH11" i="15"/>
  <c r="AG11" i="15"/>
  <c r="AF11" i="15"/>
  <c r="AD11" i="15"/>
  <c r="AC11" i="15"/>
  <c r="AB11" i="15"/>
  <c r="AA11" i="15"/>
  <c r="Y11" i="15"/>
  <c r="X11" i="15"/>
  <c r="W11" i="15"/>
  <c r="V11" i="15"/>
  <c r="T11" i="15"/>
  <c r="S11" i="15"/>
  <c r="R11" i="15"/>
  <c r="Q11" i="15"/>
  <c r="O11" i="15"/>
  <c r="N11" i="15"/>
  <c r="M11" i="15"/>
  <c r="L11" i="15"/>
  <c r="J11" i="15"/>
  <c r="I11" i="15"/>
  <c r="H11" i="15"/>
  <c r="G11" i="15"/>
  <c r="E11" i="15"/>
  <c r="D11" i="15"/>
  <c r="C11" i="15"/>
  <c r="B11" i="15"/>
  <c r="AN10" i="15"/>
  <c r="AM10" i="15"/>
  <c r="AL10" i="15"/>
  <c r="AK10" i="15"/>
  <c r="AI10" i="15"/>
  <c r="AH10" i="15"/>
  <c r="AG10" i="15"/>
  <c r="AF10" i="15"/>
  <c r="AD10" i="15"/>
  <c r="AC10" i="15"/>
  <c r="AB10" i="15"/>
  <c r="AA10" i="15"/>
  <c r="Y10" i="15"/>
  <c r="X10" i="15"/>
  <c r="W10" i="15"/>
  <c r="V10" i="15"/>
  <c r="T10" i="15"/>
  <c r="S10" i="15"/>
  <c r="R10" i="15"/>
  <c r="Q10" i="15"/>
  <c r="O10" i="15"/>
  <c r="N10" i="15"/>
  <c r="M10" i="15"/>
  <c r="L10" i="15"/>
  <c r="J10" i="15"/>
  <c r="I10" i="15"/>
  <c r="H10" i="15"/>
  <c r="G10" i="15"/>
  <c r="E10" i="15"/>
  <c r="D10" i="15"/>
  <c r="C10" i="15"/>
  <c r="B10" i="15"/>
  <c r="AN9" i="15"/>
  <c r="AM9" i="15"/>
  <c r="AL9" i="15"/>
  <c r="AK9" i="15"/>
  <c r="AI9" i="15"/>
  <c r="AH9" i="15"/>
  <c r="AG9" i="15"/>
  <c r="AF9" i="15"/>
  <c r="AD9" i="15"/>
  <c r="AC9" i="15"/>
  <c r="AB9" i="15"/>
  <c r="AA9" i="15"/>
  <c r="Y9" i="15"/>
  <c r="X9" i="15"/>
  <c r="W9" i="15"/>
  <c r="V9" i="15"/>
  <c r="T9" i="15"/>
  <c r="S9" i="15"/>
  <c r="R9" i="15"/>
  <c r="Q9" i="15"/>
  <c r="O9" i="15"/>
  <c r="N9" i="15"/>
  <c r="M9" i="15"/>
  <c r="L9" i="15"/>
  <c r="J9" i="15"/>
  <c r="I9" i="15"/>
  <c r="H9" i="15"/>
  <c r="G9" i="15"/>
  <c r="E9" i="15"/>
  <c r="BB9" i="15" s="1"/>
  <c r="D9" i="15"/>
  <c r="BA9" i="15" s="1"/>
  <c r="C9" i="15"/>
  <c r="AZ9" i="15" s="1"/>
  <c r="B9" i="15"/>
  <c r="AY9" i="15" s="1"/>
  <c r="AN8" i="15"/>
  <c r="AM8" i="15"/>
  <c r="AL8" i="15"/>
  <c r="AK8" i="15"/>
  <c r="AI8" i="15"/>
  <c r="AH8" i="15"/>
  <c r="AG8" i="15"/>
  <c r="AF8" i="15"/>
  <c r="AD8" i="15"/>
  <c r="AC8" i="15"/>
  <c r="AB8" i="15"/>
  <c r="AA8" i="15"/>
  <c r="Y8" i="15"/>
  <c r="X8" i="15"/>
  <c r="W8" i="15"/>
  <c r="V8" i="15"/>
  <c r="T8" i="15"/>
  <c r="S8" i="15"/>
  <c r="R8" i="15"/>
  <c r="Q8" i="15"/>
  <c r="O8" i="15"/>
  <c r="N8" i="15"/>
  <c r="M8" i="15"/>
  <c r="L8" i="15"/>
  <c r="J8" i="15"/>
  <c r="I8" i="15"/>
  <c r="H8" i="15"/>
  <c r="G8" i="15"/>
  <c r="E8" i="15"/>
  <c r="D8" i="15"/>
  <c r="C8" i="15"/>
  <c r="B8" i="15"/>
  <c r="AN7" i="15"/>
  <c r="AM7" i="15"/>
  <c r="AL7" i="15"/>
  <c r="AK7" i="15"/>
  <c r="AI7" i="15"/>
  <c r="AH7" i="15"/>
  <c r="AG7" i="15"/>
  <c r="AF7" i="15"/>
  <c r="AD7" i="15"/>
  <c r="AC7" i="15"/>
  <c r="AB7" i="15"/>
  <c r="AA7" i="15"/>
  <c r="Y7" i="15"/>
  <c r="X7" i="15"/>
  <c r="W7" i="15"/>
  <c r="V7" i="15"/>
  <c r="T7" i="15"/>
  <c r="S7" i="15"/>
  <c r="R7" i="15"/>
  <c r="Q7" i="15"/>
  <c r="O7" i="15"/>
  <c r="N7" i="15"/>
  <c r="M7" i="15"/>
  <c r="L7" i="15"/>
  <c r="J7" i="15"/>
  <c r="I7" i="15"/>
  <c r="H7" i="15"/>
  <c r="G7" i="15"/>
  <c r="E7" i="15"/>
  <c r="D7" i="15"/>
  <c r="C7" i="15"/>
  <c r="AZ7" i="15" s="1"/>
  <c r="B7" i="15"/>
  <c r="AN6" i="15"/>
  <c r="AM6" i="15"/>
  <c r="AL6" i="15"/>
  <c r="AK6" i="15"/>
  <c r="AI6" i="15"/>
  <c r="AH6" i="15"/>
  <c r="AG6" i="15"/>
  <c r="AF6" i="15"/>
  <c r="AD6" i="15"/>
  <c r="AC6" i="15"/>
  <c r="AB6" i="15"/>
  <c r="AA6" i="15"/>
  <c r="Y6" i="15"/>
  <c r="X6" i="15"/>
  <c r="W6" i="15"/>
  <c r="V6" i="15"/>
  <c r="T6" i="15"/>
  <c r="S6" i="15"/>
  <c r="R6" i="15"/>
  <c r="Q6" i="15"/>
  <c r="O6" i="15"/>
  <c r="N6" i="15"/>
  <c r="M6" i="15"/>
  <c r="L6" i="15"/>
  <c r="J6" i="15"/>
  <c r="I6" i="15"/>
  <c r="H6" i="15"/>
  <c r="G6" i="15"/>
  <c r="E6" i="15"/>
  <c r="BB6" i="15" s="1"/>
  <c r="D6" i="15"/>
  <c r="BA6" i="15" s="1"/>
  <c r="C6" i="15"/>
  <c r="AZ6" i="15" s="1"/>
  <c r="B6" i="15"/>
  <c r="AY6" i="15" s="1"/>
  <c r="AN5" i="15"/>
  <c r="AM5" i="15"/>
  <c r="AL5" i="15"/>
  <c r="AK5" i="15"/>
  <c r="AI5" i="15"/>
  <c r="AH5" i="15"/>
  <c r="AG5" i="15"/>
  <c r="AF5" i="15"/>
  <c r="AD5" i="15"/>
  <c r="AC5" i="15"/>
  <c r="AB5" i="15"/>
  <c r="AA5" i="15"/>
  <c r="Y5" i="15"/>
  <c r="X5" i="15"/>
  <c r="W5" i="15"/>
  <c r="V5" i="15"/>
  <c r="T5" i="15"/>
  <c r="S5" i="15"/>
  <c r="R5" i="15"/>
  <c r="Q5" i="15"/>
  <c r="O5" i="15"/>
  <c r="N5" i="15"/>
  <c r="M5" i="15"/>
  <c r="L5" i="15"/>
  <c r="J5" i="15"/>
  <c r="I5" i="15"/>
  <c r="H5" i="15"/>
  <c r="G5" i="15"/>
  <c r="E5" i="15"/>
  <c r="BB5" i="15" s="1"/>
  <c r="D5" i="15"/>
  <c r="BA5" i="15" s="1"/>
  <c r="C5" i="15"/>
  <c r="AZ5" i="15" s="1"/>
  <c r="B5" i="15"/>
  <c r="AY5" i="15" s="1"/>
  <c r="AN4" i="15"/>
  <c r="AM4" i="15"/>
  <c r="AL4" i="15"/>
  <c r="AK4" i="15"/>
  <c r="AI4" i="15"/>
  <c r="AH4" i="15"/>
  <c r="AG4" i="15"/>
  <c r="AF4" i="15"/>
  <c r="AD4" i="15"/>
  <c r="AC4" i="15"/>
  <c r="AB4" i="15"/>
  <c r="AA4" i="15"/>
  <c r="Y4" i="15"/>
  <c r="X4" i="15"/>
  <c r="W4" i="15"/>
  <c r="V4" i="15"/>
  <c r="T4" i="15"/>
  <c r="S4" i="15"/>
  <c r="R4" i="15"/>
  <c r="Q4" i="15"/>
  <c r="O4" i="15"/>
  <c r="N4" i="15"/>
  <c r="M4" i="15"/>
  <c r="L4" i="15"/>
  <c r="J4" i="15"/>
  <c r="I4" i="15"/>
  <c r="H4" i="15"/>
  <c r="G4" i="15"/>
  <c r="E4" i="15"/>
  <c r="D4" i="15"/>
  <c r="C4" i="15"/>
  <c r="AZ4" i="15" s="1"/>
  <c r="B4" i="15"/>
  <c r="AN3" i="15"/>
  <c r="AM3" i="15"/>
  <c r="AL3" i="15"/>
  <c r="AK3" i="15"/>
  <c r="AI3" i="15"/>
  <c r="AH3" i="15"/>
  <c r="AG3" i="15"/>
  <c r="AF3" i="15"/>
  <c r="AD3" i="15"/>
  <c r="AC3" i="15"/>
  <c r="AB3" i="15"/>
  <c r="AA3" i="15"/>
  <c r="Y3" i="15"/>
  <c r="X3" i="15"/>
  <c r="W3" i="15"/>
  <c r="V3" i="15"/>
  <c r="T3" i="15"/>
  <c r="S3" i="15"/>
  <c r="R3" i="15"/>
  <c r="Q3" i="15"/>
  <c r="O3" i="15"/>
  <c r="N3" i="15"/>
  <c r="M3" i="15"/>
  <c r="L3" i="15"/>
  <c r="J3" i="15"/>
  <c r="I3" i="15"/>
  <c r="H3" i="15"/>
  <c r="G3" i="15"/>
  <c r="E3" i="15"/>
  <c r="D3" i="15"/>
  <c r="C3" i="15"/>
  <c r="AZ3" i="15" s="1"/>
  <c r="B3" i="15"/>
  <c r="BB2" i="15"/>
  <c r="BA2" i="15"/>
  <c r="AZ2" i="15"/>
  <c r="AY2" i="15"/>
  <c r="BC38" i="14"/>
  <c r="BB38" i="14"/>
  <c r="BA38" i="14"/>
  <c r="AZ38" i="14"/>
  <c r="BC37" i="14"/>
  <c r="BB37" i="14"/>
  <c r="BA37" i="14"/>
  <c r="AZ37" i="14"/>
  <c r="BC36" i="14"/>
  <c r="BB36" i="14"/>
  <c r="BA36" i="14"/>
  <c r="AZ36" i="14"/>
  <c r="BC35" i="14"/>
  <c r="BB35" i="14"/>
  <c r="BA35" i="14"/>
  <c r="AZ35" i="14"/>
  <c r="BC34" i="14"/>
  <c r="BB34" i="14"/>
  <c r="BA34" i="14"/>
  <c r="AZ34" i="14"/>
  <c r="BC33" i="14"/>
  <c r="BB33" i="14"/>
  <c r="BA33" i="14"/>
  <c r="AZ33" i="14"/>
  <c r="BC32" i="14"/>
  <c r="BB32" i="14"/>
  <c r="BA32" i="14"/>
  <c r="AZ32" i="14"/>
  <c r="BC31" i="14"/>
  <c r="BB31" i="14"/>
  <c r="BA31" i="14"/>
  <c r="AZ31" i="14"/>
  <c r="BC30" i="14"/>
  <c r="BB30" i="14"/>
  <c r="BA30" i="14"/>
  <c r="AZ30" i="14"/>
  <c r="BC29" i="14"/>
  <c r="BB29" i="14"/>
  <c r="BA29" i="14"/>
  <c r="AZ29" i="14"/>
  <c r="BC28" i="14"/>
  <c r="BB28" i="14"/>
  <c r="BA28" i="14"/>
  <c r="AZ28" i="14"/>
  <c r="BC27" i="14"/>
  <c r="BB27" i="14"/>
  <c r="BA27" i="14"/>
  <c r="AZ27" i="14"/>
  <c r="BC26" i="14"/>
  <c r="BB26" i="14"/>
  <c r="BA26" i="14"/>
  <c r="AZ26" i="14"/>
  <c r="BC25" i="14"/>
  <c r="BB25" i="14"/>
  <c r="BA25" i="14"/>
  <c r="AZ25" i="14"/>
  <c r="BC24" i="14"/>
  <c r="BB24" i="14"/>
  <c r="BA24" i="14"/>
  <c r="AZ24" i="14"/>
  <c r="BC23" i="14"/>
  <c r="BB23" i="14"/>
  <c r="BA23" i="14"/>
  <c r="AZ23" i="14"/>
  <c r="BC22" i="14"/>
  <c r="BB22" i="14"/>
  <c r="BA22" i="14"/>
  <c r="AZ22" i="14"/>
  <c r="BC21" i="14"/>
  <c r="BB21" i="14"/>
  <c r="BA21" i="14"/>
  <c r="AZ21" i="14"/>
  <c r="BC20" i="14"/>
  <c r="BB20" i="14"/>
  <c r="BA20" i="14"/>
  <c r="AZ20" i="14"/>
  <c r="BC19" i="14"/>
  <c r="BB19" i="14"/>
  <c r="BA19" i="14"/>
  <c r="AZ19" i="14"/>
  <c r="BC18" i="14"/>
  <c r="BB18" i="14"/>
  <c r="BA18" i="14"/>
  <c r="AZ18" i="14"/>
  <c r="BC17" i="14"/>
  <c r="BB17" i="14"/>
  <c r="BA17" i="14"/>
  <c r="AZ17" i="14"/>
  <c r="BC16" i="14"/>
  <c r="BB16" i="14"/>
  <c r="BA16" i="14"/>
  <c r="AZ16" i="14"/>
  <c r="BC15" i="14"/>
  <c r="BB15" i="14"/>
  <c r="BA15" i="14"/>
  <c r="AZ15" i="14"/>
  <c r="BC14" i="14"/>
  <c r="BB14" i="14"/>
  <c r="BA14" i="14"/>
  <c r="AZ14" i="14"/>
  <c r="BC13" i="14"/>
  <c r="BB13" i="14"/>
  <c r="BA13" i="14"/>
  <c r="AZ13" i="14"/>
  <c r="BC12" i="14"/>
  <c r="BB12" i="14"/>
  <c r="BA12" i="14"/>
  <c r="AZ12" i="14"/>
  <c r="BC11" i="14"/>
  <c r="BB11" i="14"/>
  <c r="BA11" i="14"/>
  <c r="AZ11" i="14"/>
  <c r="BC10" i="14"/>
  <c r="BB10" i="14"/>
  <c r="BA10" i="14"/>
  <c r="AZ10" i="14"/>
  <c r="BC9" i="14"/>
  <c r="BB9" i="14"/>
  <c r="BA9" i="14"/>
  <c r="AZ9" i="14"/>
  <c r="BC8" i="14"/>
  <c r="BB8" i="14"/>
  <c r="BA8" i="14"/>
  <c r="AZ8" i="14"/>
  <c r="BC7" i="14"/>
  <c r="BB7" i="14"/>
  <c r="BA7" i="14"/>
  <c r="AZ7" i="14"/>
  <c r="BC6" i="14"/>
  <c r="BB6" i="14"/>
  <c r="BA6" i="14"/>
  <c r="AZ6" i="14"/>
  <c r="BC5" i="14"/>
  <c r="BB5" i="14"/>
  <c r="BA5" i="14"/>
  <c r="AZ5" i="14"/>
  <c r="BC4" i="14"/>
  <c r="BB4" i="14"/>
  <c r="BA4" i="14"/>
  <c r="AZ4" i="14"/>
  <c r="BC3" i="14"/>
  <c r="BB3" i="14"/>
  <c r="BA3" i="14"/>
  <c r="AZ3" i="14"/>
  <c r="BC2" i="14"/>
  <c r="BB2" i="14"/>
  <c r="BA2" i="14"/>
  <c r="AZ2" i="14"/>
  <c r="BD38" i="13"/>
  <c r="BC38" i="13"/>
  <c r="BB38" i="13"/>
  <c r="BA38" i="13"/>
  <c r="BD37" i="13"/>
  <c r="BC37" i="13"/>
  <c r="BB37" i="13"/>
  <c r="BA37" i="13"/>
  <c r="BD36" i="13"/>
  <c r="BC36" i="13"/>
  <c r="BB36" i="13"/>
  <c r="BA36" i="13"/>
  <c r="BD35" i="13"/>
  <c r="BC35" i="13"/>
  <c r="BB35" i="13"/>
  <c r="BA35" i="13"/>
  <c r="BD34" i="13"/>
  <c r="BC34" i="13"/>
  <c r="BB34" i="13"/>
  <c r="BA34" i="13"/>
  <c r="BD33" i="13"/>
  <c r="BC33" i="13"/>
  <c r="BB33" i="13"/>
  <c r="BA33" i="13"/>
  <c r="BD32" i="13"/>
  <c r="BC32" i="13"/>
  <c r="BB32" i="13"/>
  <c r="BA32" i="13"/>
  <c r="BD31" i="13"/>
  <c r="BC31" i="13"/>
  <c r="BB31" i="13"/>
  <c r="BA31" i="13"/>
  <c r="BD30" i="13"/>
  <c r="BC30" i="13"/>
  <c r="BB30" i="13"/>
  <c r="BA30" i="13"/>
  <c r="BD29" i="13"/>
  <c r="BC29" i="13"/>
  <c r="BB29" i="13"/>
  <c r="BA29" i="13"/>
  <c r="BD28" i="13"/>
  <c r="BC28" i="13"/>
  <c r="BB28" i="13"/>
  <c r="BA28" i="13"/>
  <c r="BD27" i="13"/>
  <c r="BC27" i="13"/>
  <c r="BB27" i="13"/>
  <c r="BA27" i="13"/>
  <c r="BD26" i="13"/>
  <c r="BC26" i="13"/>
  <c r="BB26" i="13"/>
  <c r="BA26" i="13"/>
  <c r="BD25" i="13"/>
  <c r="BC25" i="13"/>
  <c r="BB25" i="13"/>
  <c r="BA25" i="13"/>
  <c r="BD24" i="13"/>
  <c r="BC24" i="13"/>
  <c r="BB24" i="13"/>
  <c r="BA24" i="13"/>
  <c r="BD23" i="13"/>
  <c r="BC23" i="13"/>
  <c r="BB23" i="13"/>
  <c r="BA23" i="13"/>
  <c r="BD22" i="13"/>
  <c r="BC22" i="13"/>
  <c r="BB22" i="13"/>
  <c r="BA22" i="13"/>
  <c r="BD21" i="13"/>
  <c r="BC21" i="13"/>
  <c r="BB21" i="13"/>
  <c r="BA21" i="13"/>
  <c r="BD20" i="13"/>
  <c r="BC20" i="13"/>
  <c r="BB20" i="13"/>
  <c r="BA20" i="13"/>
  <c r="BD19" i="13"/>
  <c r="BC19" i="13"/>
  <c r="BB19" i="13"/>
  <c r="BA19" i="13"/>
  <c r="BD18" i="13"/>
  <c r="BC18" i="13"/>
  <c r="BB18" i="13"/>
  <c r="BA18" i="13"/>
  <c r="BD17" i="13"/>
  <c r="BC17" i="13"/>
  <c r="BB17" i="13"/>
  <c r="BA17" i="13"/>
  <c r="BD16" i="13"/>
  <c r="BC16" i="13"/>
  <c r="BB16" i="13"/>
  <c r="BA16" i="13"/>
  <c r="BD15" i="13"/>
  <c r="BC15" i="13"/>
  <c r="BB15" i="13"/>
  <c r="BA15" i="13"/>
  <c r="BD14" i="13"/>
  <c r="BC14" i="13"/>
  <c r="BB14" i="13"/>
  <c r="BA14" i="13"/>
  <c r="BD13" i="13"/>
  <c r="BC13" i="13"/>
  <c r="BB13" i="13"/>
  <c r="BA13" i="13"/>
  <c r="BD12" i="13"/>
  <c r="BC12" i="13"/>
  <c r="BB12" i="13"/>
  <c r="BA12" i="13"/>
  <c r="BD11" i="13"/>
  <c r="BC11" i="13"/>
  <c r="BB11" i="13"/>
  <c r="BA11" i="13"/>
  <c r="BD10" i="13"/>
  <c r="BC10" i="13"/>
  <c r="BB10" i="13"/>
  <c r="BA10" i="13"/>
  <c r="BD9" i="13"/>
  <c r="BC9" i="13"/>
  <c r="BB9" i="13"/>
  <c r="BA9" i="13"/>
  <c r="BD8" i="13"/>
  <c r="BC8" i="13"/>
  <c r="BB8" i="13"/>
  <c r="BA8" i="13"/>
  <c r="BD7" i="13"/>
  <c r="BC7" i="13"/>
  <c r="BB7" i="13"/>
  <c r="BA7" i="13"/>
  <c r="BD6" i="13"/>
  <c r="BC6" i="13"/>
  <c r="BB6" i="13"/>
  <c r="BA6" i="13"/>
  <c r="BD5" i="13"/>
  <c r="BC5" i="13"/>
  <c r="BB5" i="13"/>
  <c r="BA5" i="13"/>
  <c r="BD4" i="13"/>
  <c r="BC4" i="13"/>
  <c r="BB4" i="13"/>
  <c r="BA4" i="13"/>
  <c r="BD3" i="13"/>
  <c r="BC3" i="13"/>
  <c r="BB3" i="13"/>
  <c r="BA3" i="13"/>
  <c r="BD2" i="13"/>
  <c r="BC2" i="13"/>
  <c r="BB2" i="13"/>
  <c r="BA2" i="13"/>
  <c r="BD38" i="12"/>
  <c r="BC38" i="12"/>
  <c r="BB38" i="12"/>
  <c r="BA38" i="12"/>
  <c r="BD37" i="12"/>
  <c r="BC37" i="12"/>
  <c r="BB37" i="12"/>
  <c r="BA37" i="12"/>
  <c r="BD36" i="12"/>
  <c r="BC36" i="12"/>
  <c r="BB36" i="12"/>
  <c r="BA36" i="12"/>
  <c r="BD35" i="12"/>
  <c r="BC35" i="12"/>
  <c r="BB35" i="12"/>
  <c r="BA35" i="12"/>
  <c r="BD34" i="12"/>
  <c r="BC34" i="12"/>
  <c r="BB34" i="12"/>
  <c r="BA34" i="12"/>
  <c r="BD33" i="12"/>
  <c r="BC33" i="12"/>
  <c r="BB33" i="12"/>
  <c r="BA33" i="12"/>
  <c r="BD32" i="12"/>
  <c r="BC32" i="12"/>
  <c r="BB32" i="12"/>
  <c r="BA32" i="12"/>
  <c r="BD31" i="12"/>
  <c r="BC31" i="12"/>
  <c r="BB31" i="12"/>
  <c r="BA31" i="12"/>
  <c r="BD30" i="12"/>
  <c r="BC30" i="12"/>
  <c r="BB30" i="12"/>
  <c r="BA30" i="12"/>
  <c r="BD29" i="12"/>
  <c r="BC29" i="12"/>
  <c r="BB29" i="12"/>
  <c r="BA29" i="12"/>
  <c r="BD28" i="12"/>
  <c r="BC28" i="12"/>
  <c r="BB28" i="12"/>
  <c r="BA28" i="12"/>
  <c r="BD27" i="12"/>
  <c r="BC27" i="12"/>
  <c r="BB27" i="12"/>
  <c r="BA27" i="12"/>
  <c r="BD26" i="12"/>
  <c r="BC26" i="12"/>
  <c r="BB26" i="12"/>
  <c r="BA26" i="12"/>
  <c r="BD25" i="12"/>
  <c r="BC25" i="12"/>
  <c r="BB25" i="12"/>
  <c r="BA25" i="12"/>
  <c r="BD24" i="12"/>
  <c r="BC24" i="12"/>
  <c r="BB24" i="12"/>
  <c r="BA24" i="12"/>
  <c r="BD23" i="12"/>
  <c r="BC23" i="12"/>
  <c r="BB23" i="12"/>
  <c r="BA23" i="12"/>
  <c r="BD22" i="12"/>
  <c r="BC22" i="12"/>
  <c r="BB22" i="12"/>
  <c r="BA22" i="12"/>
  <c r="BD21" i="12"/>
  <c r="BC21" i="12"/>
  <c r="BB21" i="12"/>
  <c r="BA21" i="12"/>
  <c r="BD20" i="12"/>
  <c r="BC20" i="12"/>
  <c r="BB20" i="12"/>
  <c r="BA20" i="12"/>
  <c r="BD19" i="12"/>
  <c r="BC19" i="12"/>
  <c r="BB19" i="12"/>
  <c r="BA19" i="12"/>
  <c r="BD18" i="12"/>
  <c r="BC18" i="12"/>
  <c r="BB18" i="12"/>
  <c r="BA18" i="12"/>
  <c r="BD17" i="12"/>
  <c r="BC17" i="12"/>
  <c r="BB17" i="12"/>
  <c r="BA17" i="12"/>
  <c r="BD16" i="12"/>
  <c r="BC16" i="12"/>
  <c r="BB16" i="12"/>
  <c r="BA16" i="12"/>
  <c r="BD15" i="12"/>
  <c r="BC15" i="12"/>
  <c r="BB15" i="12"/>
  <c r="BA15" i="12"/>
  <c r="BD14" i="12"/>
  <c r="BC14" i="12"/>
  <c r="BB14" i="12"/>
  <c r="BA14" i="12"/>
  <c r="BD13" i="12"/>
  <c r="BC13" i="12"/>
  <c r="BB13" i="12"/>
  <c r="BA13" i="12"/>
  <c r="BD12" i="12"/>
  <c r="BC12" i="12"/>
  <c r="BB12" i="12"/>
  <c r="BA12" i="12"/>
  <c r="BD11" i="12"/>
  <c r="BC11" i="12"/>
  <c r="BB11" i="12"/>
  <c r="BA11" i="12"/>
  <c r="BD10" i="12"/>
  <c r="BC10" i="12"/>
  <c r="BB10" i="12"/>
  <c r="BA10" i="12"/>
  <c r="BD9" i="12"/>
  <c r="BC9" i="12"/>
  <c r="BB9" i="12"/>
  <c r="BA9" i="12"/>
  <c r="BD8" i="12"/>
  <c r="BC8" i="12"/>
  <c r="BB8" i="12"/>
  <c r="BA8" i="12"/>
  <c r="BD7" i="12"/>
  <c r="BC7" i="12"/>
  <c r="BB7" i="12"/>
  <c r="BA7" i="12"/>
  <c r="BD6" i="12"/>
  <c r="BC6" i="12"/>
  <c r="BB6" i="12"/>
  <c r="BA6" i="12"/>
  <c r="BD5" i="12"/>
  <c r="BC5" i="12"/>
  <c r="BB5" i="12"/>
  <c r="BA5" i="12"/>
  <c r="BD4" i="12"/>
  <c r="BC4" i="12"/>
  <c r="BB4" i="12"/>
  <c r="BA4" i="12"/>
  <c r="BD3" i="12"/>
  <c r="BC3" i="12"/>
  <c r="BB3" i="12"/>
  <c r="BA3" i="12"/>
  <c r="BD2" i="12"/>
  <c r="BC2" i="12"/>
  <c r="BB2" i="12"/>
  <c r="BA2" i="12"/>
  <c r="B3" i="9"/>
  <c r="C3" i="9"/>
  <c r="D3" i="9"/>
  <c r="E3" i="9"/>
  <c r="G3" i="9"/>
  <c r="H3" i="9"/>
  <c r="I3" i="9"/>
  <c r="J3" i="9"/>
  <c r="L3" i="9"/>
  <c r="M3" i="9"/>
  <c r="N3" i="9"/>
  <c r="O3" i="9"/>
  <c r="Q3" i="9"/>
  <c r="R3" i="9"/>
  <c r="S3" i="9"/>
  <c r="T3" i="9"/>
  <c r="V3" i="9"/>
  <c r="W3" i="9"/>
  <c r="X3" i="9"/>
  <c r="Y3" i="9"/>
  <c r="B4" i="9"/>
  <c r="C4" i="9"/>
  <c r="D4" i="9"/>
  <c r="E4" i="9"/>
  <c r="G4" i="9"/>
  <c r="H4" i="9"/>
  <c r="I4" i="9"/>
  <c r="J4" i="9"/>
  <c r="L4" i="9"/>
  <c r="M4" i="9"/>
  <c r="N4" i="9"/>
  <c r="O4" i="9"/>
  <c r="Q4" i="9"/>
  <c r="R4" i="9"/>
  <c r="S4" i="9"/>
  <c r="T4" i="9"/>
  <c r="V4" i="9"/>
  <c r="W4" i="9"/>
  <c r="X4" i="9"/>
  <c r="Y4" i="9"/>
  <c r="B5" i="9"/>
  <c r="C5" i="9"/>
  <c r="D5" i="9"/>
  <c r="E5" i="9"/>
  <c r="G5" i="9"/>
  <c r="H5" i="9"/>
  <c r="I5" i="9"/>
  <c r="J5" i="9"/>
  <c r="L5" i="9"/>
  <c r="M5" i="9"/>
  <c r="N5" i="9"/>
  <c r="O5" i="9"/>
  <c r="Q5" i="9"/>
  <c r="R5" i="9"/>
  <c r="S5" i="9"/>
  <c r="T5" i="9"/>
  <c r="V5" i="9"/>
  <c r="W5" i="9"/>
  <c r="X5" i="9"/>
  <c r="Y5" i="9"/>
  <c r="B6" i="9"/>
  <c r="C6" i="9"/>
  <c r="D6" i="9"/>
  <c r="E6" i="9"/>
  <c r="G6" i="9"/>
  <c r="H6" i="9"/>
  <c r="I6" i="9"/>
  <c r="J6" i="9"/>
  <c r="L6" i="9"/>
  <c r="M6" i="9"/>
  <c r="N6" i="9"/>
  <c r="O6" i="9"/>
  <c r="Q6" i="9"/>
  <c r="R6" i="9"/>
  <c r="S6" i="9"/>
  <c r="T6" i="9"/>
  <c r="V6" i="9"/>
  <c r="W6" i="9"/>
  <c r="X6" i="9"/>
  <c r="Y6" i="9"/>
  <c r="B7" i="9"/>
  <c r="C7" i="9"/>
  <c r="D7" i="9"/>
  <c r="E7" i="9"/>
  <c r="G7" i="9"/>
  <c r="H7" i="9"/>
  <c r="I7" i="9"/>
  <c r="J7" i="9"/>
  <c r="L7" i="9"/>
  <c r="M7" i="9"/>
  <c r="N7" i="9"/>
  <c r="O7" i="9"/>
  <c r="Q7" i="9"/>
  <c r="R7" i="9"/>
  <c r="S7" i="9"/>
  <c r="T7" i="9"/>
  <c r="V7" i="9"/>
  <c r="W7" i="9"/>
  <c r="X7" i="9"/>
  <c r="Y7" i="9"/>
  <c r="B8" i="9"/>
  <c r="C8" i="9"/>
  <c r="D8" i="9"/>
  <c r="E8" i="9"/>
  <c r="G8" i="9"/>
  <c r="H8" i="9"/>
  <c r="I8" i="9"/>
  <c r="J8" i="9"/>
  <c r="L8" i="9"/>
  <c r="M8" i="9"/>
  <c r="N8" i="9"/>
  <c r="O8" i="9"/>
  <c r="Q8" i="9"/>
  <c r="R8" i="9"/>
  <c r="S8" i="9"/>
  <c r="T8" i="9"/>
  <c r="V8" i="9"/>
  <c r="W8" i="9"/>
  <c r="X8" i="9"/>
  <c r="Y8" i="9"/>
  <c r="B9" i="9"/>
  <c r="C9" i="9"/>
  <c r="D9" i="9"/>
  <c r="E9" i="9"/>
  <c r="G9" i="9"/>
  <c r="H9" i="9"/>
  <c r="I9" i="9"/>
  <c r="J9" i="9"/>
  <c r="L9" i="9"/>
  <c r="M9" i="9"/>
  <c r="N9" i="9"/>
  <c r="O9" i="9"/>
  <c r="Q9" i="9"/>
  <c r="R9" i="9"/>
  <c r="S9" i="9"/>
  <c r="T9" i="9"/>
  <c r="V9" i="9"/>
  <c r="W9" i="9"/>
  <c r="X9" i="9"/>
  <c r="Y9" i="9"/>
  <c r="B10" i="9"/>
  <c r="C10" i="9"/>
  <c r="D10" i="9"/>
  <c r="E10" i="9"/>
  <c r="G10" i="9"/>
  <c r="H10" i="9"/>
  <c r="I10" i="9"/>
  <c r="J10" i="9"/>
  <c r="L10" i="9"/>
  <c r="M10" i="9"/>
  <c r="N10" i="9"/>
  <c r="O10" i="9"/>
  <c r="Q10" i="9"/>
  <c r="R10" i="9"/>
  <c r="S10" i="9"/>
  <c r="T10" i="9"/>
  <c r="V10" i="9"/>
  <c r="W10" i="9"/>
  <c r="X10" i="9"/>
  <c r="Y10" i="9"/>
  <c r="B11" i="9"/>
  <c r="C11" i="9"/>
  <c r="D11" i="9"/>
  <c r="E11" i="9"/>
  <c r="G11" i="9"/>
  <c r="H11" i="9"/>
  <c r="I11" i="9"/>
  <c r="J11" i="9"/>
  <c r="L11" i="9"/>
  <c r="M11" i="9"/>
  <c r="N11" i="9"/>
  <c r="O11" i="9"/>
  <c r="Q11" i="9"/>
  <c r="R11" i="9"/>
  <c r="S11" i="9"/>
  <c r="T11" i="9"/>
  <c r="V11" i="9"/>
  <c r="W11" i="9"/>
  <c r="X11" i="9"/>
  <c r="Y11" i="9"/>
  <c r="B12" i="9"/>
  <c r="C12" i="9"/>
  <c r="D12" i="9"/>
  <c r="E12" i="9"/>
  <c r="G12" i="9"/>
  <c r="H12" i="9"/>
  <c r="I12" i="9"/>
  <c r="J12" i="9"/>
  <c r="L12" i="9"/>
  <c r="M12" i="9"/>
  <c r="N12" i="9"/>
  <c r="O12" i="9"/>
  <c r="Q12" i="9"/>
  <c r="R12" i="9"/>
  <c r="S12" i="9"/>
  <c r="T12" i="9"/>
  <c r="V12" i="9"/>
  <c r="W12" i="9"/>
  <c r="X12" i="9"/>
  <c r="Y12" i="9"/>
  <c r="B13" i="9"/>
  <c r="C13" i="9"/>
  <c r="D13" i="9"/>
  <c r="E13" i="9"/>
  <c r="G13" i="9"/>
  <c r="H13" i="9"/>
  <c r="I13" i="9"/>
  <c r="J13" i="9"/>
  <c r="L13" i="9"/>
  <c r="M13" i="9"/>
  <c r="N13" i="9"/>
  <c r="O13" i="9"/>
  <c r="Q13" i="9"/>
  <c r="R13" i="9"/>
  <c r="S13" i="9"/>
  <c r="T13" i="9"/>
  <c r="V13" i="9"/>
  <c r="W13" i="9"/>
  <c r="X13" i="9"/>
  <c r="Y13" i="9"/>
  <c r="B14" i="9"/>
  <c r="C14" i="9"/>
  <c r="D14" i="9"/>
  <c r="E14" i="9"/>
  <c r="G14" i="9"/>
  <c r="H14" i="9"/>
  <c r="I14" i="9"/>
  <c r="J14" i="9"/>
  <c r="L14" i="9"/>
  <c r="M14" i="9"/>
  <c r="N14" i="9"/>
  <c r="O14" i="9"/>
  <c r="Q14" i="9"/>
  <c r="R14" i="9"/>
  <c r="S14" i="9"/>
  <c r="T14" i="9"/>
  <c r="V14" i="9"/>
  <c r="W14" i="9"/>
  <c r="X14" i="9"/>
  <c r="Y14" i="9"/>
  <c r="B15" i="9"/>
  <c r="C15" i="9"/>
  <c r="D15" i="9"/>
  <c r="E15" i="9"/>
  <c r="G15" i="9"/>
  <c r="H15" i="9"/>
  <c r="I15" i="9"/>
  <c r="J15" i="9"/>
  <c r="L15" i="9"/>
  <c r="M15" i="9"/>
  <c r="N15" i="9"/>
  <c r="O15" i="9"/>
  <c r="Q15" i="9"/>
  <c r="R15" i="9"/>
  <c r="S15" i="9"/>
  <c r="T15" i="9"/>
  <c r="V15" i="9"/>
  <c r="W15" i="9"/>
  <c r="X15" i="9"/>
  <c r="Y15" i="9"/>
  <c r="B16" i="9"/>
  <c r="C16" i="9"/>
  <c r="D16" i="9"/>
  <c r="E16" i="9"/>
  <c r="G16" i="9"/>
  <c r="H16" i="9"/>
  <c r="I16" i="9"/>
  <c r="J16" i="9"/>
  <c r="L16" i="9"/>
  <c r="M16" i="9"/>
  <c r="N16" i="9"/>
  <c r="O16" i="9"/>
  <c r="Q16" i="9"/>
  <c r="R16" i="9"/>
  <c r="S16" i="9"/>
  <c r="T16" i="9"/>
  <c r="V16" i="9"/>
  <c r="W16" i="9"/>
  <c r="X16" i="9"/>
  <c r="Y16" i="9"/>
  <c r="B17" i="9"/>
  <c r="C17" i="9"/>
  <c r="D17" i="9"/>
  <c r="E17" i="9"/>
  <c r="G17" i="9"/>
  <c r="H17" i="9"/>
  <c r="I17" i="9"/>
  <c r="J17" i="9"/>
  <c r="L17" i="9"/>
  <c r="M17" i="9"/>
  <c r="N17" i="9"/>
  <c r="O17" i="9"/>
  <c r="Q17" i="9"/>
  <c r="R17" i="9"/>
  <c r="S17" i="9"/>
  <c r="T17" i="9"/>
  <c r="V17" i="9"/>
  <c r="W17" i="9"/>
  <c r="X17" i="9"/>
  <c r="Y17" i="9"/>
  <c r="B18" i="9"/>
  <c r="C18" i="9"/>
  <c r="D18" i="9"/>
  <c r="E18" i="9"/>
  <c r="G18" i="9"/>
  <c r="H18" i="9"/>
  <c r="I18" i="9"/>
  <c r="J18" i="9"/>
  <c r="L18" i="9"/>
  <c r="M18" i="9"/>
  <c r="N18" i="9"/>
  <c r="O18" i="9"/>
  <c r="Q18" i="9"/>
  <c r="R18" i="9"/>
  <c r="S18" i="9"/>
  <c r="T18" i="9"/>
  <c r="V18" i="9"/>
  <c r="W18" i="9"/>
  <c r="X18" i="9"/>
  <c r="Y18" i="9"/>
  <c r="B19" i="9"/>
  <c r="C19" i="9"/>
  <c r="D19" i="9"/>
  <c r="E19" i="9"/>
  <c r="G19" i="9"/>
  <c r="H19" i="9"/>
  <c r="I19" i="9"/>
  <c r="J19" i="9"/>
  <c r="L19" i="9"/>
  <c r="M19" i="9"/>
  <c r="N19" i="9"/>
  <c r="O19" i="9"/>
  <c r="Q19" i="9"/>
  <c r="R19" i="9"/>
  <c r="S19" i="9"/>
  <c r="T19" i="9"/>
  <c r="V19" i="9"/>
  <c r="W19" i="9"/>
  <c r="X19" i="9"/>
  <c r="Y19" i="9"/>
  <c r="B20" i="9"/>
  <c r="C20" i="9"/>
  <c r="D20" i="9"/>
  <c r="E20" i="9"/>
  <c r="G20" i="9"/>
  <c r="H20" i="9"/>
  <c r="I20" i="9"/>
  <c r="J20" i="9"/>
  <c r="L20" i="9"/>
  <c r="M20" i="9"/>
  <c r="N20" i="9"/>
  <c r="O20" i="9"/>
  <c r="Q20" i="9"/>
  <c r="R20" i="9"/>
  <c r="S20" i="9"/>
  <c r="T20" i="9"/>
  <c r="V20" i="9"/>
  <c r="W20" i="9"/>
  <c r="X20" i="9"/>
  <c r="Y20" i="9"/>
  <c r="B21" i="9"/>
  <c r="C21" i="9"/>
  <c r="D21" i="9"/>
  <c r="E21" i="9"/>
  <c r="G21" i="9"/>
  <c r="H21" i="9"/>
  <c r="I21" i="9"/>
  <c r="J21" i="9"/>
  <c r="L21" i="9"/>
  <c r="M21" i="9"/>
  <c r="N21" i="9"/>
  <c r="O21" i="9"/>
  <c r="Q21" i="9"/>
  <c r="R21" i="9"/>
  <c r="S21" i="9"/>
  <c r="T21" i="9"/>
  <c r="V21" i="9"/>
  <c r="W21" i="9"/>
  <c r="X21" i="9"/>
  <c r="Y21" i="9"/>
  <c r="B22" i="9"/>
  <c r="C22" i="9"/>
  <c r="D22" i="9"/>
  <c r="E22" i="9"/>
  <c r="G22" i="9"/>
  <c r="H22" i="9"/>
  <c r="I22" i="9"/>
  <c r="J22" i="9"/>
  <c r="L22" i="9"/>
  <c r="M22" i="9"/>
  <c r="N22" i="9"/>
  <c r="O22" i="9"/>
  <c r="Q22" i="9"/>
  <c r="R22" i="9"/>
  <c r="S22" i="9"/>
  <c r="T22" i="9"/>
  <c r="V22" i="9"/>
  <c r="W22" i="9"/>
  <c r="X22" i="9"/>
  <c r="Y22" i="9"/>
  <c r="B23" i="9"/>
  <c r="C23" i="9"/>
  <c r="D23" i="9"/>
  <c r="E23" i="9"/>
  <c r="G23" i="9"/>
  <c r="H23" i="9"/>
  <c r="I23" i="9"/>
  <c r="J23" i="9"/>
  <c r="L23" i="9"/>
  <c r="M23" i="9"/>
  <c r="N23" i="9"/>
  <c r="O23" i="9"/>
  <c r="Q23" i="9"/>
  <c r="R23" i="9"/>
  <c r="S23" i="9"/>
  <c r="T23" i="9"/>
  <c r="V23" i="9"/>
  <c r="W23" i="9"/>
  <c r="X23" i="9"/>
  <c r="Y23" i="9"/>
  <c r="B24" i="9"/>
  <c r="C24" i="9"/>
  <c r="D24" i="9"/>
  <c r="E24" i="9"/>
  <c r="G24" i="9"/>
  <c r="H24" i="9"/>
  <c r="I24" i="9"/>
  <c r="J24" i="9"/>
  <c r="L24" i="9"/>
  <c r="M24" i="9"/>
  <c r="N24" i="9"/>
  <c r="O24" i="9"/>
  <c r="Q24" i="9"/>
  <c r="R24" i="9"/>
  <c r="S24" i="9"/>
  <c r="T24" i="9"/>
  <c r="V24" i="9"/>
  <c r="W24" i="9"/>
  <c r="X24" i="9"/>
  <c r="Y24" i="9"/>
  <c r="B25" i="9"/>
  <c r="C25" i="9"/>
  <c r="D25" i="9"/>
  <c r="E25" i="9"/>
  <c r="G25" i="9"/>
  <c r="H25" i="9"/>
  <c r="I25" i="9"/>
  <c r="J25" i="9"/>
  <c r="L25" i="9"/>
  <c r="M25" i="9"/>
  <c r="N25" i="9"/>
  <c r="O25" i="9"/>
  <c r="Q25" i="9"/>
  <c r="R25" i="9"/>
  <c r="S25" i="9"/>
  <c r="T25" i="9"/>
  <c r="V25" i="9"/>
  <c r="W25" i="9"/>
  <c r="X25" i="9"/>
  <c r="Y25" i="9"/>
  <c r="B26" i="9"/>
  <c r="C26" i="9"/>
  <c r="D26" i="9"/>
  <c r="E26" i="9"/>
  <c r="G26" i="9"/>
  <c r="H26" i="9"/>
  <c r="I26" i="9"/>
  <c r="J26" i="9"/>
  <c r="L26" i="9"/>
  <c r="M26" i="9"/>
  <c r="N26" i="9"/>
  <c r="O26" i="9"/>
  <c r="Q26" i="9"/>
  <c r="R26" i="9"/>
  <c r="S26" i="9"/>
  <c r="T26" i="9"/>
  <c r="V26" i="9"/>
  <c r="W26" i="9"/>
  <c r="X26" i="9"/>
  <c r="Y26" i="9"/>
  <c r="B27" i="9"/>
  <c r="C27" i="9"/>
  <c r="D27" i="9"/>
  <c r="E27" i="9"/>
  <c r="G27" i="9"/>
  <c r="H27" i="9"/>
  <c r="I27" i="9"/>
  <c r="J27" i="9"/>
  <c r="L27" i="9"/>
  <c r="M27" i="9"/>
  <c r="N27" i="9"/>
  <c r="O27" i="9"/>
  <c r="Q27" i="9"/>
  <c r="R27" i="9"/>
  <c r="S27" i="9"/>
  <c r="T27" i="9"/>
  <c r="V27" i="9"/>
  <c r="W27" i="9"/>
  <c r="X27" i="9"/>
  <c r="Y27" i="9"/>
  <c r="B28" i="9"/>
  <c r="C28" i="9"/>
  <c r="D28" i="9"/>
  <c r="E28" i="9"/>
  <c r="G28" i="9"/>
  <c r="H28" i="9"/>
  <c r="I28" i="9"/>
  <c r="J28" i="9"/>
  <c r="L28" i="9"/>
  <c r="M28" i="9"/>
  <c r="N28" i="9"/>
  <c r="O28" i="9"/>
  <c r="Q28" i="9"/>
  <c r="R28" i="9"/>
  <c r="S28" i="9"/>
  <c r="T28" i="9"/>
  <c r="V28" i="9"/>
  <c r="W28" i="9"/>
  <c r="X28" i="9"/>
  <c r="Y28" i="9"/>
  <c r="B29" i="9"/>
  <c r="C29" i="9"/>
  <c r="D29" i="9"/>
  <c r="E29" i="9"/>
  <c r="G29" i="9"/>
  <c r="H29" i="9"/>
  <c r="I29" i="9"/>
  <c r="J29" i="9"/>
  <c r="L29" i="9"/>
  <c r="M29" i="9"/>
  <c r="N29" i="9"/>
  <c r="O29" i="9"/>
  <c r="Q29" i="9"/>
  <c r="R29" i="9"/>
  <c r="S29" i="9"/>
  <c r="T29" i="9"/>
  <c r="V29" i="9"/>
  <c r="W29" i="9"/>
  <c r="X29" i="9"/>
  <c r="Y29" i="9"/>
  <c r="B30" i="9"/>
  <c r="C30" i="9"/>
  <c r="D30" i="9"/>
  <c r="E30" i="9"/>
  <c r="G30" i="9"/>
  <c r="H30" i="9"/>
  <c r="I30" i="9"/>
  <c r="J30" i="9"/>
  <c r="L30" i="9"/>
  <c r="M30" i="9"/>
  <c r="N30" i="9"/>
  <c r="O30" i="9"/>
  <c r="Q30" i="9"/>
  <c r="R30" i="9"/>
  <c r="S30" i="9"/>
  <c r="T30" i="9"/>
  <c r="V30" i="9"/>
  <c r="W30" i="9"/>
  <c r="X30" i="9"/>
  <c r="Y30" i="9"/>
  <c r="B31" i="9"/>
  <c r="C31" i="9"/>
  <c r="D31" i="9"/>
  <c r="E31" i="9"/>
  <c r="G31" i="9"/>
  <c r="H31" i="9"/>
  <c r="I31" i="9"/>
  <c r="J31" i="9"/>
  <c r="L31" i="9"/>
  <c r="M31" i="9"/>
  <c r="N31" i="9"/>
  <c r="O31" i="9"/>
  <c r="Q31" i="9"/>
  <c r="R31" i="9"/>
  <c r="S31" i="9"/>
  <c r="T31" i="9"/>
  <c r="V31" i="9"/>
  <c r="W31" i="9"/>
  <c r="X31" i="9"/>
  <c r="Y31" i="9"/>
  <c r="B32" i="9"/>
  <c r="C32" i="9"/>
  <c r="D32" i="9"/>
  <c r="E32" i="9"/>
  <c r="G32" i="9"/>
  <c r="H32" i="9"/>
  <c r="I32" i="9"/>
  <c r="J32" i="9"/>
  <c r="L32" i="9"/>
  <c r="M32" i="9"/>
  <c r="N32" i="9"/>
  <c r="O32" i="9"/>
  <c r="Q32" i="9"/>
  <c r="R32" i="9"/>
  <c r="S32" i="9"/>
  <c r="T32" i="9"/>
  <c r="V32" i="9"/>
  <c r="W32" i="9"/>
  <c r="X32" i="9"/>
  <c r="Y32" i="9"/>
  <c r="B33" i="9"/>
  <c r="C33" i="9"/>
  <c r="D33" i="9"/>
  <c r="E33" i="9"/>
  <c r="G33" i="9"/>
  <c r="H33" i="9"/>
  <c r="I33" i="9"/>
  <c r="J33" i="9"/>
  <c r="L33" i="9"/>
  <c r="M33" i="9"/>
  <c r="N33" i="9"/>
  <c r="O33" i="9"/>
  <c r="Q33" i="9"/>
  <c r="R33" i="9"/>
  <c r="S33" i="9"/>
  <c r="T33" i="9"/>
  <c r="V33" i="9"/>
  <c r="W33" i="9"/>
  <c r="X33" i="9"/>
  <c r="Y33" i="9"/>
  <c r="B34" i="9"/>
  <c r="C34" i="9"/>
  <c r="D34" i="9"/>
  <c r="E34" i="9"/>
  <c r="G34" i="9"/>
  <c r="H34" i="9"/>
  <c r="I34" i="9"/>
  <c r="J34" i="9"/>
  <c r="L34" i="9"/>
  <c r="M34" i="9"/>
  <c r="N34" i="9"/>
  <c r="O34" i="9"/>
  <c r="Q34" i="9"/>
  <c r="R34" i="9"/>
  <c r="S34" i="9"/>
  <c r="T34" i="9"/>
  <c r="V34" i="9"/>
  <c r="W34" i="9"/>
  <c r="X34" i="9"/>
  <c r="Y34" i="9"/>
  <c r="B35" i="9"/>
  <c r="C35" i="9"/>
  <c r="D35" i="9"/>
  <c r="E35" i="9"/>
  <c r="G35" i="9"/>
  <c r="H35" i="9"/>
  <c r="I35" i="9"/>
  <c r="J35" i="9"/>
  <c r="L35" i="9"/>
  <c r="M35" i="9"/>
  <c r="N35" i="9"/>
  <c r="O35" i="9"/>
  <c r="Q35" i="9"/>
  <c r="R35" i="9"/>
  <c r="S35" i="9"/>
  <c r="T35" i="9"/>
  <c r="V35" i="9"/>
  <c r="W35" i="9"/>
  <c r="X35" i="9"/>
  <c r="Y35" i="9"/>
  <c r="B36" i="9"/>
  <c r="C36" i="9"/>
  <c r="D36" i="9"/>
  <c r="E36" i="9"/>
  <c r="G36" i="9"/>
  <c r="H36" i="9"/>
  <c r="I36" i="9"/>
  <c r="J36" i="9"/>
  <c r="L36" i="9"/>
  <c r="M36" i="9"/>
  <c r="N36" i="9"/>
  <c r="O36" i="9"/>
  <c r="Q36" i="9"/>
  <c r="R36" i="9"/>
  <c r="S36" i="9"/>
  <c r="T36" i="9"/>
  <c r="V36" i="9"/>
  <c r="W36" i="9"/>
  <c r="X36" i="9"/>
  <c r="Y36" i="9"/>
  <c r="B37" i="9"/>
  <c r="C37" i="9"/>
  <c r="D37" i="9"/>
  <c r="E37" i="9"/>
  <c r="G37" i="9"/>
  <c r="H37" i="9"/>
  <c r="I37" i="9"/>
  <c r="J37" i="9"/>
  <c r="L37" i="9"/>
  <c r="M37" i="9"/>
  <c r="N37" i="9"/>
  <c r="O37" i="9"/>
  <c r="Q37" i="9"/>
  <c r="R37" i="9"/>
  <c r="S37" i="9"/>
  <c r="T37" i="9"/>
  <c r="V37" i="9"/>
  <c r="W37" i="9"/>
  <c r="X37" i="9"/>
  <c r="Y37" i="9"/>
  <c r="B38" i="9"/>
  <c r="C38" i="9"/>
  <c r="D38" i="9"/>
  <c r="E38" i="9"/>
  <c r="G38" i="9"/>
  <c r="H38" i="9"/>
  <c r="I38" i="9"/>
  <c r="J38" i="9"/>
  <c r="L38" i="9"/>
  <c r="M38" i="9"/>
  <c r="N38" i="9"/>
  <c r="O38" i="9"/>
  <c r="Q38" i="9"/>
  <c r="R38" i="9"/>
  <c r="S38" i="9"/>
  <c r="T38" i="9"/>
  <c r="V38" i="9"/>
  <c r="W38" i="9"/>
  <c r="X38" i="9"/>
  <c r="Y38" i="9"/>
  <c r="BD38" i="7"/>
  <c r="H38" i="3" s="1"/>
  <c r="BC38" i="7"/>
  <c r="G38" i="3" s="1"/>
  <c r="BB38" i="7"/>
  <c r="J38" i="3" s="1"/>
  <c r="BA38" i="7"/>
  <c r="I38" i="3" s="1"/>
  <c r="BD37" i="7"/>
  <c r="H37" i="3" s="1"/>
  <c r="BC37" i="7"/>
  <c r="G37" i="3" s="1"/>
  <c r="BB37" i="7"/>
  <c r="J37" i="3" s="1"/>
  <c r="BA37" i="7"/>
  <c r="I37" i="3" s="1"/>
  <c r="BD36" i="7"/>
  <c r="H36" i="3" s="1"/>
  <c r="BC36" i="7"/>
  <c r="G36" i="3" s="1"/>
  <c r="BB36" i="7"/>
  <c r="J36" i="3" s="1"/>
  <c r="BA36" i="7"/>
  <c r="I36" i="3" s="1"/>
  <c r="BD35" i="7"/>
  <c r="H35" i="3" s="1"/>
  <c r="BC35" i="7"/>
  <c r="G35" i="3" s="1"/>
  <c r="BB35" i="7"/>
  <c r="J35" i="3" s="1"/>
  <c r="BA35" i="7"/>
  <c r="I35" i="3" s="1"/>
  <c r="BD34" i="7"/>
  <c r="H34" i="3" s="1"/>
  <c r="BC34" i="7"/>
  <c r="G34" i="3" s="1"/>
  <c r="BB34" i="7"/>
  <c r="J34" i="3" s="1"/>
  <c r="BA34" i="7"/>
  <c r="I34" i="3" s="1"/>
  <c r="BD33" i="7"/>
  <c r="H33" i="3" s="1"/>
  <c r="BC33" i="7"/>
  <c r="G33" i="3" s="1"/>
  <c r="BB33" i="7"/>
  <c r="J33" i="3" s="1"/>
  <c r="BA33" i="7"/>
  <c r="I33" i="3" s="1"/>
  <c r="BD32" i="7"/>
  <c r="H32" i="3" s="1"/>
  <c r="BC32" i="7"/>
  <c r="G32" i="3" s="1"/>
  <c r="BB32" i="7"/>
  <c r="J32" i="3" s="1"/>
  <c r="BA32" i="7"/>
  <c r="I32" i="3" s="1"/>
  <c r="BD31" i="7"/>
  <c r="H31" i="3" s="1"/>
  <c r="BC31" i="7"/>
  <c r="G31" i="3" s="1"/>
  <c r="BB31" i="7"/>
  <c r="J31" i="3" s="1"/>
  <c r="BA31" i="7"/>
  <c r="I31" i="3" s="1"/>
  <c r="BD30" i="7"/>
  <c r="H30" i="3" s="1"/>
  <c r="BC30" i="7"/>
  <c r="G30" i="3" s="1"/>
  <c r="BB30" i="7"/>
  <c r="J30" i="3" s="1"/>
  <c r="BA30" i="7"/>
  <c r="I30" i="3" s="1"/>
  <c r="BD29" i="7"/>
  <c r="H29" i="3" s="1"/>
  <c r="BC29" i="7"/>
  <c r="G29" i="3" s="1"/>
  <c r="BB29" i="7"/>
  <c r="J29" i="3" s="1"/>
  <c r="BA29" i="7"/>
  <c r="I29" i="3" s="1"/>
  <c r="BD28" i="7"/>
  <c r="H28" i="3" s="1"/>
  <c r="BC28" i="7"/>
  <c r="G28" i="3" s="1"/>
  <c r="BB28" i="7"/>
  <c r="J28" i="3" s="1"/>
  <c r="BA28" i="7"/>
  <c r="I28" i="3" s="1"/>
  <c r="BD27" i="7"/>
  <c r="H27" i="3" s="1"/>
  <c r="BC27" i="7"/>
  <c r="G27" i="3" s="1"/>
  <c r="BB27" i="7"/>
  <c r="J27" i="3" s="1"/>
  <c r="BA27" i="7"/>
  <c r="I27" i="3" s="1"/>
  <c r="BD26" i="7"/>
  <c r="H26" i="3" s="1"/>
  <c r="BC26" i="7"/>
  <c r="G26" i="3" s="1"/>
  <c r="BB26" i="7"/>
  <c r="J26" i="3" s="1"/>
  <c r="BA26" i="7"/>
  <c r="I26" i="3" s="1"/>
  <c r="BD25" i="7"/>
  <c r="H25" i="3" s="1"/>
  <c r="BC25" i="7"/>
  <c r="G25" i="3" s="1"/>
  <c r="BB25" i="7"/>
  <c r="J25" i="3" s="1"/>
  <c r="BA25" i="7"/>
  <c r="I25" i="3" s="1"/>
  <c r="BD24" i="7"/>
  <c r="H24" i="3" s="1"/>
  <c r="BC24" i="7"/>
  <c r="G24" i="3" s="1"/>
  <c r="BB24" i="7"/>
  <c r="J24" i="3" s="1"/>
  <c r="BA24" i="7"/>
  <c r="I24" i="3" s="1"/>
  <c r="BD23" i="7"/>
  <c r="H23" i="3" s="1"/>
  <c r="BC23" i="7"/>
  <c r="G23" i="3" s="1"/>
  <c r="BB23" i="7"/>
  <c r="J23" i="3" s="1"/>
  <c r="BA23" i="7"/>
  <c r="I23" i="3" s="1"/>
  <c r="BD22" i="7"/>
  <c r="H22" i="3" s="1"/>
  <c r="BC22" i="7"/>
  <c r="G22" i="3" s="1"/>
  <c r="BB22" i="7"/>
  <c r="J22" i="3" s="1"/>
  <c r="BA22" i="7"/>
  <c r="I22" i="3" s="1"/>
  <c r="BD21" i="7"/>
  <c r="H21" i="3" s="1"/>
  <c r="BC21" i="7"/>
  <c r="G21" i="3" s="1"/>
  <c r="BB21" i="7"/>
  <c r="J21" i="3" s="1"/>
  <c r="BA21" i="7"/>
  <c r="I21" i="3" s="1"/>
  <c r="BD20" i="7"/>
  <c r="H20" i="3" s="1"/>
  <c r="BC20" i="7"/>
  <c r="G20" i="3" s="1"/>
  <c r="BB20" i="7"/>
  <c r="J20" i="3" s="1"/>
  <c r="BA20" i="7"/>
  <c r="I20" i="3" s="1"/>
  <c r="BD19" i="7"/>
  <c r="H19" i="3" s="1"/>
  <c r="BC19" i="7"/>
  <c r="G19" i="3" s="1"/>
  <c r="BB19" i="7"/>
  <c r="J19" i="3" s="1"/>
  <c r="BA19" i="7"/>
  <c r="I19" i="3" s="1"/>
  <c r="BD18" i="7"/>
  <c r="H18" i="3" s="1"/>
  <c r="BC18" i="7"/>
  <c r="G18" i="3" s="1"/>
  <c r="BB18" i="7"/>
  <c r="J18" i="3" s="1"/>
  <c r="BA18" i="7"/>
  <c r="I18" i="3" s="1"/>
  <c r="BD17" i="7"/>
  <c r="H17" i="3" s="1"/>
  <c r="BC17" i="7"/>
  <c r="G17" i="3" s="1"/>
  <c r="BB17" i="7"/>
  <c r="J17" i="3" s="1"/>
  <c r="BA17" i="7"/>
  <c r="I17" i="3" s="1"/>
  <c r="BD16" i="7"/>
  <c r="H16" i="3" s="1"/>
  <c r="BC16" i="7"/>
  <c r="G16" i="3" s="1"/>
  <c r="BB16" i="7"/>
  <c r="J16" i="3" s="1"/>
  <c r="BA16" i="7"/>
  <c r="I16" i="3" s="1"/>
  <c r="BD15" i="7"/>
  <c r="H15" i="3" s="1"/>
  <c r="BC15" i="7"/>
  <c r="G15" i="3" s="1"/>
  <c r="BB15" i="7"/>
  <c r="J15" i="3" s="1"/>
  <c r="BA15" i="7"/>
  <c r="I15" i="3" s="1"/>
  <c r="BD14" i="7"/>
  <c r="H14" i="3" s="1"/>
  <c r="BC14" i="7"/>
  <c r="G14" i="3" s="1"/>
  <c r="BB14" i="7"/>
  <c r="J14" i="3" s="1"/>
  <c r="BA14" i="7"/>
  <c r="I14" i="3" s="1"/>
  <c r="BD13" i="7"/>
  <c r="H13" i="3" s="1"/>
  <c r="BC13" i="7"/>
  <c r="G13" i="3" s="1"/>
  <c r="BB13" i="7"/>
  <c r="J13" i="3" s="1"/>
  <c r="BA13" i="7"/>
  <c r="I13" i="3" s="1"/>
  <c r="BD12" i="7"/>
  <c r="H12" i="3" s="1"/>
  <c r="BC12" i="7"/>
  <c r="G12" i="3" s="1"/>
  <c r="BB12" i="7"/>
  <c r="J12" i="3" s="1"/>
  <c r="BA12" i="7"/>
  <c r="I12" i="3" s="1"/>
  <c r="BD11" i="7"/>
  <c r="H11" i="3" s="1"/>
  <c r="BC11" i="7"/>
  <c r="G11" i="3" s="1"/>
  <c r="BB11" i="7"/>
  <c r="J11" i="3" s="1"/>
  <c r="BA11" i="7"/>
  <c r="I11" i="3" s="1"/>
  <c r="BD10" i="7"/>
  <c r="H10" i="3" s="1"/>
  <c r="BC10" i="7"/>
  <c r="G10" i="3" s="1"/>
  <c r="BB10" i="7"/>
  <c r="J10" i="3" s="1"/>
  <c r="BA10" i="7"/>
  <c r="I10" i="3" s="1"/>
  <c r="BD9" i="7"/>
  <c r="H9" i="3" s="1"/>
  <c r="BC9" i="7"/>
  <c r="G9" i="3" s="1"/>
  <c r="BB9" i="7"/>
  <c r="J9" i="3" s="1"/>
  <c r="BA9" i="7"/>
  <c r="I9" i="3" s="1"/>
  <c r="BD8" i="7"/>
  <c r="H8" i="3" s="1"/>
  <c r="BC8" i="7"/>
  <c r="G8" i="3" s="1"/>
  <c r="BB8" i="7"/>
  <c r="J8" i="3" s="1"/>
  <c r="BA8" i="7"/>
  <c r="I8" i="3" s="1"/>
  <c r="BD7" i="7"/>
  <c r="H7" i="3" s="1"/>
  <c r="BC7" i="7"/>
  <c r="G7" i="3" s="1"/>
  <c r="BB7" i="7"/>
  <c r="J7" i="3" s="1"/>
  <c r="BA7" i="7"/>
  <c r="I7" i="3" s="1"/>
  <c r="BD6" i="7"/>
  <c r="H6" i="3" s="1"/>
  <c r="BC6" i="7"/>
  <c r="G6" i="3" s="1"/>
  <c r="BB6" i="7"/>
  <c r="J6" i="3" s="1"/>
  <c r="BA6" i="7"/>
  <c r="I6" i="3" s="1"/>
  <c r="BD5" i="7"/>
  <c r="H5" i="3" s="1"/>
  <c r="BC5" i="7"/>
  <c r="G5" i="3" s="1"/>
  <c r="BB5" i="7"/>
  <c r="J5" i="3" s="1"/>
  <c r="BA5" i="7"/>
  <c r="I5" i="3" s="1"/>
  <c r="BD4" i="7"/>
  <c r="H4" i="3" s="1"/>
  <c r="BC4" i="7"/>
  <c r="G4" i="3" s="1"/>
  <c r="BB4" i="7"/>
  <c r="J4" i="3" s="1"/>
  <c r="BA4" i="7"/>
  <c r="I4" i="3" s="1"/>
  <c r="BD3" i="7"/>
  <c r="H3" i="3" s="1"/>
  <c r="BC3" i="7"/>
  <c r="G3" i="3" s="1"/>
  <c r="BB3" i="7"/>
  <c r="J3" i="3" s="1"/>
  <c r="BA3" i="7"/>
  <c r="I3" i="3" s="1"/>
  <c r="BD2" i="7"/>
  <c r="H2" i="3" s="1"/>
  <c r="BC2" i="7"/>
  <c r="G2" i="3" s="1"/>
  <c r="BB2" i="7"/>
  <c r="J2" i="3" s="1"/>
  <c r="BA2" i="7"/>
  <c r="I2" i="3" s="1"/>
  <c r="BC38" i="8"/>
  <c r="M38" i="3" s="1"/>
  <c r="BC37" i="8"/>
  <c r="M37" i="3" s="1"/>
  <c r="BC36" i="8"/>
  <c r="M36" i="3" s="1"/>
  <c r="BC35" i="8"/>
  <c r="M35" i="3" s="1"/>
  <c r="BC34" i="8"/>
  <c r="M34" i="3" s="1"/>
  <c r="BC33" i="8"/>
  <c r="M33" i="3" s="1"/>
  <c r="BC32" i="8"/>
  <c r="M32" i="3" s="1"/>
  <c r="BC31" i="8"/>
  <c r="M31" i="3" s="1"/>
  <c r="BC30" i="8"/>
  <c r="M30" i="3" s="1"/>
  <c r="BC29" i="8"/>
  <c r="M29" i="3" s="1"/>
  <c r="BC28" i="8"/>
  <c r="M28" i="3" s="1"/>
  <c r="BC27" i="8"/>
  <c r="M27" i="3" s="1"/>
  <c r="BC26" i="8"/>
  <c r="M26" i="3" s="1"/>
  <c r="BC25" i="8"/>
  <c r="M25" i="3" s="1"/>
  <c r="BC24" i="8"/>
  <c r="M24" i="3" s="1"/>
  <c r="BC23" i="8"/>
  <c r="M23" i="3" s="1"/>
  <c r="BC22" i="8"/>
  <c r="M22" i="3" s="1"/>
  <c r="BC21" i="8"/>
  <c r="M21" i="3" s="1"/>
  <c r="BC20" i="8"/>
  <c r="M20" i="3" s="1"/>
  <c r="BC19" i="8"/>
  <c r="M19" i="3" s="1"/>
  <c r="BC18" i="8"/>
  <c r="M18" i="3" s="1"/>
  <c r="BC17" i="8"/>
  <c r="M17" i="3" s="1"/>
  <c r="BC16" i="8"/>
  <c r="M16" i="3" s="1"/>
  <c r="BC15" i="8"/>
  <c r="M15" i="3" s="1"/>
  <c r="BC14" i="8"/>
  <c r="M14" i="3" s="1"/>
  <c r="BC13" i="8"/>
  <c r="M13" i="3" s="1"/>
  <c r="BC12" i="8"/>
  <c r="M12" i="3" s="1"/>
  <c r="BC11" i="8"/>
  <c r="M11" i="3" s="1"/>
  <c r="BC10" i="8"/>
  <c r="M10" i="3" s="1"/>
  <c r="BC9" i="8"/>
  <c r="M9" i="3" s="1"/>
  <c r="BC8" i="8"/>
  <c r="M8" i="3" s="1"/>
  <c r="BC7" i="8"/>
  <c r="M7" i="3" s="1"/>
  <c r="BC6" i="8"/>
  <c r="M6" i="3" s="1"/>
  <c r="BC5" i="8"/>
  <c r="M5" i="3" s="1"/>
  <c r="BC4" i="8"/>
  <c r="M4" i="3" s="1"/>
  <c r="BC3" i="8"/>
  <c r="M3" i="3" s="1"/>
  <c r="BC2" i="8"/>
  <c r="M2" i="3" s="1"/>
  <c r="BB38" i="8"/>
  <c r="L38" i="3" s="1"/>
  <c r="BB37" i="8"/>
  <c r="L37" i="3" s="1"/>
  <c r="BB36" i="8"/>
  <c r="L36" i="3" s="1"/>
  <c r="BB35" i="8"/>
  <c r="L35" i="3" s="1"/>
  <c r="BB34" i="8"/>
  <c r="L34" i="3" s="1"/>
  <c r="BB33" i="8"/>
  <c r="L33" i="3" s="1"/>
  <c r="BB32" i="8"/>
  <c r="L32" i="3" s="1"/>
  <c r="BB31" i="8"/>
  <c r="L31" i="3" s="1"/>
  <c r="BB30" i="8"/>
  <c r="L30" i="3" s="1"/>
  <c r="BB29" i="8"/>
  <c r="L29" i="3" s="1"/>
  <c r="BB28" i="8"/>
  <c r="L28" i="3" s="1"/>
  <c r="BB27" i="8"/>
  <c r="L27" i="3" s="1"/>
  <c r="BB26" i="8"/>
  <c r="L26" i="3" s="1"/>
  <c r="BB25" i="8"/>
  <c r="L25" i="3" s="1"/>
  <c r="BB24" i="8"/>
  <c r="L24" i="3" s="1"/>
  <c r="BB23" i="8"/>
  <c r="L23" i="3" s="1"/>
  <c r="BB22" i="8"/>
  <c r="L22" i="3" s="1"/>
  <c r="BB21" i="8"/>
  <c r="L21" i="3" s="1"/>
  <c r="BB20" i="8"/>
  <c r="L20" i="3" s="1"/>
  <c r="BB19" i="8"/>
  <c r="L19" i="3" s="1"/>
  <c r="BB18" i="8"/>
  <c r="L18" i="3" s="1"/>
  <c r="BB17" i="8"/>
  <c r="L17" i="3" s="1"/>
  <c r="BB16" i="8"/>
  <c r="L16" i="3" s="1"/>
  <c r="BB15" i="8"/>
  <c r="L15" i="3" s="1"/>
  <c r="BB14" i="8"/>
  <c r="L14" i="3" s="1"/>
  <c r="BB13" i="8"/>
  <c r="L13" i="3" s="1"/>
  <c r="BB12" i="8"/>
  <c r="L12" i="3" s="1"/>
  <c r="BB11" i="8"/>
  <c r="L11" i="3" s="1"/>
  <c r="BB10" i="8"/>
  <c r="L10" i="3" s="1"/>
  <c r="BB9" i="8"/>
  <c r="L9" i="3" s="1"/>
  <c r="BB8" i="8"/>
  <c r="L8" i="3" s="1"/>
  <c r="BB7" i="8"/>
  <c r="L7" i="3" s="1"/>
  <c r="BB6" i="8"/>
  <c r="L6" i="3" s="1"/>
  <c r="BB5" i="8"/>
  <c r="L5" i="3" s="1"/>
  <c r="BB4" i="8"/>
  <c r="L4" i="3" s="1"/>
  <c r="BB3" i="8"/>
  <c r="L3" i="3" s="1"/>
  <c r="BB2" i="8"/>
  <c r="L2" i="3" s="1"/>
  <c r="BA38" i="8"/>
  <c r="O38" i="3" s="1"/>
  <c r="BA37" i="8"/>
  <c r="O37" i="3" s="1"/>
  <c r="BA36" i="8"/>
  <c r="O36" i="3" s="1"/>
  <c r="BA35" i="8"/>
  <c r="O35" i="3" s="1"/>
  <c r="BA34" i="8"/>
  <c r="O34" i="3" s="1"/>
  <c r="BA33" i="8"/>
  <c r="O33" i="3" s="1"/>
  <c r="BA32" i="8"/>
  <c r="O32" i="3" s="1"/>
  <c r="BA31" i="8"/>
  <c r="O31" i="3" s="1"/>
  <c r="BA30" i="8"/>
  <c r="O30" i="3" s="1"/>
  <c r="BA29" i="8"/>
  <c r="O29" i="3" s="1"/>
  <c r="BA28" i="8"/>
  <c r="O28" i="3" s="1"/>
  <c r="BA27" i="8"/>
  <c r="O27" i="3" s="1"/>
  <c r="BA26" i="8"/>
  <c r="O26" i="3" s="1"/>
  <c r="BA25" i="8"/>
  <c r="O25" i="3" s="1"/>
  <c r="BA24" i="8"/>
  <c r="O24" i="3" s="1"/>
  <c r="BA23" i="8"/>
  <c r="O23" i="3" s="1"/>
  <c r="BA22" i="8"/>
  <c r="O22" i="3" s="1"/>
  <c r="BA21" i="8"/>
  <c r="O21" i="3" s="1"/>
  <c r="BA20" i="8"/>
  <c r="O20" i="3" s="1"/>
  <c r="BA19" i="8"/>
  <c r="O19" i="3" s="1"/>
  <c r="BA18" i="8"/>
  <c r="O18" i="3" s="1"/>
  <c r="BA17" i="8"/>
  <c r="O17" i="3" s="1"/>
  <c r="BA16" i="8"/>
  <c r="O16" i="3" s="1"/>
  <c r="BA15" i="8"/>
  <c r="O15" i="3" s="1"/>
  <c r="BA14" i="8"/>
  <c r="O14" i="3" s="1"/>
  <c r="BA13" i="8"/>
  <c r="O13" i="3" s="1"/>
  <c r="BA12" i="8"/>
  <c r="O12" i="3" s="1"/>
  <c r="BA11" i="8"/>
  <c r="O11" i="3" s="1"/>
  <c r="BA10" i="8"/>
  <c r="O10" i="3" s="1"/>
  <c r="BA9" i="8"/>
  <c r="O9" i="3" s="1"/>
  <c r="BA8" i="8"/>
  <c r="O8" i="3" s="1"/>
  <c r="BA7" i="8"/>
  <c r="O7" i="3" s="1"/>
  <c r="BA6" i="8"/>
  <c r="O6" i="3" s="1"/>
  <c r="BA5" i="8"/>
  <c r="O5" i="3" s="1"/>
  <c r="BA4" i="8"/>
  <c r="O4" i="3" s="1"/>
  <c r="BA3" i="8"/>
  <c r="O3" i="3" s="1"/>
  <c r="BA2" i="8"/>
  <c r="O2" i="3" s="1"/>
  <c r="AZ3" i="8"/>
  <c r="N3" i="3" s="1"/>
  <c r="AZ4" i="8"/>
  <c r="N4" i="3" s="1"/>
  <c r="AZ5" i="8"/>
  <c r="N5" i="3" s="1"/>
  <c r="AZ6" i="8"/>
  <c r="N6" i="3" s="1"/>
  <c r="AZ7" i="8"/>
  <c r="N7" i="3" s="1"/>
  <c r="AZ8" i="8"/>
  <c r="N8" i="3" s="1"/>
  <c r="AZ9" i="8"/>
  <c r="N9" i="3" s="1"/>
  <c r="AZ10" i="8"/>
  <c r="N10" i="3" s="1"/>
  <c r="AZ11" i="8"/>
  <c r="N11" i="3" s="1"/>
  <c r="AZ12" i="8"/>
  <c r="N12" i="3" s="1"/>
  <c r="AZ13" i="8"/>
  <c r="N13" i="3" s="1"/>
  <c r="AZ14" i="8"/>
  <c r="N14" i="3" s="1"/>
  <c r="AZ15" i="8"/>
  <c r="N15" i="3" s="1"/>
  <c r="AZ16" i="8"/>
  <c r="N16" i="3" s="1"/>
  <c r="AZ17" i="8"/>
  <c r="N17" i="3" s="1"/>
  <c r="AZ18" i="8"/>
  <c r="N18" i="3" s="1"/>
  <c r="AZ19" i="8"/>
  <c r="N19" i="3" s="1"/>
  <c r="AZ20" i="8"/>
  <c r="N20" i="3" s="1"/>
  <c r="AZ21" i="8"/>
  <c r="N21" i="3" s="1"/>
  <c r="AZ22" i="8"/>
  <c r="N22" i="3" s="1"/>
  <c r="AZ23" i="8"/>
  <c r="N23" i="3" s="1"/>
  <c r="AZ24" i="8"/>
  <c r="N24" i="3" s="1"/>
  <c r="AZ25" i="8"/>
  <c r="N25" i="3" s="1"/>
  <c r="AZ26" i="8"/>
  <c r="N26" i="3" s="1"/>
  <c r="AZ27" i="8"/>
  <c r="N27" i="3" s="1"/>
  <c r="AZ28" i="8"/>
  <c r="N28" i="3" s="1"/>
  <c r="AZ29" i="8"/>
  <c r="N29" i="3" s="1"/>
  <c r="AZ30" i="8"/>
  <c r="N30" i="3" s="1"/>
  <c r="AZ31" i="8"/>
  <c r="N31" i="3" s="1"/>
  <c r="AZ32" i="8"/>
  <c r="N32" i="3" s="1"/>
  <c r="AZ33" i="8"/>
  <c r="N33" i="3" s="1"/>
  <c r="AZ34" i="8"/>
  <c r="N34" i="3" s="1"/>
  <c r="AZ35" i="8"/>
  <c r="N35" i="3" s="1"/>
  <c r="AZ36" i="8"/>
  <c r="N36" i="3" s="1"/>
  <c r="AZ37" i="8"/>
  <c r="N37" i="3" s="1"/>
  <c r="AZ38" i="8"/>
  <c r="N38" i="3" s="1"/>
  <c r="AZ2" i="8"/>
  <c r="T2" i="23" l="1"/>
  <c r="S2" i="2"/>
  <c r="H69" i="30"/>
  <c r="I69" i="30" s="1"/>
  <c r="M56" i="30"/>
  <c r="M45" i="30"/>
  <c r="M79" i="30"/>
  <c r="M80" i="30"/>
  <c r="M62" i="30"/>
  <c r="L63" i="30"/>
  <c r="M63" i="30"/>
  <c r="L55" i="30"/>
  <c r="M55" i="30"/>
  <c r="L78" i="30"/>
  <c r="M78" i="30"/>
  <c r="M54" i="30"/>
  <c r="M48" i="30"/>
  <c r="M47" i="30"/>
  <c r="L53" i="30"/>
  <c r="M53" i="30"/>
  <c r="M77" i="30"/>
  <c r="L64" i="30"/>
  <c r="M64" i="30"/>
  <c r="N2" i="23"/>
  <c r="N2" i="2" s="1"/>
  <c r="AZ40" i="20"/>
  <c r="AZ40" i="8"/>
  <c r="N2" i="3"/>
  <c r="M2" i="2" s="1"/>
  <c r="T2" i="3"/>
  <c r="AD2" i="3" s="1"/>
  <c r="B40" i="22"/>
  <c r="H40" i="21"/>
  <c r="G40" i="21"/>
  <c r="J52" i="30"/>
  <c r="K52" i="30" s="1"/>
  <c r="H61" i="30"/>
  <c r="I61" i="30" s="1"/>
  <c r="L61" i="30" s="1"/>
  <c r="H48" i="30"/>
  <c r="I48" i="30" s="1"/>
  <c r="L48" i="30" s="1"/>
  <c r="H45" i="30"/>
  <c r="I45" i="30" s="1"/>
  <c r="L45" i="30" s="1"/>
  <c r="L40" i="22"/>
  <c r="M40" i="22"/>
  <c r="N40" i="22"/>
  <c r="O40" i="22"/>
  <c r="O40" i="21"/>
  <c r="L40" i="21"/>
  <c r="M40" i="21"/>
  <c r="N40" i="21"/>
  <c r="L40" i="11"/>
  <c r="M40" i="11"/>
  <c r="N40" i="11"/>
  <c r="O40" i="11"/>
  <c r="O40" i="9"/>
  <c r="H24" i="30" s="1"/>
  <c r="I24" i="30" s="1"/>
  <c r="N40" i="9"/>
  <c r="M40" i="9"/>
  <c r="H22" i="30" s="1"/>
  <c r="I22" i="30" s="1"/>
  <c r="L40" i="9"/>
  <c r="J44" i="30"/>
  <c r="K44" i="30" s="1"/>
  <c r="H40" i="22"/>
  <c r="J40" i="22"/>
  <c r="G40" i="22"/>
  <c r="I40" i="22"/>
  <c r="I40" i="21"/>
  <c r="J40" i="21"/>
  <c r="H40" i="11"/>
  <c r="I40" i="11"/>
  <c r="J40" i="11"/>
  <c r="G40" i="11"/>
  <c r="J40" i="9"/>
  <c r="I40" i="9"/>
  <c r="H40" i="9"/>
  <c r="G40" i="9"/>
  <c r="H13" i="30" s="1"/>
  <c r="D40" i="22"/>
  <c r="C40" i="22"/>
  <c r="E40" i="22"/>
  <c r="H64" i="30"/>
  <c r="I64" i="30" s="1"/>
  <c r="C40" i="21"/>
  <c r="D40" i="21"/>
  <c r="E40" i="21"/>
  <c r="B40" i="21"/>
  <c r="H46" i="30"/>
  <c r="I46" i="30" s="1"/>
  <c r="L46" i="30" s="1"/>
  <c r="J76" i="30"/>
  <c r="K76" i="30" s="1"/>
  <c r="J60" i="30"/>
  <c r="K60" i="30" s="1"/>
  <c r="H70" i="30"/>
  <c r="H56" i="30"/>
  <c r="I56" i="30" s="1"/>
  <c r="L56" i="30" s="1"/>
  <c r="H54" i="30"/>
  <c r="I54" i="30" s="1"/>
  <c r="L54" i="30" s="1"/>
  <c r="H79" i="30"/>
  <c r="I79" i="30" s="1"/>
  <c r="L79" i="30" s="1"/>
  <c r="H80" i="30"/>
  <c r="I80" i="30" s="1"/>
  <c r="L80" i="30" s="1"/>
  <c r="D40" i="11"/>
  <c r="E40" i="11"/>
  <c r="H72" i="30"/>
  <c r="I72" i="30" s="1"/>
  <c r="H77" i="30"/>
  <c r="I77" i="30" s="1"/>
  <c r="L77" i="30" s="1"/>
  <c r="H62" i="30"/>
  <c r="I62" i="30" s="1"/>
  <c r="L62" i="30" s="1"/>
  <c r="B40" i="11"/>
  <c r="C40" i="11"/>
  <c r="E40" i="9"/>
  <c r="H8" i="30" s="1"/>
  <c r="I8" i="30" s="1"/>
  <c r="D40" i="9"/>
  <c r="C40" i="9"/>
  <c r="B40" i="9"/>
  <c r="AZ11" i="9"/>
  <c r="S11" i="3" s="1"/>
  <c r="Q40" i="22"/>
  <c r="R40" i="22"/>
  <c r="S40" i="22"/>
  <c r="T40" i="22"/>
  <c r="Q40" i="21"/>
  <c r="R40" i="21"/>
  <c r="S40" i="21"/>
  <c r="T40" i="21"/>
  <c r="BB26" i="11"/>
  <c r="W26" i="3" s="1"/>
  <c r="Q40" i="11"/>
  <c r="H78" i="30"/>
  <c r="I78" i="30" s="1"/>
  <c r="R40" i="11"/>
  <c r="Q40" i="9"/>
  <c r="S40" i="11"/>
  <c r="T40" i="11"/>
  <c r="S40" i="9"/>
  <c r="W40" i="21"/>
  <c r="BC40" i="7"/>
  <c r="Y40" i="21"/>
  <c r="H47" i="30"/>
  <c r="I47" i="30" s="1"/>
  <c r="L47" i="30" s="1"/>
  <c r="BB40" i="8"/>
  <c r="BD40" i="7"/>
  <c r="AY4" i="11"/>
  <c r="X4" i="3" s="1"/>
  <c r="V40" i="22"/>
  <c r="BA40" i="8"/>
  <c r="V40" i="21"/>
  <c r="BA40" i="7"/>
  <c r="BB40" i="7"/>
  <c r="X40" i="21"/>
  <c r="W40" i="22"/>
  <c r="BD40" i="6"/>
  <c r="X40" i="22"/>
  <c r="Y40" i="22"/>
  <c r="BA40" i="6"/>
  <c r="BC40" i="6"/>
  <c r="Y40" i="9"/>
  <c r="X40" i="9"/>
  <c r="W40" i="9"/>
  <c r="V40" i="9"/>
  <c r="BB40" i="6"/>
  <c r="T40" i="9"/>
  <c r="V40" i="11"/>
  <c r="W40" i="11"/>
  <c r="BC40" i="8"/>
  <c r="R40" i="9"/>
  <c r="X40" i="11"/>
  <c r="Y40" i="11"/>
  <c r="AZ11" i="16"/>
  <c r="AZ13" i="16"/>
  <c r="AZ9" i="16"/>
  <c r="AZ17" i="16"/>
  <c r="AZ25" i="16"/>
  <c r="AZ33" i="16"/>
  <c r="AZ6" i="16"/>
  <c r="BA6" i="16"/>
  <c r="AZ10" i="16"/>
  <c r="AZ18" i="16"/>
  <c r="AZ19" i="16"/>
  <c r="AZ24" i="16"/>
  <c r="BB14" i="16"/>
  <c r="BB22" i="16"/>
  <c r="BB30" i="16"/>
  <c r="V30" i="2" s="1"/>
  <c r="BB38" i="16"/>
  <c r="BC14" i="16"/>
  <c r="BC17" i="16"/>
  <c r="V17" i="2" s="1"/>
  <c r="BC22" i="16"/>
  <c r="BC30" i="16"/>
  <c r="BC38" i="16"/>
  <c r="AZ38" i="16"/>
  <c r="V38" i="2" s="1"/>
  <c r="BA38" i="16"/>
  <c r="BC24" i="16"/>
  <c r="AZ21" i="16"/>
  <c r="V21" i="2" s="1"/>
  <c r="AZ26" i="16"/>
  <c r="AZ27" i="16"/>
  <c r="V27" i="2" s="1"/>
  <c r="AZ29" i="16"/>
  <c r="V29" i="2" s="1"/>
  <c r="AZ31" i="16"/>
  <c r="V31" i="2" s="1"/>
  <c r="AZ32" i="16"/>
  <c r="V32" i="2" s="1"/>
  <c r="AZ34" i="16"/>
  <c r="V34" i="2" s="1"/>
  <c r="AZ37" i="16"/>
  <c r="V37" i="2" s="1"/>
  <c r="BA5" i="16"/>
  <c r="BA7" i="16"/>
  <c r="BA10" i="16"/>
  <c r="BA11" i="16"/>
  <c r="BA13" i="16"/>
  <c r="BA15" i="16"/>
  <c r="V15" i="2" s="1"/>
  <c r="BA18" i="16"/>
  <c r="BA19" i="16"/>
  <c r="BA21" i="16"/>
  <c r="BA23" i="16"/>
  <c r="BA26" i="16"/>
  <c r="BA27" i="16"/>
  <c r="BA29" i="16"/>
  <c r="BA31" i="16"/>
  <c r="BA32" i="16"/>
  <c r="BA34" i="16"/>
  <c r="BA37" i="16"/>
  <c r="BB5" i="16"/>
  <c r="BB7" i="16"/>
  <c r="V7" i="2" s="1"/>
  <c r="BB10" i="16"/>
  <c r="BB11" i="16"/>
  <c r="BB13" i="16"/>
  <c r="BB15" i="16"/>
  <c r="BB16" i="16"/>
  <c r="BB18" i="16"/>
  <c r="V18" i="2" s="1"/>
  <c r="BB19" i="16"/>
  <c r="V19" i="2" s="1"/>
  <c r="BB21" i="16"/>
  <c r="BB23" i="16"/>
  <c r="V23" i="2" s="1"/>
  <c r="BB24" i="16"/>
  <c r="BB26" i="16"/>
  <c r="V26" i="2" s="1"/>
  <c r="BB27" i="16"/>
  <c r="BB29" i="16"/>
  <c r="BB31" i="16"/>
  <c r="BB32" i="16"/>
  <c r="BB34" i="16"/>
  <c r="BB37" i="16"/>
  <c r="BC5" i="16"/>
  <c r="BC7" i="16"/>
  <c r="BC10" i="16"/>
  <c r="BC11" i="16"/>
  <c r="BC13" i="16"/>
  <c r="BC15" i="16"/>
  <c r="BC16" i="16"/>
  <c r="BC18" i="16"/>
  <c r="BC19" i="16"/>
  <c r="BC21" i="16"/>
  <c r="BC23" i="16"/>
  <c r="BC26" i="16"/>
  <c r="BC27" i="16"/>
  <c r="BC29" i="16"/>
  <c r="BC31" i="16"/>
  <c r="BC32" i="16"/>
  <c r="BC34" i="16"/>
  <c r="BC37" i="16"/>
  <c r="AZ4" i="16"/>
  <c r="V4" i="2" s="1"/>
  <c r="AZ12" i="16"/>
  <c r="AZ20" i="16"/>
  <c r="V20" i="2" s="1"/>
  <c r="AZ28" i="16"/>
  <c r="V28" i="2" s="1"/>
  <c r="AZ36" i="16"/>
  <c r="V36" i="2" s="1"/>
  <c r="BA4" i="16"/>
  <c r="BA12" i="16"/>
  <c r="BA20" i="16"/>
  <c r="BA28" i="16"/>
  <c r="BA36" i="16"/>
  <c r="BB4" i="16"/>
  <c r="BB12" i="16"/>
  <c r="BB20" i="16"/>
  <c r="BB36" i="16"/>
  <c r="BC4" i="16"/>
  <c r="BC12" i="16"/>
  <c r="BC20" i="16"/>
  <c r="BC36" i="16"/>
  <c r="BB9" i="16"/>
  <c r="V9" i="2" s="1"/>
  <c r="BB25" i="16"/>
  <c r="BB33" i="16"/>
  <c r="BC9" i="16"/>
  <c r="BC25" i="16"/>
  <c r="V25" i="2" s="1"/>
  <c r="BC33" i="16"/>
  <c r="AZ14" i="16"/>
  <c r="AZ22" i="16"/>
  <c r="V22" i="2" s="1"/>
  <c r="BA14" i="16"/>
  <c r="V14" i="2" s="1"/>
  <c r="BA22" i="16"/>
  <c r="V33" i="2"/>
  <c r="V10" i="2"/>
  <c r="V11" i="2"/>
  <c r="V13" i="2"/>
  <c r="V2" i="2"/>
  <c r="V12" i="2"/>
  <c r="V6" i="2"/>
  <c r="BB3" i="11"/>
  <c r="W3" i="3" s="1"/>
  <c r="BB33" i="11"/>
  <c r="W33" i="3" s="1"/>
  <c r="AY5" i="11"/>
  <c r="X5" i="3" s="1"/>
  <c r="AY13" i="11"/>
  <c r="X13" i="3" s="1"/>
  <c r="AY21" i="11"/>
  <c r="X21" i="3" s="1"/>
  <c r="AY29" i="11"/>
  <c r="X29" i="3" s="1"/>
  <c r="BB17" i="11"/>
  <c r="W17" i="3" s="1"/>
  <c r="BB25" i="11"/>
  <c r="W25" i="3" s="1"/>
  <c r="BB19" i="9"/>
  <c r="Q19" i="3" s="1"/>
  <c r="AZ5" i="11"/>
  <c r="Y5" i="3" s="1"/>
  <c r="AZ13" i="11"/>
  <c r="Y13" i="3" s="1"/>
  <c r="AZ21" i="11"/>
  <c r="Y21" i="3" s="1"/>
  <c r="BB34" i="9"/>
  <c r="Q34" i="3" s="1"/>
  <c r="BB26" i="9"/>
  <c r="Q26" i="3" s="1"/>
  <c r="BB18" i="9"/>
  <c r="Q18" i="3" s="1"/>
  <c r="BB10" i="9"/>
  <c r="Q10" i="3" s="1"/>
  <c r="BA34" i="9"/>
  <c r="T34" i="3" s="1"/>
  <c r="BA26" i="9"/>
  <c r="T26" i="3" s="1"/>
  <c r="BA18" i="9"/>
  <c r="T18" i="3" s="1"/>
  <c r="BA10" i="9"/>
  <c r="T10" i="3" s="1"/>
  <c r="BB11" i="9"/>
  <c r="Q11" i="3" s="1"/>
  <c r="BB35" i="9"/>
  <c r="Q35" i="3" s="1"/>
  <c r="BB27" i="9"/>
  <c r="Q27" i="3" s="1"/>
  <c r="BB3" i="9"/>
  <c r="Q3" i="3" s="1"/>
  <c r="AZ35" i="9"/>
  <c r="S35" i="3" s="1"/>
  <c r="AZ27" i="9"/>
  <c r="S27" i="3" s="1"/>
  <c r="AZ19" i="9"/>
  <c r="S19" i="3" s="1"/>
  <c r="AZ3" i="9"/>
  <c r="BA33" i="11"/>
  <c r="V33" i="3" s="1"/>
  <c r="BB9" i="11"/>
  <c r="W9" i="3" s="1"/>
  <c r="BC34" i="9"/>
  <c r="R34" i="3" s="1"/>
  <c r="BC26" i="9"/>
  <c r="R26" i="3" s="1"/>
  <c r="BC18" i="9"/>
  <c r="R18" i="3" s="1"/>
  <c r="BC10" i="9"/>
  <c r="R10" i="3" s="1"/>
  <c r="AZ34" i="9"/>
  <c r="S34" i="3" s="1"/>
  <c r="AZ26" i="9"/>
  <c r="S26" i="3" s="1"/>
  <c r="AZ18" i="9"/>
  <c r="S18" i="3" s="1"/>
  <c r="AZ10" i="9"/>
  <c r="S10" i="3" s="1"/>
  <c r="BC30" i="9"/>
  <c r="R30" i="3" s="1"/>
  <c r="BC6" i="9"/>
  <c r="R6" i="3" s="1"/>
  <c r="BB38" i="9"/>
  <c r="Q38" i="3" s="1"/>
  <c r="BB30" i="9"/>
  <c r="Q30" i="3" s="1"/>
  <c r="BB22" i="9"/>
  <c r="Q22" i="3" s="1"/>
  <c r="BB14" i="9"/>
  <c r="Q14" i="3" s="1"/>
  <c r="BB6" i="9"/>
  <c r="Q6" i="3" s="1"/>
  <c r="BA38" i="9"/>
  <c r="T38" i="3" s="1"/>
  <c r="BA30" i="9"/>
  <c r="T30" i="3" s="1"/>
  <c r="BA22" i="9"/>
  <c r="T22" i="3" s="1"/>
  <c r="BA14" i="9"/>
  <c r="T14" i="3" s="1"/>
  <c r="BA6" i="9"/>
  <c r="T6" i="3" s="1"/>
  <c r="BC38" i="9"/>
  <c r="R38" i="3" s="1"/>
  <c r="BB31" i="9"/>
  <c r="Q31" i="3" s="1"/>
  <c r="BB23" i="9"/>
  <c r="Q23" i="3" s="1"/>
  <c r="BB15" i="9"/>
  <c r="Q15" i="3" s="1"/>
  <c r="BB7" i="9"/>
  <c r="Q7" i="3" s="1"/>
  <c r="BA31" i="9"/>
  <c r="T31" i="3" s="1"/>
  <c r="BA23" i="9"/>
  <c r="T23" i="3" s="1"/>
  <c r="BA15" i="9"/>
  <c r="T15" i="3" s="1"/>
  <c r="BA7" i="9"/>
  <c r="T7" i="3" s="1"/>
  <c r="BA3" i="11"/>
  <c r="V3" i="3" s="1"/>
  <c r="AY18" i="11"/>
  <c r="X18" i="3" s="1"/>
  <c r="AY34" i="11"/>
  <c r="X34" i="3" s="1"/>
  <c r="AZ26" i="11"/>
  <c r="Y26" i="3" s="1"/>
  <c r="BC14" i="9"/>
  <c r="R14" i="3" s="1"/>
  <c r="AZ18" i="11"/>
  <c r="Y18" i="3" s="1"/>
  <c r="AY10" i="11"/>
  <c r="X10" i="3" s="1"/>
  <c r="BC22" i="9"/>
  <c r="R22" i="3" s="1"/>
  <c r="AZ34" i="11"/>
  <c r="Y34" i="3" s="1"/>
  <c r="AY26" i="11"/>
  <c r="X26" i="3" s="1"/>
  <c r="AZ10" i="11"/>
  <c r="Y10" i="3" s="1"/>
  <c r="AZ9" i="11"/>
  <c r="Y9" i="3" s="1"/>
  <c r="AZ33" i="11"/>
  <c r="Y33" i="3" s="1"/>
  <c r="AZ6" i="11"/>
  <c r="Y6" i="3" s="1"/>
  <c r="BA6" i="11"/>
  <c r="V6" i="3" s="1"/>
  <c r="BA14" i="11"/>
  <c r="V14" i="3" s="1"/>
  <c r="BA38" i="11"/>
  <c r="V38" i="3" s="1"/>
  <c r="BA9" i="11"/>
  <c r="V9" i="3" s="1"/>
  <c r="AZ14" i="11"/>
  <c r="Y14" i="3" s="1"/>
  <c r="AZ30" i="11"/>
  <c r="Y30" i="3" s="1"/>
  <c r="BA30" i="11"/>
  <c r="V30" i="3" s="1"/>
  <c r="AZ22" i="11"/>
  <c r="Y22" i="3" s="1"/>
  <c r="AZ38" i="11"/>
  <c r="Y38" i="3" s="1"/>
  <c r="BA22" i="11"/>
  <c r="V22" i="3" s="1"/>
  <c r="BA5" i="11"/>
  <c r="V5" i="3" s="1"/>
  <c r="BA10" i="11"/>
  <c r="V10" i="3" s="1"/>
  <c r="BA13" i="11"/>
  <c r="V13" i="3" s="1"/>
  <c r="BA18" i="11"/>
  <c r="V18" i="3" s="1"/>
  <c r="BA21" i="11"/>
  <c r="V21" i="3" s="1"/>
  <c r="BA26" i="11"/>
  <c r="V26" i="3" s="1"/>
  <c r="BA29" i="11"/>
  <c r="V29" i="3" s="1"/>
  <c r="BA34" i="11"/>
  <c r="V34" i="3" s="1"/>
  <c r="BA37" i="11"/>
  <c r="V37" i="3" s="1"/>
  <c r="BB5" i="11"/>
  <c r="W5" i="3" s="1"/>
  <c r="BB10" i="11"/>
  <c r="W10" i="3" s="1"/>
  <c r="BB13" i="11"/>
  <c r="W13" i="3" s="1"/>
  <c r="BB18" i="11"/>
  <c r="W18" i="3" s="1"/>
  <c r="BB21" i="11"/>
  <c r="W21" i="3" s="1"/>
  <c r="BB29" i="11"/>
  <c r="W29" i="3" s="1"/>
  <c r="BB34" i="11"/>
  <c r="W34" i="3" s="1"/>
  <c r="BB37" i="11"/>
  <c r="W37" i="3" s="1"/>
  <c r="AZ33" i="9"/>
  <c r="S33" i="3" s="1"/>
  <c r="AZ25" i="9"/>
  <c r="S25" i="3" s="1"/>
  <c r="AZ17" i="9"/>
  <c r="S17" i="3" s="1"/>
  <c r="AZ9" i="9"/>
  <c r="S9" i="3" s="1"/>
  <c r="BC4" i="9"/>
  <c r="R4" i="3" s="1"/>
  <c r="BB36" i="9"/>
  <c r="Q36" i="3" s="1"/>
  <c r="BB28" i="9"/>
  <c r="Q28" i="3" s="1"/>
  <c r="BB20" i="9"/>
  <c r="Q20" i="3" s="1"/>
  <c r="BB12" i="9"/>
  <c r="Q12" i="3" s="1"/>
  <c r="BB4" i="9"/>
  <c r="Q4" i="3" s="1"/>
  <c r="BA36" i="9"/>
  <c r="T36" i="3" s="1"/>
  <c r="BA28" i="9"/>
  <c r="T28" i="3" s="1"/>
  <c r="BA20" i="9"/>
  <c r="T20" i="3" s="1"/>
  <c r="BA12" i="9"/>
  <c r="T12" i="3" s="1"/>
  <c r="BA4" i="9"/>
  <c r="T4" i="3" s="1"/>
  <c r="AZ36" i="9"/>
  <c r="S36" i="3" s="1"/>
  <c r="AZ28" i="9"/>
  <c r="S28" i="3" s="1"/>
  <c r="AZ20" i="9"/>
  <c r="S20" i="3" s="1"/>
  <c r="AZ12" i="9"/>
  <c r="S12" i="3" s="1"/>
  <c r="AZ4" i="9"/>
  <c r="S4" i="3" s="1"/>
  <c r="AZ38" i="9"/>
  <c r="S38" i="3" s="1"/>
  <c r="AZ30" i="9"/>
  <c r="S30" i="3" s="1"/>
  <c r="AZ22" i="9"/>
  <c r="S22" i="3" s="1"/>
  <c r="AZ14" i="9"/>
  <c r="S14" i="3" s="1"/>
  <c r="AZ6" i="9"/>
  <c r="S6" i="3" s="1"/>
  <c r="BC33" i="9"/>
  <c r="R33" i="3" s="1"/>
  <c r="BC25" i="9"/>
  <c r="R25" i="3" s="1"/>
  <c r="BC17" i="9"/>
  <c r="R17" i="3" s="1"/>
  <c r="BC9" i="9"/>
  <c r="R9" i="3" s="1"/>
  <c r="BB33" i="9"/>
  <c r="Q33" i="3" s="1"/>
  <c r="BB25" i="9"/>
  <c r="Q25" i="3" s="1"/>
  <c r="BB17" i="9"/>
  <c r="Q17" i="3" s="1"/>
  <c r="BB9" i="9"/>
  <c r="Q9" i="3" s="1"/>
  <c r="BA33" i="9"/>
  <c r="T33" i="3" s="1"/>
  <c r="BA25" i="9"/>
  <c r="T25" i="3" s="1"/>
  <c r="BA17" i="9"/>
  <c r="T17" i="3" s="1"/>
  <c r="BA9" i="9"/>
  <c r="T9" i="3" s="1"/>
  <c r="BC36" i="9"/>
  <c r="R36" i="3" s="1"/>
  <c r="BC28" i="9"/>
  <c r="R28" i="3" s="1"/>
  <c r="BC20" i="9"/>
  <c r="R20" i="3" s="1"/>
  <c r="BC12" i="9"/>
  <c r="R12" i="3" s="1"/>
  <c r="BC31" i="9"/>
  <c r="R31" i="3" s="1"/>
  <c r="BC23" i="9"/>
  <c r="R23" i="3" s="1"/>
  <c r="BC15" i="9"/>
  <c r="R15" i="3" s="1"/>
  <c r="BC7" i="9"/>
  <c r="R7" i="3" s="1"/>
  <c r="AZ31" i="9"/>
  <c r="S31" i="3" s="1"/>
  <c r="AZ23" i="9"/>
  <c r="S23" i="3" s="1"/>
  <c r="AZ15" i="9"/>
  <c r="S15" i="3" s="1"/>
  <c r="AZ7" i="9"/>
  <c r="S7" i="3" s="1"/>
  <c r="BC32" i="9"/>
  <c r="R32" i="3" s="1"/>
  <c r="BC24" i="9"/>
  <c r="R24" i="3" s="1"/>
  <c r="BC16" i="9"/>
  <c r="R16" i="3" s="1"/>
  <c r="BC8" i="9"/>
  <c r="R8" i="3" s="1"/>
  <c r="BB32" i="9"/>
  <c r="Q32" i="3" s="1"/>
  <c r="BB24" i="9"/>
  <c r="Q24" i="3" s="1"/>
  <c r="BB16" i="9"/>
  <c r="Q16" i="3" s="1"/>
  <c r="BB8" i="9"/>
  <c r="Q8" i="3" s="1"/>
  <c r="BA32" i="9"/>
  <c r="T32" i="3" s="1"/>
  <c r="BA24" i="9"/>
  <c r="T24" i="3" s="1"/>
  <c r="BA16" i="9"/>
  <c r="T16" i="3" s="1"/>
  <c r="BA8" i="9"/>
  <c r="T8" i="3" s="1"/>
  <c r="BC35" i="9"/>
  <c r="R35" i="3" s="1"/>
  <c r="BC27" i="9"/>
  <c r="R27" i="3" s="1"/>
  <c r="BC19" i="9"/>
  <c r="R19" i="3" s="1"/>
  <c r="BC11" i="9"/>
  <c r="R11" i="3" s="1"/>
  <c r="BC3" i="9"/>
  <c r="R3" i="3" s="1"/>
  <c r="BC37" i="9"/>
  <c r="R37" i="3" s="1"/>
  <c r="BC29" i="9"/>
  <c r="R29" i="3" s="1"/>
  <c r="BC21" i="9"/>
  <c r="R21" i="3" s="1"/>
  <c r="BC13" i="9"/>
  <c r="R13" i="3" s="1"/>
  <c r="BC5" i="9"/>
  <c r="R5" i="3" s="1"/>
  <c r="BB37" i="9"/>
  <c r="Q37" i="3" s="1"/>
  <c r="BB29" i="9"/>
  <c r="Q29" i="3" s="1"/>
  <c r="BB21" i="9"/>
  <c r="Q21" i="3" s="1"/>
  <c r="BB13" i="9"/>
  <c r="Q13" i="3" s="1"/>
  <c r="BB5" i="9"/>
  <c r="Q5" i="3" s="1"/>
  <c r="BA37" i="9"/>
  <c r="T37" i="3" s="1"/>
  <c r="BA29" i="9"/>
  <c r="T29" i="3" s="1"/>
  <c r="BA21" i="9"/>
  <c r="T21" i="3" s="1"/>
  <c r="BA13" i="9"/>
  <c r="T13" i="3" s="1"/>
  <c r="BA5" i="9"/>
  <c r="T5" i="3" s="1"/>
  <c r="AZ37" i="9"/>
  <c r="S37" i="3" s="1"/>
  <c r="AZ29" i="9"/>
  <c r="S29" i="3" s="1"/>
  <c r="AZ21" i="9"/>
  <c r="S21" i="3" s="1"/>
  <c r="AZ13" i="9"/>
  <c r="S13" i="3" s="1"/>
  <c r="AZ5" i="9"/>
  <c r="S5" i="3" s="1"/>
  <c r="AZ32" i="9"/>
  <c r="S32" i="3" s="1"/>
  <c r="AZ24" i="9"/>
  <c r="S24" i="3" s="1"/>
  <c r="AZ16" i="9"/>
  <c r="S16" i="3" s="1"/>
  <c r="AZ8" i="9"/>
  <c r="S8" i="3" s="1"/>
  <c r="BA35" i="9"/>
  <c r="T35" i="3" s="1"/>
  <c r="BA27" i="9"/>
  <c r="T27" i="3" s="1"/>
  <c r="BA19" i="9"/>
  <c r="T19" i="3" s="1"/>
  <c r="BA11" i="9"/>
  <c r="T11" i="3" s="1"/>
  <c r="BA3" i="9"/>
  <c r="T3" i="3" s="1"/>
  <c r="AY3" i="11"/>
  <c r="BA11" i="11"/>
  <c r="V11" i="3" s="1"/>
  <c r="BA23" i="11"/>
  <c r="V23" i="3" s="1"/>
  <c r="AY15" i="11"/>
  <c r="X15" i="3" s="1"/>
  <c r="AY27" i="11"/>
  <c r="X27" i="3" s="1"/>
  <c r="AY35" i="11"/>
  <c r="X35" i="3" s="1"/>
  <c r="AZ3" i="11"/>
  <c r="BA19" i="11"/>
  <c r="V19" i="3" s="1"/>
  <c r="BA27" i="11"/>
  <c r="V27" i="3" s="1"/>
  <c r="AY7" i="11"/>
  <c r="X7" i="3" s="1"/>
  <c r="AY11" i="11"/>
  <c r="X11" i="3" s="1"/>
  <c r="AY19" i="11"/>
  <c r="X19" i="3" s="1"/>
  <c r="AZ11" i="11"/>
  <c r="Y11" i="3" s="1"/>
  <c r="AZ15" i="11"/>
  <c r="Y15" i="3" s="1"/>
  <c r="AZ19" i="11"/>
  <c r="Y19" i="3" s="1"/>
  <c r="BA35" i="11"/>
  <c r="V35" i="3" s="1"/>
  <c r="AZ7" i="11"/>
  <c r="Y7" i="3" s="1"/>
  <c r="AY23" i="11"/>
  <c r="X23" i="3" s="1"/>
  <c r="AY31" i="11"/>
  <c r="X31" i="3" s="1"/>
  <c r="AZ23" i="11"/>
  <c r="Y23" i="3" s="1"/>
  <c r="AZ27" i="11"/>
  <c r="Y27" i="3" s="1"/>
  <c r="AZ29" i="11"/>
  <c r="Y29" i="3" s="1"/>
  <c r="AZ31" i="11"/>
  <c r="Y31" i="3" s="1"/>
  <c r="AZ37" i="11"/>
  <c r="Y37" i="3" s="1"/>
  <c r="BA31" i="11"/>
  <c r="V31" i="3" s="1"/>
  <c r="BA7" i="11"/>
  <c r="V7" i="3" s="1"/>
  <c r="BB7" i="11"/>
  <c r="W7" i="3" s="1"/>
  <c r="BB11" i="11"/>
  <c r="W11" i="3" s="1"/>
  <c r="BB15" i="11"/>
  <c r="W15" i="3" s="1"/>
  <c r="BB19" i="11"/>
  <c r="W19" i="3" s="1"/>
  <c r="BB23" i="11"/>
  <c r="W23" i="3" s="1"/>
  <c r="BB27" i="11"/>
  <c r="W27" i="3" s="1"/>
  <c r="BB31" i="11"/>
  <c r="W31" i="3" s="1"/>
  <c r="BB35" i="11"/>
  <c r="W35" i="3" s="1"/>
  <c r="BA15" i="11"/>
  <c r="V15" i="3" s="1"/>
  <c r="BB6" i="11"/>
  <c r="W6" i="3" s="1"/>
  <c r="BB14" i="11"/>
  <c r="W14" i="3" s="1"/>
  <c r="BB22" i="11"/>
  <c r="W22" i="3" s="1"/>
  <c r="BB30" i="11"/>
  <c r="W30" i="3" s="1"/>
  <c r="BB38" i="11"/>
  <c r="W38" i="3" s="1"/>
  <c r="AY37" i="11"/>
  <c r="X37" i="3" s="1"/>
  <c r="AZ35" i="11"/>
  <c r="Y35" i="3" s="1"/>
  <c r="AY12" i="11"/>
  <c r="X12" i="3" s="1"/>
  <c r="AY20" i="11"/>
  <c r="X20" i="3" s="1"/>
  <c r="AY28" i="11"/>
  <c r="X28" i="3" s="1"/>
  <c r="AY36" i="11"/>
  <c r="X36" i="3" s="1"/>
  <c r="AZ4" i="11"/>
  <c r="Y4" i="3" s="1"/>
  <c r="AZ12" i="11"/>
  <c r="Y12" i="3" s="1"/>
  <c r="AZ20" i="11"/>
  <c r="Y20" i="3" s="1"/>
  <c r="AZ28" i="11"/>
  <c r="Y28" i="3" s="1"/>
  <c r="AZ36" i="11"/>
  <c r="Y36" i="3" s="1"/>
  <c r="BA4" i="11"/>
  <c r="V4" i="3" s="1"/>
  <c r="BA12" i="11"/>
  <c r="V12" i="3" s="1"/>
  <c r="BA20" i="11"/>
  <c r="V20" i="3" s="1"/>
  <c r="BA28" i="11"/>
  <c r="V28" i="3" s="1"/>
  <c r="BA36" i="11"/>
  <c r="V36" i="3" s="1"/>
  <c r="BB4" i="11"/>
  <c r="W4" i="3" s="1"/>
  <c r="BB12" i="11"/>
  <c r="W12" i="3" s="1"/>
  <c r="BB20" i="11"/>
  <c r="W20" i="3" s="1"/>
  <c r="BB28" i="11"/>
  <c r="W28" i="3" s="1"/>
  <c r="BB36" i="11"/>
  <c r="W36" i="3" s="1"/>
  <c r="AY9" i="11"/>
  <c r="X9" i="3" s="1"/>
  <c r="AY17" i="11"/>
  <c r="X17" i="3" s="1"/>
  <c r="AY25" i="11"/>
  <c r="X25" i="3" s="1"/>
  <c r="AY33" i="11"/>
  <c r="X33" i="3" s="1"/>
  <c r="AZ17" i="11"/>
  <c r="Y17" i="3" s="1"/>
  <c r="AZ25" i="11"/>
  <c r="Y25" i="3" s="1"/>
  <c r="BA17" i="11"/>
  <c r="V17" i="3" s="1"/>
  <c r="BA25" i="11"/>
  <c r="V25" i="3" s="1"/>
  <c r="AY6" i="11"/>
  <c r="X6" i="3" s="1"/>
  <c r="AY14" i="11"/>
  <c r="X14" i="3" s="1"/>
  <c r="AY22" i="11"/>
  <c r="X22" i="3" s="1"/>
  <c r="AY30" i="11"/>
  <c r="X30" i="3" s="1"/>
  <c r="AY38" i="11"/>
  <c r="X38" i="3" s="1"/>
  <c r="AD2" i="23"/>
  <c r="AC2" i="23"/>
  <c r="H29" i="2"/>
  <c r="C32" i="2"/>
  <c r="C24" i="2"/>
  <c r="AA2" i="23"/>
  <c r="C23" i="2"/>
  <c r="C31" i="2"/>
  <c r="H28" i="2"/>
  <c r="C21" i="2"/>
  <c r="H3" i="2"/>
  <c r="M11" i="2"/>
  <c r="H30" i="2"/>
  <c r="C29" i="2"/>
  <c r="H34" i="2"/>
  <c r="M16" i="2"/>
  <c r="M15" i="2"/>
  <c r="M14" i="2"/>
  <c r="C30" i="2"/>
  <c r="C22" i="2"/>
  <c r="C14" i="2"/>
  <c r="H35" i="2"/>
  <c r="H27" i="2"/>
  <c r="H19" i="2"/>
  <c r="M21" i="2"/>
  <c r="C13" i="2"/>
  <c r="H26" i="2"/>
  <c r="H18" i="2"/>
  <c r="C33" i="2"/>
  <c r="H38" i="2"/>
  <c r="H6" i="2"/>
  <c r="M8" i="2"/>
  <c r="H4" i="2"/>
  <c r="C34" i="2"/>
  <c r="H7" i="2"/>
  <c r="C25" i="2"/>
  <c r="M10" i="2"/>
  <c r="M35" i="2"/>
  <c r="M9" i="2"/>
  <c r="H37" i="2"/>
  <c r="H5" i="2"/>
  <c r="H36" i="2"/>
  <c r="C27" i="2"/>
  <c r="C19" i="2"/>
  <c r="C11" i="2"/>
  <c r="H32" i="2"/>
  <c r="H24" i="2"/>
  <c r="H16" i="2"/>
  <c r="M33" i="2"/>
  <c r="C26" i="2"/>
  <c r="C18" i="2"/>
  <c r="C10" i="2"/>
  <c r="H31" i="2"/>
  <c r="H23" i="2"/>
  <c r="H15" i="2"/>
  <c r="C38" i="2"/>
  <c r="C6" i="2"/>
  <c r="H11" i="2"/>
  <c r="C37" i="2"/>
  <c r="C5" i="2"/>
  <c r="H10" i="2"/>
  <c r="M22" i="2"/>
  <c r="M12" i="2"/>
  <c r="C36" i="2"/>
  <c r="C4" i="2"/>
  <c r="H9" i="2"/>
  <c r="M37" i="2"/>
  <c r="M23" i="2"/>
  <c r="M13" i="2"/>
  <c r="M36" i="2"/>
  <c r="M19" i="2"/>
  <c r="M24" i="2"/>
  <c r="C28" i="2"/>
  <c r="C20" i="2"/>
  <c r="C12" i="2"/>
  <c r="H33" i="2"/>
  <c r="H25" i="2"/>
  <c r="H17" i="2"/>
  <c r="R2" i="2"/>
  <c r="M20" i="2"/>
  <c r="C35" i="2"/>
  <c r="C3" i="2"/>
  <c r="H8" i="2"/>
  <c r="M18" i="2"/>
  <c r="M34" i="2"/>
  <c r="M17" i="2"/>
  <c r="M32" i="2"/>
  <c r="M31" i="2"/>
  <c r="M30" i="2"/>
  <c r="C17" i="2"/>
  <c r="C9" i="2"/>
  <c r="H22" i="2"/>
  <c r="H14" i="2"/>
  <c r="M7" i="2"/>
  <c r="M38" i="2"/>
  <c r="M6" i="2"/>
  <c r="C16" i="2"/>
  <c r="C8" i="2"/>
  <c r="H21" i="2"/>
  <c r="H13" i="2"/>
  <c r="M28" i="2"/>
  <c r="M27" i="2"/>
  <c r="M5" i="2"/>
  <c r="C15" i="2"/>
  <c r="C7" i="2"/>
  <c r="H20" i="2"/>
  <c r="H12" i="2"/>
  <c r="M26" i="2"/>
  <c r="M25" i="2"/>
  <c r="M4" i="2"/>
  <c r="M29" i="2"/>
  <c r="AY24" i="11"/>
  <c r="X24" i="3" s="1"/>
  <c r="AZ32" i="11"/>
  <c r="Y32" i="3" s="1"/>
  <c r="BA8" i="11"/>
  <c r="V8" i="3" s="1"/>
  <c r="BA32" i="11"/>
  <c r="V32" i="3" s="1"/>
  <c r="BB32" i="11"/>
  <c r="W32" i="3" s="1"/>
  <c r="AY8" i="11"/>
  <c r="X8" i="3" s="1"/>
  <c r="AY32" i="11"/>
  <c r="X32" i="3" s="1"/>
  <c r="AZ24" i="11"/>
  <c r="Y24" i="3" s="1"/>
  <c r="BA16" i="11"/>
  <c r="V16" i="3" s="1"/>
  <c r="BB8" i="11"/>
  <c r="W8" i="3" s="1"/>
  <c r="BB16" i="11"/>
  <c r="W16" i="3" s="1"/>
  <c r="AY16" i="11"/>
  <c r="X16" i="3" s="1"/>
  <c r="AZ8" i="11"/>
  <c r="Y8" i="3" s="1"/>
  <c r="AZ16" i="11"/>
  <c r="Y16" i="3" s="1"/>
  <c r="BA24" i="11"/>
  <c r="V24" i="3" s="1"/>
  <c r="BB24" i="11"/>
  <c r="W24" i="3" s="1"/>
  <c r="BB35" i="16"/>
  <c r="AZ3" i="16"/>
  <c r="BA3" i="16"/>
  <c r="BB3" i="16"/>
  <c r="AZ8" i="16"/>
  <c r="AZ35" i="16"/>
  <c r="BC3" i="16"/>
  <c r="AZ16" i="16"/>
  <c r="BA8" i="16"/>
  <c r="BA16" i="16"/>
  <c r="BA24" i="16"/>
  <c r="BB8" i="16"/>
  <c r="BC8" i="16"/>
  <c r="AZ5" i="16"/>
  <c r="V5" i="2" s="1"/>
  <c r="BC35" i="16"/>
  <c r="BA35" i="16"/>
  <c r="AD2" i="17"/>
  <c r="AC2" i="17"/>
  <c r="AB2" i="17"/>
  <c r="AA2" i="17"/>
  <c r="AY10" i="15"/>
  <c r="AY34" i="15"/>
  <c r="AY18" i="15"/>
  <c r="AY26" i="15"/>
  <c r="AY3" i="15"/>
  <c r="AY4" i="15"/>
  <c r="AY8" i="15"/>
  <c r="AY11" i="15"/>
  <c r="AY12" i="15"/>
  <c r="AY15" i="15"/>
  <c r="AY16" i="15"/>
  <c r="AY19" i="15"/>
  <c r="AY20" i="15"/>
  <c r="AY24" i="15"/>
  <c r="AY27" i="15"/>
  <c r="AY28" i="15"/>
  <c r="AY32" i="15"/>
  <c r="AY35" i="15"/>
  <c r="AY36" i="15"/>
  <c r="AZ8" i="15"/>
  <c r="AZ10" i="15"/>
  <c r="AZ11" i="15"/>
  <c r="AZ12" i="15"/>
  <c r="AZ15" i="15"/>
  <c r="AZ16" i="15"/>
  <c r="AZ18" i="15"/>
  <c r="AZ19" i="15"/>
  <c r="AZ20" i="15"/>
  <c r="AZ24" i="15"/>
  <c r="AZ26" i="15"/>
  <c r="AZ27" i="15"/>
  <c r="AZ28" i="15"/>
  <c r="AZ31" i="15"/>
  <c r="AZ32" i="15"/>
  <c r="AZ34" i="15"/>
  <c r="AZ35" i="15"/>
  <c r="AZ36" i="15"/>
  <c r="BA3" i="15"/>
  <c r="BA4" i="15"/>
  <c r="BA8" i="15"/>
  <c r="BA10" i="15"/>
  <c r="BA11" i="15"/>
  <c r="BA12" i="15"/>
  <c r="BA16" i="15"/>
  <c r="BA18" i="15"/>
  <c r="BA19" i="15"/>
  <c r="BA20" i="15"/>
  <c r="BA24" i="15"/>
  <c r="BA26" i="15"/>
  <c r="BA27" i="15"/>
  <c r="BA28" i="15"/>
  <c r="BA31" i="15"/>
  <c r="BA32" i="15"/>
  <c r="BA35" i="15"/>
  <c r="BA36" i="15"/>
  <c r="BB3" i="15"/>
  <c r="BB4" i="15"/>
  <c r="BB8" i="15"/>
  <c r="BB10" i="15"/>
  <c r="BB11" i="15"/>
  <c r="BB12" i="15"/>
  <c r="BB16" i="15"/>
  <c r="BB18" i="15"/>
  <c r="BB19" i="15"/>
  <c r="BB20" i="15"/>
  <c r="BB24" i="15"/>
  <c r="BB26" i="15"/>
  <c r="BB27" i="15"/>
  <c r="BB28" i="15"/>
  <c r="BB32" i="15"/>
  <c r="BB34" i="15"/>
  <c r="BB35" i="15"/>
  <c r="BB36" i="15"/>
  <c r="BA34" i="15"/>
  <c r="V4" i="1"/>
  <c r="V5" i="1"/>
  <c r="V6" i="1"/>
  <c r="V7" i="1"/>
  <c r="V8" i="1"/>
  <c r="AB2" i="23" l="1"/>
  <c r="AB3" i="3"/>
  <c r="M44" i="30"/>
  <c r="M60" i="30"/>
  <c r="M76" i="30"/>
  <c r="M52" i="30"/>
  <c r="J22" i="30"/>
  <c r="K22" i="30" s="1"/>
  <c r="M22" i="30" s="1"/>
  <c r="J23" i="30"/>
  <c r="K23" i="30" s="1"/>
  <c r="M23" i="30" s="1"/>
  <c r="J8" i="30"/>
  <c r="K8" i="30" s="1"/>
  <c r="J7" i="30"/>
  <c r="K7" i="30" s="1"/>
  <c r="J21" i="30"/>
  <c r="J20" i="30" s="1"/>
  <c r="K20" i="30" s="1"/>
  <c r="M20" i="30" s="1"/>
  <c r="H7" i="30"/>
  <c r="I7" i="30" s="1"/>
  <c r="J13" i="30"/>
  <c r="K13" i="30" s="1"/>
  <c r="M13" i="30" s="1"/>
  <c r="J14" i="30"/>
  <c r="K14" i="30" s="1"/>
  <c r="M14" i="30" s="1"/>
  <c r="Y3" i="3"/>
  <c r="AZ40" i="11"/>
  <c r="X3" i="3"/>
  <c r="AY40" i="11"/>
  <c r="AA3" i="3"/>
  <c r="AD3" i="3"/>
  <c r="AD4" i="3" s="1"/>
  <c r="AD5" i="3" s="1"/>
  <c r="AD6" i="3" s="1"/>
  <c r="AD7" i="3" s="1"/>
  <c r="AD8" i="3" s="1"/>
  <c r="AD9" i="3" s="1"/>
  <c r="AD10" i="3" s="1"/>
  <c r="AD11" i="3" s="1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AD38" i="3" s="1"/>
  <c r="AZ40" i="9"/>
  <c r="S3" i="3"/>
  <c r="AC3" i="3" s="1"/>
  <c r="AC4" i="3" s="1"/>
  <c r="AC5" i="3" s="1"/>
  <c r="AC6" i="3" s="1"/>
  <c r="AC7" i="3" s="1"/>
  <c r="AC8" i="3" s="1"/>
  <c r="AC9" i="3" s="1"/>
  <c r="AC10" i="3" s="1"/>
  <c r="AC11" i="3" s="1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AC38" i="3" s="1"/>
  <c r="AC2" i="2"/>
  <c r="AA4" i="3"/>
  <c r="AA5" i="3" s="1"/>
  <c r="AA6" i="3" s="1"/>
  <c r="AA7" i="3" s="1"/>
  <c r="AA8" i="3" s="1"/>
  <c r="AA9" i="3" s="1"/>
  <c r="AA10" i="3" s="1"/>
  <c r="AA11" i="3" s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AA38" i="3" s="1"/>
  <c r="AB4" i="3"/>
  <c r="AB5" i="3" s="1"/>
  <c r="AB6" i="3" s="1"/>
  <c r="AB7" i="3" s="1"/>
  <c r="AB8" i="3" s="1"/>
  <c r="AB9" i="3" s="1"/>
  <c r="AB10" i="3" s="1"/>
  <c r="AB11" i="3" s="1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AB38" i="3" s="1"/>
  <c r="BA40" i="9"/>
  <c r="J16" i="30"/>
  <c r="K16" i="30" s="1"/>
  <c r="M16" i="30" s="1"/>
  <c r="J15" i="30"/>
  <c r="K15" i="30" s="1"/>
  <c r="M15" i="30" s="1"/>
  <c r="J5" i="30"/>
  <c r="K5" i="30" s="1"/>
  <c r="M5" i="30" s="1"/>
  <c r="H21" i="30"/>
  <c r="I21" i="30" s="1"/>
  <c r="H14" i="30"/>
  <c r="I14" i="30" s="1"/>
  <c r="H15" i="30"/>
  <c r="I15" i="30" s="1"/>
  <c r="H16" i="30"/>
  <c r="I16" i="30" s="1"/>
  <c r="H6" i="30"/>
  <c r="I6" i="30" s="1"/>
  <c r="H5" i="30"/>
  <c r="I5" i="30" s="1"/>
  <c r="H68" i="30"/>
  <c r="I68" i="30" s="1"/>
  <c r="J24" i="30"/>
  <c r="K24" i="30" s="1"/>
  <c r="H23" i="30"/>
  <c r="I23" i="30" s="1"/>
  <c r="H52" i="30"/>
  <c r="I52" i="30" s="1"/>
  <c r="L52" i="30" s="1"/>
  <c r="I70" i="30"/>
  <c r="I13" i="30"/>
  <c r="J6" i="30"/>
  <c r="J29" i="30"/>
  <c r="K29" i="30" s="1"/>
  <c r="J31" i="30"/>
  <c r="K31" i="30" s="1"/>
  <c r="J30" i="30"/>
  <c r="K30" i="30" s="1"/>
  <c r="J37" i="30"/>
  <c r="K37" i="30" s="1"/>
  <c r="H40" i="30"/>
  <c r="I40" i="30" s="1"/>
  <c r="H60" i="30"/>
  <c r="I60" i="30" s="1"/>
  <c r="L60" i="30" s="1"/>
  <c r="H76" i="30"/>
  <c r="I76" i="30" s="1"/>
  <c r="L76" i="30" s="1"/>
  <c r="H44" i="30"/>
  <c r="I44" i="30" s="1"/>
  <c r="L44" i="30" s="1"/>
  <c r="H31" i="30"/>
  <c r="I31" i="30" s="1"/>
  <c r="H30" i="30"/>
  <c r="I30" i="30" s="1"/>
  <c r="J32" i="30"/>
  <c r="K32" i="30" s="1"/>
  <c r="M3" i="2"/>
  <c r="H29" i="30"/>
  <c r="I29" i="30" s="1"/>
  <c r="H32" i="30"/>
  <c r="H2" i="2"/>
  <c r="C2" i="2"/>
  <c r="BC40" i="9"/>
  <c r="J39" i="30"/>
  <c r="BB40" i="11"/>
  <c r="BA40" i="11"/>
  <c r="BB40" i="9"/>
  <c r="H37" i="30"/>
  <c r="J40" i="30"/>
  <c r="H38" i="30"/>
  <c r="I38" i="30" s="1"/>
  <c r="H39" i="30"/>
  <c r="J38" i="30"/>
  <c r="V24" i="2"/>
  <c r="AA3" i="17"/>
  <c r="AA4" i="17" s="1"/>
  <c r="AA5" i="17" s="1"/>
  <c r="V16" i="2"/>
  <c r="V8" i="2"/>
  <c r="AB3" i="17"/>
  <c r="V35" i="2"/>
  <c r="W21" i="2"/>
  <c r="R10" i="2"/>
  <c r="R18" i="2"/>
  <c r="R26" i="2"/>
  <c r="W33" i="2"/>
  <c r="R34" i="2"/>
  <c r="R38" i="2"/>
  <c r="R6" i="2"/>
  <c r="R14" i="2"/>
  <c r="R22" i="2"/>
  <c r="R30" i="2"/>
  <c r="W26" i="2"/>
  <c r="R31" i="2"/>
  <c r="R37" i="2"/>
  <c r="R17" i="2"/>
  <c r="R35" i="2"/>
  <c r="W13" i="2"/>
  <c r="W5" i="2"/>
  <c r="R20" i="2"/>
  <c r="W7" i="2"/>
  <c r="R5" i="2"/>
  <c r="R19" i="2"/>
  <c r="R21" i="2"/>
  <c r="R4" i="2"/>
  <c r="R33" i="2"/>
  <c r="W29" i="2"/>
  <c r="R12" i="2"/>
  <c r="R11" i="2"/>
  <c r="R13" i="2"/>
  <c r="R15" i="2"/>
  <c r="W9" i="2"/>
  <c r="R7" i="2"/>
  <c r="R25" i="2"/>
  <c r="W19" i="2"/>
  <c r="R27" i="2"/>
  <c r="W18" i="2"/>
  <c r="R8" i="2"/>
  <c r="R16" i="2"/>
  <c r="R24" i="2"/>
  <c r="R32" i="2"/>
  <c r="W34" i="2"/>
  <c r="R28" i="2"/>
  <c r="W10" i="2"/>
  <c r="R23" i="2"/>
  <c r="R29" i="2"/>
  <c r="W14" i="2"/>
  <c r="R36" i="2"/>
  <c r="R9" i="2"/>
  <c r="W4" i="2"/>
  <c r="W35" i="2"/>
  <c r="W30" i="2"/>
  <c r="W31" i="2"/>
  <c r="W22" i="2"/>
  <c r="W11" i="2"/>
  <c r="W38" i="2"/>
  <c r="W6" i="2"/>
  <c r="W15" i="2"/>
  <c r="W37" i="2"/>
  <c r="W27" i="2"/>
  <c r="W23" i="2"/>
  <c r="W17" i="2"/>
  <c r="W12" i="2"/>
  <c r="W36" i="2"/>
  <c r="W28" i="2"/>
  <c r="W25" i="2"/>
  <c r="W20" i="2"/>
  <c r="R8" i="1"/>
  <c r="W32" i="2"/>
  <c r="W24" i="2"/>
  <c r="W8" i="2"/>
  <c r="W16" i="2"/>
  <c r="AB2" i="2"/>
  <c r="AD3" i="17"/>
  <c r="AD4" i="17" s="1"/>
  <c r="AD5" i="17" s="1"/>
  <c r="AD6" i="17" s="1"/>
  <c r="AD7" i="17" s="1"/>
  <c r="AD8" i="17" s="1"/>
  <c r="AD9" i="17" s="1"/>
  <c r="AD10" i="17" s="1"/>
  <c r="AD11" i="17" s="1"/>
  <c r="AD12" i="17" s="1"/>
  <c r="AD13" i="17" s="1"/>
  <c r="AD14" i="17" s="1"/>
  <c r="AD15" i="17" s="1"/>
  <c r="AD16" i="17" s="1"/>
  <c r="AD17" i="17" s="1"/>
  <c r="AD18" i="17" s="1"/>
  <c r="AD19" i="17" s="1"/>
  <c r="AD20" i="17" s="1"/>
  <c r="AD21" i="17" s="1"/>
  <c r="AD22" i="17" s="1"/>
  <c r="AD23" i="17" s="1"/>
  <c r="AD24" i="17" s="1"/>
  <c r="AD25" i="17" s="1"/>
  <c r="AD26" i="17" s="1"/>
  <c r="AD27" i="17" s="1"/>
  <c r="AD28" i="17" s="1"/>
  <c r="AD29" i="17" s="1"/>
  <c r="AD30" i="17" s="1"/>
  <c r="AD31" i="17" s="1"/>
  <c r="AD32" i="17" s="1"/>
  <c r="AD33" i="17" s="1"/>
  <c r="AD34" i="17" s="1"/>
  <c r="AD35" i="17" s="1"/>
  <c r="AD36" i="17" s="1"/>
  <c r="AD37" i="17" s="1"/>
  <c r="AD38" i="17" s="1"/>
  <c r="AA2" i="2"/>
  <c r="AC3" i="17"/>
  <c r="AC4" i="17" s="1"/>
  <c r="AC5" i="17" s="1"/>
  <c r="AC6" i="17" s="1"/>
  <c r="AC7" i="17" s="1"/>
  <c r="AC8" i="17" s="1"/>
  <c r="AC9" i="17" s="1"/>
  <c r="AC10" i="17" s="1"/>
  <c r="AC11" i="17" s="1"/>
  <c r="AC12" i="17" s="1"/>
  <c r="AC13" i="17" s="1"/>
  <c r="AC14" i="17" s="1"/>
  <c r="AC15" i="17" s="1"/>
  <c r="AC16" i="17" s="1"/>
  <c r="AC17" i="17" s="1"/>
  <c r="AC18" i="17" s="1"/>
  <c r="AC19" i="17" s="1"/>
  <c r="AC20" i="17" s="1"/>
  <c r="AC21" i="17" s="1"/>
  <c r="AC22" i="17" s="1"/>
  <c r="AC23" i="17" s="1"/>
  <c r="AC24" i="17" s="1"/>
  <c r="AC25" i="17" s="1"/>
  <c r="AC26" i="17" s="1"/>
  <c r="AC27" i="17" s="1"/>
  <c r="AC28" i="17" s="1"/>
  <c r="AC29" i="17" s="1"/>
  <c r="AC30" i="17" s="1"/>
  <c r="AC31" i="17" s="1"/>
  <c r="AC32" i="17" s="1"/>
  <c r="AC33" i="17" s="1"/>
  <c r="AC34" i="17" s="1"/>
  <c r="AC35" i="17" s="1"/>
  <c r="AC36" i="17" s="1"/>
  <c r="AC37" i="17" s="1"/>
  <c r="AC38" i="17" s="1"/>
  <c r="R7" i="1"/>
  <c r="R6" i="1"/>
  <c r="P4" i="1"/>
  <c r="Q4" i="1"/>
  <c r="R5" i="1"/>
  <c r="U8" i="1"/>
  <c r="U5" i="1"/>
  <c r="U6" i="1"/>
  <c r="W6" i="1" s="1"/>
  <c r="U7" i="1"/>
  <c r="T4" i="1"/>
  <c r="W3" i="2" l="1"/>
  <c r="L7" i="30"/>
  <c r="M7" i="30"/>
  <c r="L8" i="30"/>
  <c r="M8" i="30"/>
  <c r="L31" i="30"/>
  <c r="M31" i="30"/>
  <c r="L29" i="30"/>
  <c r="M29" i="30"/>
  <c r="L32" i="30"/>
  <c r="M32" i="30"/>
  <c r="L37" i="30"/>
  <c r="M37" i="30"/>
  <c r="L24" i="30"/>
  <c r="M24" i="30"/>
  <c r="L22" i="30"/>
  <c r="L30" i="30"/>
  <c r="M30" i="30"/>
  <c r="L14" i="30"/>
  <c r="L13" i="30"/>
  <c r="L23" i="30"/>
  <c r="L16" i="30"/>
  <c r="K21" i="30"/>
  <c r="M21" i="30" s="1"/>
  <c r="L15" i="30"/>
  <c r="J4" i="30"/>
  <c r="K4" i="30" s="1"/>
  <c r="M4" i="30" s="1"/>
  <c r="J12" i="30"/>
  <c r="K12" i="30" s="1"/>
  <c r="M12" i="30" s="1"/>
  <c r="H12" i="30"/>
  <c r="I12" i="30" s="1"/>
  <c r="R3" i="2"/>
  <c r="H4" i="30"/>
  <c r="I4" i="30" s="1"/>
  <c r="L4" i="30" s="1"/>
  <c r="L21" i="30"/>
  <c r="H20" i="30"/>
  <c r="I20" i="30" s="1"/>
  <c r="L20" i="30" s="1"/>
  <c r="K6" i="30"/>
  <c r="L5" i="30"/>
  <c r="J28" i="30"/>
  <c r="K28" i="30" s="1"/>
  <c r="U8" i="30"/>
  <c r="W8" i="30" s="1"/>
  <c r="V6" i="30"/>
  <c r="U6" i="30"/>
  <c r="W6" i="30" s="1"/>
  <c r="V8" i="30"/>
  <c r="I32" i="30"/>
  <c r="H28" i="30"/>
  <c r="I28" i="30" s="1"/>
  <c r="K40" i="30"/>
  <c r="K38" i="30"/>
  <c r="I37" i="30"/>
  <c r="H36" i="30"/>
  <c r="I36" i="30" s="1"/>
  <c r="V5" i="30"/>
  <c r="K39" i="30"/>
  <c r="I39" i="30"/>
  <c r="V7" i="30"/>
  <c r="U7" i="30"/>
  <c r="W7" i="30" s="1"/>
  <c r="J36" i="30"/>
  <c r="V3" i="2"/>
  <c r="AB4" i="17"/>
  <c r="AB5" i="17" s="1"/>
  <c r="AB6" i="17" s="1"/>
  <c r="AB7" i="17" s="1"/>
  <c r="AB8" i="17" s="1"/>
  <c r="AB9" i="17" s="1"/>
  <c r="AB10" i="17" s="1"/>
  <c r="AB11" i="17" s="1"/>
  <c r="AB12" i="17" s="1"/>
  <c r="AB13" i="17" s="1"/>
  <c r="AB14" i="17" s="1"/>
  <c r="AB15" i="17" s="1"/>
  <c r="AB16" i="17" s="1"/>
  <c r="AB17" i="17" s="1"/>
  <c r="AB18" i="17" s="1"/>
  <c r="AB19" i="17" s="1"/>
  <c r="AB20" i="17" s="1"/>
  <c r="AB21" i="17" s="1"/>
  <c r="AB22" i="17" s="1"/>
  <c r="AB23" i="17" s="1"/>
  <c r="AB24" i="17" s="1"/>
  <c r="AB25" i="17" s="1"/>
  <c r="AB26" i="17" s="1"/>
  <c r="AB27" i="17" s="1"/>
  <c r="AB28" i="17" s="1"/>
  <c r="AB29" i="17" s="1"/>
  <c r="AB30" i="17" s="1"/>
  <c r="AB31" i="17" s="1"/>
  <c r="AB32" i="17" s="1"/>
  <c r="AB33" i="17" s="1"/>
  <c r="AB34" i="17" s="1"/>
  <c r="AB35" i="17" s="1"/>
  <c r="AB36" i="17" s="1"/>
  <c r="AB37" i="17" s="1"/>
  <c r="AB38" i="17" s="1"/>
  <c r="AA3" i="2"/>
  <c r="W8" i="1"/>
  <c r="W7" i="1"/>
  <c r="W5" i="1"/>
  <c r="AA6" i="17"/>
  <c r="AA5" i="2"/>
  <c r="U4" i="1"/>
  <c r="R4" i="1"/>
  <c r="L6" i="30" l="1"/>
  <c r="M6" i="30"/>
  <c r="L39" i="30"/>
  <c r="M39" i="30"/>
  <c r="L38" i="30"/>
  <c r="M38" i="30"/>
  <c r="L40" i="30"/>
  <c r="M40" i="30"/>
  <c r="L28" i="30"/>
  <c r="M28" i="30"/>
  <c r="L12" i="30"/>
  <c r="AB4" i="2"/>
  <c r="AB3" i="2"/>
  <c r="V4" i="30"/>
  <c r="K36" i="30"/>
  <c r="AA4" i="2"/>
  <c r="W4" i="1"/>
  <c r="AB5" i="2"/>
  <c r="AA7" i="17"/>
  <c r="AA6" i="2"/>
  <c r="L36" i="30" l="1"/>
  <c r="M36" i="30"/>
  <c r="AB6" i="2"/>
  <c r="AA8" i="17"/>
  <c r="AA7" i="2"/>
  <c r="AB7" i="2" l="1"/>
  <c r="AA9" i="17"/>
  <c r="AA8" i="2"/>
  <c r="AB8" i="2" l="1"/>
  <c r="AA10" i="17"/>
  <c r="AA9" i="2"/>
  <c r="AB9" i="2" l="1"/>
  <c r="AA11" i="17"/>
  <c r="AA10" i="2"/>
  <c r="AB10" i="2" l="1"/>
  <c r="AA12" i="17"/>
  <c r="AA11" i="2"/>
  <c r="AB11" i="2" l="1"/>
  <c r="AA13" i="17"/>
  <c r="AA12" i="2"/>
  <c r="AB12" i="2" l="1"/>
  <c r="AA14" i="17"/>
  <c r="AA13" i="2"/>
  <c r="AB13" i="2" l="1"/>
  <c r="AA15" i="17"/>
  <c r="AA14" i="2"/>
  <c r="AB14" i="2" l="1"/>
  <c r="AA16" i="17"/>
  <c r="AA15" i="2"/>
  <c r="AB15" i="2" l="1"/>
  <c r="AA17" i="17"/>
  <c r="AA16" i="2"/>
  <c r="AB16" i="2" l="1"/>
  <c r="AA18" i="17"/>
  <c r="AA17" i="2"/>
  <c r="AB17" i="2" l="1"/>
  <c r="AA19" i="17"/>
  <c r="AA18" i="2"/>
  <c r="AB18" i="2" l="1"/>
  <c r="AA20" i="17"/>
  <c r="AA19" i="2"/>
  <c r="AB19" i="2" l="1"/>
  <c r="AA21" i="17"/>
  <c r="AA20" i="2"/>
  <c r="AB20" i="2" l="1"/>
  <c r="AA22" i="17"/>
  <c r="AA21" i="2"/>
  <c r="AB21" i="2" l="1"/>
  <c r="AA23" i="17"/>
  <c r="AA22" i="2"/>
  <c r="AB22" i="2" l="1"/>
  <c r="AA24" i="17"/>
  <c r="AA23" i="2"/>
  <c r="AB23" i="2" l="1"/>
  <c r="AA25" i="17"/>
  <c r="AA24" i="2"/>
  <c r="AB24" i="2" l="1"/>
  <c r="AA26" i="17"/>
  <c r="AA25" i="2"/>
  <c r="AB25" i="2" l="1"/>
  <c r="AA27" i="17"/>
  <c r="AA26" i="2"/>
  <c r="AB26" i="2" l="1"/>
  <c r="AA28" i="17"/>
  <c r="AA27" i="2"/>
  <c r="AB27" i="2" l="1"/>
  <c r="AA29" i="17"/>
  <c r="AA28" i="2"/>
  <c r="AB28" i="2" l="1"/>
  <c r="AA30" i="17"/>
  <c r="AA29" i="2"/>
  <c r="AB29" i="2" l="1"/>
  <c r="AA31" i="17"/>
  <c r="AA30" i="2"/>
  <c r="AB30" i="2" l="1"/>
  <c r="AA32" i="17"/>
  <c r="AA31" i="2"/>
  <c r="AB31" i="2" l="1"/>
  <c r="AA33" i="17"/>
  <c r="AA32" i="2"/>
  <c r="AB32" i="2" l="1"/>
  <c r="AA34" i="17"/>
  <c r="AA33" i="2"/>
  <c r="AB33" i="2" l="1"/>
  <c r="AA35" i="17"/>
  <c r="AA34" i="2"/>
  <c r="AB34" i="2" l="1"/>
  <c r="AA36" i="17"/>
  <c r="AA35" i="2"/>
  <c r="AB35" i="2" l="1"/>
  <c r="AA37" i="17"/>
  <c r="AA36" i="2"/>
  <c r="AB36" i="2" l="1"/>
  <c r="AA38" i="17"/>
  <c r="AA38" i="2" s="1"/>
  <c r="AA37" i="2"/>
  <c r="AB38" i="2" l="1"/>
  <c r="AB37" i="2"/>
  <c r="BB38" i="20" l="1"/>
  <c r="L38" i="23" s="1"/>
  <c r="BC38" i="20"/>
  <c r="M38" i="23" s="1"/>
  <c r="BA38" i="20"/>
  <c r="O38" i="23" s="1"/>
  <c r="BB37" i="20"/>
  <c r="L37" i="23" s="1"/>
  <c r="BC37" i="20"/>
  <c r="M37" i="23" s="1"/>
  <c r="BA37" i="20"/>
  <c r="O37" i="23" s="1"/>
  <c r="BB36" i="20"/>
  <c r="L36" i="23" s="1"/>
  <c r="BC36" i="20"/>
  <c r="M36" i="23" s="1"/>
  <c r="BA36" i="20"/>
  <c r="O36" i="23" s="1"/>
  <c r="BB35" i="20"/>
  <c r="L35" i="23" s="1"/>
  <c r="BC35" i="20"/>
  <c r="M35" i="23" s="1"/>
  <c r="BA35" i="20"/>
  <c r="O35" i="23" s="1"/>
  <c r="BB34" i="20"/>
  <c r="L34" i="23" s="1"/>
  <c r="BC34" i="20"/>
  <c r="M34" i="23" s="1"/>
  <c r="BA34" i="20"/>
  <c r="O34" i="23" s="1"/>
  <c r="BB33" i="20"/>
  <c r="L33" i="23" s="1"/>
  <c r="BC33" i="20"/>
  <c r="M33" i="23" s="1"/>
  <c r="BA33" i="20"/>
  <c r="O33" i="23" s="1"/>
  <c r="BB32" i="20"/>
  <c r="L32" i="23" s="1"/>
  <c r="BC32" i="20"/>
  <c r="M32" i="23" s="1"/>
  <c r="BA32" i="20"/>
  <c r="O32" i="23" s="1"/>
  <c r="BB31" i="20"/>
  <c r="L31" i="23" s="1"/>
  <c r="BC31" i="20"/>
  <c r="M31" i="23" s="1"/>
  <c r="BA31" i="20"/>
  <c r="O31" i="23" s="1"/>
  <c r="BB30" i="20"/>
  <c r="L30" i="23" s="1"/>
  <c r="BC30" i="20"/>
  <c r="M30" i="23" s="1"/>
  <c r="BA30" i="20"/>
  <c r="O30" i="23" s="1"/>
  <c r="BB29" i="20"/>
  <c r="L29" i="23" s="1"/>
  <c r="BC29" i="20"/>
  <c r="M29" i="23" s="1"/>
  <c r="BA29" i="20"/>
  <c r="O29" i="23" s="1"/>
  <c r="BB28" i="20"/>
  <c r="L28" i="23" s="1"/>
  <c r="BC28" i="20"/>
  <c r="M28" i="23" s="1"/>
  <c r="BA28" i="20"/>
  <c r="O28" i="23" s="1"/>
  <c r="BB27" i="20"/>
  <c r="L27" i="23" s="1"/>
  <c r="BC27" i="20"/>
  <c r="M27" i="23" s="1"/>
  <c r="BA27" i="20"/>
  <c r="O27" i="23" s="1"/>
  <c r="BB26" i="20"/>
  <c r="L26" i="23" s="1"/>
  <c r="BC26" i="20"/>
  <c r="M26" i="23" s="1"/>
  <c r="BA26" i="20"/>
  <c r="O26" i="23" s="1"/>
  <c r="BB25" i="20"/>
  <c r="L25" i="23" s="1"/>
  <c r="BC25" i="20"/>
  <c r="M25" i="23" s="1"/>
  <c r="BA25" i="20"/>
  <c r="O25" i="23" s="1"/>
  <c r="BB24" i="20"/>
  <c r="L24" i="23" s="1"/>
  <c r="BC24" i="20"/>
  <c r="M24" i="23" s="1"/>
  <c r="BA24" i="20"/>
  <c r="O24" i="23" s="1"/>
  <c r="BB23" i="20"/>
  <c r="L23" i="23" s="1"/>
  <c r="BC23" i="20"/>
  <c r="M23" i="23" s="1"/>
  <c r="BA23" i="20"/>
  <c r="O23" i="23" s="1"/>
  <c r="BB22" i="20"/>
  <c r="L22" i="23" s="1"/>
  <c r="BC22" i="20"/>
  <c r="M22" i="23" s="1"/>
  <c r="BA22" i="20"/>
  <c r="O22" i="23" s="1"/>
  <c r="BB21" i="20"/>
  <c r="L21" i="23" s="1"/>
  <c r="BC21" i="20"/>
  <c r="M21" i="23" s="1"/>
  <c r="BA21" i="20"/>
  <c r="O21" i="23" s="1"/>
  <c r="BB20" i="20"/>
  <c r="L20" i="23" s="1"/>
  <c r="BC20" i="20"/>
  <c r="M20" i="23" s="1"/>
  <c r="BA20" i="20"/>
  <c r="O20" i="23" s="1"/>
  <c r="BB19" i="20"/>
  <c r="L19" i="23" s="1"/>
  <c r="BC19" i="20"/>
  <c r="M19" i="23" s="1"/>
  <c r="BA19" i="20"/>
  <c r="O19" i="23" s="1"/>
  <c r="BB18" i="20"/>
  <c r="L18" i="23" s="1"/>
  <c r="BC18" i="20"/>
  <c r="M18" i="23" s="1"/>
  <c r="BA18" i="20"/>
  <c r="O18" i="23" s="1"/>
  <c r="BB17" i="20"/>
  <c r="L17" i="23" s="1"/>
  <c r="BC17" i="20"/>
  <c r="M17" i="23" s="1"/>
  <c r="BA17" i="20"/>
  <c r="O17" i="23" s="1"/>
  <c r="BB16" i="20"/>
  <c r="L16" i="23" s="1"/>
  <c r="BC16" i="20"/>
  <c r="M16" i="23" s="1"/>
  <c r="BA16" i="20"/>
  <c r="O16" i="23" s="1"/>
  <c r="BB15" i="20"/>
  <c r="L15" i="23" s="1"/>
  <c r="BC15" i="20"/>
  <c r="M15" i="23" s="1"/>
  <c r="BA15" i="20"/>
  <c r="O15" i="23" s="1"/>
  <c r="BB14" i="20"/>
  <c r="L14" i="23" s="1"/>
  <c r="BC14" i="20"/>
  <c r="M14" i="23" s="1"/>
  <c r="BA14" i="20"/>
  <c r="O14" i="23" s="1"/>
  <c r="BB13" i="20"/>
  <c r="L13" i="23" s="1"/>
  <c r="BC13" i="20"/>
  <c r="M13" i="23" s="1"/>
  <c r="BA13" i="20"/>
  <c r="O13" i="23" s="1"/>
  <c r="BB12" i="20"/>
  <c r="L12" i="23" s="1"/>
  <c r="BC12" i="20"/>
  <c r="M12" i="23" s="1"/>
  <c r="BA12" i="20"/>
  <c r="O12" i="23" s="1"/>
  <c r="BB11" i="20"/>
  <c r="L11" i="23" s="1"/>
  <c r="BC11" i="20"/>
  <c r="M11" i="23" s="1"/>
  <c r="BA11" i="20"/>
  <c r="O11" i="23" s="1"/>
  <c r="BB10" i="20"/>
  <c r="L10" i="23" s="1"/>
  <c r="BC10" i="20"/>
  <c r="M10" i="23" s="1"/>
  <c r="BA10" i="20"/>
  <c r="O10" i="23" s="1"/>
  <c r="BB9" i="20"/>
  <c r="L9" i="23" s="1"/>
  <c r="BC9" i="20"/>
  <c r="M9" i="23" s="1"/>
  <c r="BA9" i="20"/>
  <c r="O9" i="23" s="1"/>
  <c r="BB8" i="20"/>
  <c r="L8" i="23" s="1"/>
  <c r="BC8" i="20"/>
  <c r="M8" i="23" s="1"/>
  <c r="BA8" i="20"/>
  <c r="O8" i="23" s="1"/>
  <c r="BB7" i="20"/>
  <c r="L7" i="23" s="1"/>
  <c r="BC7" i="20"/>
  <c r="M7" i="23" s="1"/>
  <c r="BA7" i="20"/>
  <c r="O7" i="23" s="1"/>
  <c r="BB6" i="20"/>
  <c r="L6" i="23" s="1"/>
  <c r="BC6" i="20"/>
  <c r="M6" i="23" s="1"/>
  <c r="BA6" i="20"/>
  <c r="O6" i="23" s="1"/>
  <c r="BB5" i="20"/>
  <c r="L5" i="23" s="1"/>
  <c r="BC5" i="20"/>
  <c r="M5" i="23" s="1"/>
  <c r="BA5" i="20"/>
  <c r="O5" i="23" s="1"/>
  <c r="BB4" i="20"/>
  <c r="L4" i="23" s="1"/>
  <c r="BC4" i="20"/>
  <c r="M4" i="23" s="1"/>
  <c r="BA4" i="20"/>
  <c r="O4" i="23" s="1"/>
  <c r="BB3" i="20"/>
  <c r="L3" i="23" s="1"/>
  <c r="BC3" i="20"/>
  <c r="M3" i="23" s="1"/>
  <c r="BA3" i="20"/>
  <c r="O3" i="23" s="1"/>
  <c r="BC2" i="18"/>
  <c r="B2" i="23" s="1"/>
  <c r="BC2" i="19"/>
  <c r="G2" i="23" s="1"/>
  <c r="BD2" i="18"/>
  <c r="C2" i="23" s="1"/>
  <c r="BD2" i="19"/>
  <c r="H2" i="23" s="1"/>
  <c r="BA2" i="18"/>
  <c r="D2" i="23" s="1"/>
  <c r="BA2" i="19"/>
  <c r="I2" i="23" s="1"/>
  <c r="BB2" i="18"/>
  <c r="E2" i="23" s="1"/>
  <c r="BB2" i="19"/>
  <c r="J2" i="23" s="1"/>
  <c r="BB40" i="20" l="1"/>
  <c r="BA40" i="20"/>
  <c r="N3" i="2"/>
  <c r="BC40" i="20"/>
  <c r="I2" i="2"/>
  <c r="N16" i="2"/>
  <c r="N31" i="2"/>
  <c r="N11" i="2"/>
  <c r="N30" i="2"/>
  <c r="N4" i="2"/>
  <c r="N36" i="2"/>
  <c r="N19" i="2"/>
  <c r="N14" i="2"/>
  <c r="N9" i="2"/>
  <c r="N26" i="2"/>
  <c r="N21" i="2"/>
  <c r="AR37" i="22"/>
  <c r="BB37" i="22" s="1"/>
  <c r="V37" i="23" s="1"/>
  <c r="BC37" i="19"/>
  <c r="G37" i="23" s="1"/>
  <c r="AS8" i="22"/>
  <c r="BC8" i="22" s="1"/>
  <c r="W8" i="23" s="1"/>
  <c r="BD8" i="19"/>
  <c r="H8" i="23" s="1"/>
  <c r="AS8" i="21"/>
  <c r="BC8" i="21" s="1"/>
  <c r="BD8" i="18"/>
  <c r="C8" i="23" s="1"/>
  <c r="AP11" i="22"/>
  <c r="AZ11" i="22" s="1"/>
  <c r="X11" i="23" s="1"/>
  <c r="BA11" i="19"/>
  <c r="I11" i="23" s="1"/>
  <c r="AR17" i="22"/>
  <c r="BB17" i="22" s="1"/>
  <c r="V17" i="23" s="1"/>
  <c r="BC17" i="19"/>
  <c r="G17" i="23" s="1"/>
  <c r="AP21" i="21"/>
  <c r="AZ21" i="21" s="1"/>
  <c r="S21" i="23" s="1"/>
  <c r="BA21" i="18"/>
  <c r="D21" i="23" s="1"/>
  <c r="AQ24" i="22"/>
  <c r="BA24" i="22" s="1"/>
  <c r="Y24" i="23" s="1"/>
  <c r="BB24" i="19"/>
  <c r="J24" i="23" s="1"/>
  <c r="AR27" i="21"/>
  <c r="BB27" i="21" s="1"/>
  <c r="Q27" i="23" s="1"/>
  <c r="BC27" i="18"/>
  <c r="B27" i="23" s="1"/>
  <c r="AS30" i="22"/>
  <c r="BC30" i="22" s="1"/>
  <c r="W30" i="23" s="1"/>
  <c r="BD30" i="19"/>
  <c r="H30" i="23" s="1"/>
  <c r="AQ34" i="21"/>
  <c r="BA34" i="21" s="1"/>
  <c r="BB34" i="18"/>
  <c r="E34" i="23" s="1"/>
  <c r="AS3" i="21"/>
  <c r="BD3" i="18"/>
  <c r="C3" i="23" s="1"/>
  <c r="AP6" i="22"/>
  <c r="AZ6" i="22" s="1"/>
  <c r="X6" i="23" s="1"/>
  <c r="BA6" i="19"/>
  <c r="I6" i="23" s="1"/>
  <c r="AR12" i="22"/>
  <c r="BB12" i="22" s="1"/>
  <c r="V12" i="23" s="1"/>
  <c r="BC12" i="19"/>
  <c r="G12" i="23" s="1"/>
  <c r="AP16" i="21"/>
  <c r="AZ16" i="21" s="1"/>
  <c r="S16" i="23" s="1"/>
  <c r="BA16" i="18"/>
  <c r="D16" i="23" s="1"/>
  <c r="AQ19" i="22"/>
  <c r="BA19" i="22" s="1"/>
  <c r="Y19" i="23" s="1"/>
  <c r="BB19" i="19"/>
  <c r="J19" i="23" s="1"/>
  <c r="AR22" i="21"/>
  <c r="BB22" i="21" s="1"/>
  <c r="Q22" i="23" s="1"/>
  <c r="BC22" i="18"/>
  <c r="B22" i="23" s="1"/>
  <c r="AS25" i="22"/>
  <c r="BC25" i="22" s="1"/>
  <c r="W25" i="23" s="1"/>
  <c r="BD25" i="19"/>
  <c r="H25" i="23" s="1"/>
  <c r="AQ29" i="21"/>
  <c r="BA29" i="21" s="1"/>
  <c r="BB29" i="18"/>
  <c r="E29" i="23" s="1"/>
  <c r="AS35" i="21"/>
  <c r="BC35" i="21" s="1"/>
  <c r="BD35" i="18"/>
  <c r="C35" i="23" s="1"/>
  <c r="AP38" i="22"/>
  <c r="AZ38" i="22" s="1"/>
  <c r="X38" i="23" s="1"/>
  <c r="BA38" i="19"/>
  <c r="I38" i="23" s="1"/>
  <c r="AR7" i="22"/>
  <c r="BB7" i="22" s="1"/>
  <c r="V7" i="23" s="1"/>
  <c r="BC7" i="19"/>
  <c r="G7" i="23" s="1"/>
  <c r="AP11" i="21"/>
  <c r="AZ11" i="21" s="1"/>
  <c r="S11" i="23" s="1"/>
  <c r="BA11" i="18"/>
  <c r="D11" i="23" s="1"/>
  <c r="AQ14" i="22"/>
  <c r="BA14" i="22" s="1"/>
  <c r="Y14" i="23" s="1"/>
  <c r="BB14" i="19"/>
  <c r="J14" i="23" s="1"/>
  <c r="AR17" i="21"/>
  <c r="BB17" i="21" s="1"/>
  <c r="Q17" i="23" s="1"/>
  <c r="BC17" i="18"/>
  <c r="B17" i="23" s="1"/>
  <c r="AS20" i="22"/>
  <c r="BC20" i="22" s="1"/>
  <c r="W20" i="23" s="1"/>
  <c r="BD20" i="19"/>
  <c r="H20" i="23" s="1"/>
  <c r="AQ24" i="21"/>
  <c r="BA24" i="21" s="1"/>
  <c r="BB24" i="18"/>
  <c r="E24" i="23" s="1"/>
  <c r="AS30" i="21"/>
  <c r="BC30" i="21" s="1"/>
  <c r="BD30" i="18"/>
  <c r="C30" i="23" s="1"/>
  <c r="AP33" i="22"/>
  <c r="AZ33" i="22" s="1"/>
  <c r="X33" i="23" s="1"/>
  <c r="BA33" i="19"/>
  <c r="I33" i="23" s="1"/>
  <c r="AP6" i="21"/>
  <c r="AZ6" i="21" s="1"/>
  <c r="S6" i="23" s="1"/>
  <c r="BA6" i="18"/>
  <c r="D6" i="23" s="1"/>
  <c r="AQ9" i="22"/>
  <c r="BA9" i="22" s="1"/>
  <c r="Y9" i="23" s="1"/>
  <c r="BB9" i="19"/>
  <c r="J9" i="23" s="1"/>
  <c r="AR12" i="21"/>
  <c r="BB12" i="21" s="1"/>
  <c r="Q12" i="23" s="1"/>
  <c r="BC12" i="18"/>
  <c r="B12" i="23" s="1"/>
  <c r="AS15" i="22"/>
  <c r="BC15" i="22" s="1"/>
  <c r="W15" i="23" s="1"/>
  <c r="BD15" i="19"/>
  <c r="H15" i="23" s="1"/>
  <c r="AQ19" i="21"/>
  <c r="BA19" i="21" s="1"/>
  <c r="BB19" i="18"/>
  <c r="E19" i="23" s="1"/>
  <c r="AS25" i="21"/>
  <c r="BC25" i="21" s="1"/>
  <c r="BD25" i="18"/>
  <c r="C25" i="23" s="1"/>
  <c r="AP28" i="22"/>
  <c r="AZ28" i="22" s="1"/>
  <c r="X28" i="23" s="1"/>
  <c r="BA28" i="19"/>
  <c r="I28" i="23" s="1"/>
  <c r="AR34" i="22"/>
  <c r="BB34" i="22" s="1"/>
  <c r="V34" i="23" s="1"/>
  <c r="BC34" i="19"/>
  <c r="G34" i="23" s="1"/>
  <c r="AP38" i="21"/>
  <c r="AZ38" i="21" s="1"/>
  <c r="S38" i="23" s="1"/>
  <c r="BA38" i="18"/>
  <c r="D38" i="23" s="1"/>
  <c r="AQ4" i="22"/>
  <c r="BA4" i="22" s="1"/>
  <c r="Y4" i="23" s="1"/>
  <c r="BB4" i="19"/>
  <c r="J4" i="23" s="1"/>
  <c r="N6" i="2"/>
  <c r="AR7" i="21"/>
  <c r="BB7" i="21" s="1"/>
  <c r="Q7" i="23" s="1"/>
  <c r="BC7" i="18"/>
  <c r="B7" i="23" s="1"/>
  <c r="AS10" i="22"/>
  <c r="BC10" i="22" s="1"/>
  <c r="W10" i="23" s="1"/>
  <c r="BD10" i="19"/>
  <c r="H10" i="23" s="1"/>
  <c r="AQ14" i="21"/>
  <c r="BA14" i="21" s="1"/>
  <c r="BB14" i="18"/>
  <c r="E14" i="23" s="1"/>
  <c r="AS20" i="21"/>
  <c r="BC20" i="21" s="1"/>
  <c r="BD20" i="18"/>
  <c r="C20" i="23" s="1"/>
  <c r="AP23" i="22"/>
  <c r="AZ23" i="22" s="1"/>
  <c r="X23" i="23" s="1"/>
  <c r="BA23" i="19"/>
  <c r="I23" i="23" s="1"/>
  <c r="AR29" i="22"/>
  <c r="BB29" i="22" s="1"/>
  <c r="V29" i="23" s="1"/>
  <c r="BC29" i="19"/>
  <c r="G29" i="23" s="1"/>
  <c r="AP33" i="21"/>
  <c r="AZ33" i="21" s="1"/>
  <c r="S33" i="23" s="1"/>
  <c r="BA33" i="18"/>
  <c r="D33" i="23" s="1"/>
  <c r="AQ36" i="22"/>
  <c r="BA36" i="22" s="1"/>
  <c r="Y36" i="23" s="1"/>
  <c r="BB36" i="19"/>
  <c r="J36" i="23" s="1"/>
  <c r="N38" i="2"/>
  <c r="AS5" i="22"/>
  <c r="BC5" i="22" s="1"/>
  <c r="W5" i="23" s="1"/>
  <c r="BD5" i="19"/>
  <c r="H5" i="23" s="1"/>
  <c r="AQ9" i="21"/>
  <c r="BA9" i="21" s="1"/>
  <c r="BB9" i="18"/>
  <c r="E9" i="23" s="1"/>
  <c r="AS15" i="21"/>
  <c r="BC15" i="21" s="1"/>
  <c r="BD15" i="18"/>
  <c r="C15" i="23" s="1"/>
  <c r="AP18" i="22"/>
  <c r="AZ18" i="22" s="1"/>
  <c r="X18" i="23" s="1"/>
  <c r="BA18" i="19"/>
  <c r="I18" i="23" s="1"/>
  <c r="AR24" i="22"/>
  <c r="BB24" i="22" s="1"/>
  <c r="V24" i="23" s="1"/>
  <c r="BC24" i="19"/>
  <c r="G24" i="23" s="1"/>
  <c r="AP28" i="21"/>
  <c r="AZ28" i="21" s="1"/>
  <c r="S28" i="23" s="1"/>
  <c r="BA28" i="18"/>
  <c r="D28" i="23" s="1"/>
  <c r="AQ31" i="22"/>
  <c r="BA31" i="22" s="1"/>
  <c r="Y31" i="23" s="1"/>
  <c r="BB31" i="19"/>
  <c r="J31" i="23" s="1"/>
  <c r="N33" i="2"/>
  <c r="AR34" i="21"/>
  <c r="BB34" i="21" s="1"/>
  <c r="Q34" i="23" s="1"/>
  <c r="BC34" i="18"/>
  <c r="B34" i="23" s="1"/>
  <c r="AS37" i="22"/>
  <c r="BC37" i="22" s="1"/>
  <c r="W37" i="23" s="1"/>
  <c r="BD37" i="19"/>
  <c r="H37" i="23" s="1"/>
  <c r="AQ4" i="21"/>
  <c r="BA4" i="21" s="1"/>
  <c r="BB4" i="18"/>
  <c r="E4" i="23" s="1"/>
  <c r="AS10" i="21"/>
  <c r="BC10" i="21" s="1"/>
  <c r="BD10" i="18"/>
  <c r="C10" i="23" s="1"/>
  <c r="AP13" i="22"/>
  <c r="AZ13" i="22" s="1"/>
  <c r="X13" i="23" s="1"/>
  <c r="BA13" i="19"/>
  <c r="I13" i="23" s="1"/>
  <c r="AR19" i="22"/>
  <c r="BB19" i="22" s="1"/>
  <c r="V19" i="23" s="1"/>
  <c r="BC19" i="19"/>
  <c r="G19" i="23" s="1"/>
  <c r="AP23" i="21"/>
  <c r="AZ23" i="21" s="1"/>
  <c r="S23" i="23" s="1"/>
  <c r="BA23" i="18"/>
  <c r="D23" i="23" s="1"/>
  <c r="AQ26" i="22"/>
  <c r="BA26" i="22" s="1"/>
  <c r="Y26" i="23" s="1"/>
  <c r="BB26" i="19"/>
  <c r="J26" i="23" s="1"/>
  <c r="N28" i="2"/>
  <c r="AR29" i="21"/>
  <c r="BB29" i="21" s="1"/>
  <c r="Q29" i="23" s="1"/>
  <c r="BC29" i="18"/>
  <c r="B29" i="23" s="1"/>
  <c r="AS32" i="22"/>
  <c r="BC32" i="22" s="1"/>
  <c r="W32" i="23" s="1"/>
  <c r="BD32" i="19"/>
  <c r="H32" i="23" s="1"/>
  <c r="AQ36" i="21"/>
  <c r="BA36" i="21" s="1"/>
  <c r="BB36" i="18"/>
  <c r="E36" i="23" s="1"/>
  <c r="AP14" i="21"/>
  <c r="AZ14" i="21" s="1"/>
  <c r="S14" i="23" s="1"/>
  <c r="BA14" i="18"/>
  <c r="D14" i="23" s="1"/>
  <c r="AR5" i="22"/>
  <c r="BB5" i="22" s="1"/>
  <c r="V5" i="23" s="1"/>
  <c r="BC5" i="19"/>
  <c r="G5" i="23" s="1"/>
  <c r="AQ7" i="22"/>
  <c r="BA7" i="22" s="1"/>
  <c r="Y7" i="23" s="1"/>
  <c r="BB7" i="19"/>
  <c r="J7" i="23" s="1"/>
  <c r="AS13" i="22"/>
  <c r="BC13" i="22" s="1"/>
  <c r="W13" i="23" s="1"/>
  <c r="BD13" i="19"/>
  <c r="H13" i="23" s="1"/>
  <c r="AP26" i="22"/>
  <c r="AZ26" i="22" s="1"/>
  <c r="X26" i="23" s="1"/>
  <c r="BA26" i="19"/>
  <c r="I26" i="23" s="1"/>
  <c r="AP21" i="22"/>
  <c r="AZ21" i="22" s="1"/>
  <c r="X21" i="23" s="1"/>
  <c r="BA21" i="19"/>
  <c r="I21" i="23" s="1"/>
  <c r="AQ34" i="22"/>
  <c r="BA34" i="22" s="1"/>
  <c r="Y34" i="23" s="1"/>
  <c r="BB34" i="19"/>
  <c r="J34" i="23" s="1"/>
  <c r="AS3" i="22"/>
  <c r="BD3" i="19"/>
  <c r="H3" i="23" s="1"/>
  <c r="AS13" i="21"/>
  <c r="BC13" i="21" s="1"/>
  <c r="BD13" i="18"/>
  <c r="C13" i="23" s="1"/>
  <c r="AP26" i="21"/>
  <c r="AZ26" i="21" s="1"/>
  <c r="S26" i="23" s="1"/>
  <c r="BA26" i="18"/>
  <c r="D26" i="23" s="1"/>
  <c r="AS35" i="22"/>
  <c r="BC35" i="22" s="1"/>
  <c r="W35" i="23" s="1"/>
  <c r="BD35" i="19"/>
  <c r="H35" i="23" s="1"/>
  <c r="N23" i="2"/>
  <c r="AQ31" i="21"/>
  <c r="BA31" i="21" s="1"/>
  <c r="BB31" i="18"/>
  <c r="E31" i="23" s="1"/>
  <c r="AS37" i="21"/>
  <c r="BC37" i="21" s="1"/>
  <c r="BD37" i="18"/>
  <c r="C37" i="23" s="1"/>
  <c r="N18" i="2"/>
  <c r="AR19" i="21"/>
  <c r="BB19" i="21" s="1"/>
  <c r="Q19" i="23" s="1"/>
  <c r="BC19" i="18"/>
  <c r="B19" i="23" s="1"/>
  <c r="AS32" i="21"/>
  <c r="BC32" i="21" s="1"/>
  <c r="BD32" i="18"/>
  <c r="C32" i="23" s="1"/>
  <c r="N13" i="2"/>
  <c r="AR14" i="21"/>
  <c r="BB14" i="21" s="1"/>
  <c r="Q14" i="23" s="1"/>
  <c r="BC14" i="18"/>
  <c r="B14" i="23" s="1"/>
  <c r="N8" i="2"/>
  <c r="AQ11" i="21"/>
  <c r="BA11" i="21" s="1"/>
  <c r="BB11" i="18"/>
  <c r="E11" i="23" s="1"/>
  <c r="AP20" i="22"/>
  <c r="AZ20" i="22" s="1"/>
  <c r="X20" i="23" s="1"/>
  <c r="BA20" i="19"/>
  <c r="I20" i="23" s="1"/>
  <c r="AP15" i="22"/>
  <c r="AZ15" i="22" s="1"/>
  <c r="X15" i="23" s="1"/>
  <c r="BA15" i="19"/>
  <c r="I15" i="23" s="1"/>
  <c r="AP25" i="21"/>
  <c r="AZ25" i="21" s="1"/>
  <c r="S25" i="23" s="1"/>
  <c r="BA25" i="18"/>
  <c r="D25" i="23" s="1"/>
  <c r="AR31" i="21"/>
  <c r="BB31" i="21" s="1"/>
  <c r="Q31" i="23" s="1"/>
  <c r="BC31" i="18"/>
  <c r="B31" i="23" s="1"/>
  <c r="AQ38" i="21"/>
  <c r="BA38" i="21" s="1"/>
  <c r="BB38" i="18"/>
  <c r="E38" i="23" s="1"/>
  <c r="AS7" i="21"/>
  <c r="BC7" i="21" s="1"/>
  <c r="BD7" i="18"/>
  <c r="C7" i="23" s="1"/>
  <c r="AP10" i="22"/>
  <c r="AZ10" i="22" s="1"/>
  <c r="X10" i="23" s="1"/>
  <c r="BA10" i="19"/>
  <c r="I10" i="23" s="1"/>
  <c r="AR16" i="22"/>
  <c r="BB16" i="22" s="1"/>
  <c r="V16" i="23" s="1"/>
  <c r="BC16" i="19"/>
  <c r="G16" i="23" s="1"/>
  <c r="AQ23" i="22"/>
  <c r="BA23" i="22" s="1"/>
  <c r="Y23" i="23" s="1"/>
  <c r="BB23" i="19"/>
  <c r="J23" i="23" s="1"/>
  <c r="N25" i="2"/>
  <c r="AR26" i="21"/>
  <c r="BB26" i="21" s="1"/>
  <c r="Q26" i="23" s="1"/>
  <c r="BC26" i="18"/>
  <c r="B26" i="23" s="1"/>
  <c r="AS29" i="22"/>
  <c r="BC29" i="22" s="1"/>
  <c r="W29" i="23" s="1"/>
  <c r="BD29" i="19"/>
  <c r="H29" i="23" s="1"/>
  <c r="AQ33" i="21"/>
  <c r="BA33" i="21" s="1"/>
  <c r="BB33" i="18"/>
  <c r="E33" i="23" s="1"/>
  <c r="AP5" i="22"/>
  <c r="AZ5" i="22" s="1"/>
  <c r="X5" i="23" s="1"/>
  <c r="BA5" i="19"/>
  <c r="I5" i="23" s="1"/>
  <c r="AR11" i="22"/>
  <c r="BB11" i="22" s="1"/>
  <c r="V11" i="23" s="1"/>
  <c r="BC11" i="19"/>
  <c r="G11" i="23" s="1"/>
  <c r="AP15" i="21"/>
  <c r="AZ15" i="21" s="1"/>
  <c r="S15" i="23" s="1"/>
  <c r="BA15" i="18"/>
  <c r="D15" i="23" s="1"/>
  <c r="AQ18" i="22"/>
  <c r="BA18" i="22" s="1"/>
  <c r="Y18" i="23" s="1"/>
  <c r="BB18" i="19"/>
  <c r="J18" i="23" s="1"/>
  <c r="N20" i="2"/>
  <c r="AR21" i="21"/>
  <c r="BB21" i="21" s="1"/>
  <c r="Q21" i="23" s="1"/>
  <c r="BC21" i="18"/>
  <c r="B21" i="23" s="1"/>
  <c r="AS24" i="22"/>
  <c r="BC24" i="22" s="1"/>
  <c r="W24" i="23" s="1"/>
  <c r="BD24" i="19"/>
  <c r="H24" i="23" s="1"/>
  <c r="AQ28" i="21"/>
  <c r="BA28" i="21" s="1"/>
  <c r="BB28" i="18"/>
  <c r="E28" i="23" s="1"/>
  <c r="AS34" i="21"/>
  <c r="BC34" i="21" s="1"/>
  <c r="BD34" i="18"/>
  <c r="C34" i="23" s="1"/>
  <c r="AP37" i="22"/>
  <c r="AZ37" i="22" s="1"/>
  <c r="X37" i="23" s="1"/>
  <c r="BA37" i="19"/>
  <c r="I37" i="23" s="1"/>
  <c r="AR6" i="22"/>
  <c r="BB6" i="22" s="1"/>
  <c r="V6" i="23" s="1"/>
  <c r="BC6" i="19"/>
  <c r="G6" i="23" s="1"/>
  <c r="AP10" i="21"/>
  <c r="AZ10" i="21" s="1"/>
  <c r="S10" i="23" s="1"/>
  <c r="BA10" i="18"/>
  <c r="D10" i="23" s="1"/>
  <c r="AQ13" i="22"/>
  <c r="BA13" i="22" s="1"/>
  <c r="Y13" i="23" s="1"/>
  <c r="BB13" i="19"/>
  <c r="J13" i="23" s="1"/>
  <c r="N15" i="2"/>
  <c r="AR16" i="21"/>
  <c r="BB16" i="21" s="1"/>
  <c r="Q16" i="23" s="1"/>
  <c r="BC16" i="18"/>
  <c r="B16" i="23" s="1"/>
  <c r="AS19" i="22"/>
  <c r="BC19" i="22" s="1"/>
  <c r="W19" i="23" s="1"/>
  <c r="BD19" i="19"/>
  <c r="H19" i="23" s="1"/>
  <c r="AQ23" i="21"/>
  <c r="BA23" i="21" s="1"/>
  <c r="BB23" i="18"/>
  <c r="E23" i="23" s="1"/>
  <c r="AS29" i="21"/>
  <c r="BC29" i="21" s="1"/>
  <c r="BD29" i="18"/>
  <c r="C29" i="23" s="1"/>
  <c r="AP32" i="22"/>
  <c r="AZ32" i="22" s="1"/>
  <c r="X32" i="23" s="1"/>
  <c r="BA32" i="19"/>
  <c r="I32" i="23" s="1"/>
  <c r="AR38" i="22"/>
  <c r="BB38" i="22" s="1"/>
  <c r="V38" i="23" s="1"/>
  <c r="BC38" i="19"/>
  <c r="G38" i="23" s="1"/>
  <c r="AP5" i="21"/>
  <c r="AZ5" i="21" s="1"/>
  <c r="S5" i="23" s="1"/>
  <c r="BA5" i="18"/>
  <c r="D5" i="23" s="1"/>
  <c r="AQ8" i="22"/>
  <c r="BA8" i="22" s="1"/>
  <c r="Y8" i="23" s="1"/>
  <c r="BB8" i="19"/>
  <c r="J8" i="23" s="1"/>
  <c r="N10" i="2"/>
  <c r="AR11" i="21"/>
  <c r="BB11" i="21" s="1"/>
  <c r="Q11" i="23" s="1"/>
  <c r="BC11" i="18"/>
  <c r="B11" i="23" s="1"/>
  <c r="AS14" i="22"/>
  <c r="BC14" i="22" s="1"/>
  <c r="W14" i="23" s="1"/>
  <c r="BD14" i="19"/>
  <c r="H14" i="23" s="1"/>
  <c r="AQ18" i="21"/>
  <c r="BA18" i="21" s="1"/>
  <c r="BB18" i="18"/>
  <c r="E18" i="23" s="1"/>
  <c r="AS24" i="21"/>
  <c r="BC24" i="21" s="1"/>
  <c r="BD24" i="18"/>
  <c r="C24" i="23" s="1"/>
  <c r="AP27" i="22"/>
  <c r="AZ27" i="22" s="1"/>
  <c r="X27" i="23" s="1"/>
  <c r="BA27" i="19"/>
  <c r="I27" i="23" s="1"/>
  <c r="AR33" i="22"/>
  <c r="BB33" i="22" s="1"/>
  <c r="V33" i="23" s="1"/>
  <c r="BC33" i="19"/>
  <c r="G33" i="23" s="1"/>
  <c r="AP37" i="21"/>
  <c r="AZ37" i="21" s="1"/>
  <c r="S37" i="23" s="1"/>
  <c r="BA37" i="18"/>
  <c r="D37" i="23" s="1"/>
  <c r="AQ3" i="22"/>
  <c r="BB3" i="19"/>
  <c r="J3" i="23" s="1"/>
  <c r="N5" i="2"/>
  <c r="AR6" i="21"/>
  <c r="BB6" i="21" s="1"/>
  <c r="Q6" i="23" s="1"/>
  <c r="BC6" i="18"/>
  <c r="B6" i="23" s="1"/>
  <c r="AS9" i="22"/>
  <c r="BC9" i="22" s="1"/>
  <c r="W9" i="23" s="1"/>
  <c r="BD9" i="19"/>
  <c r="H9" i="23" s="1"/>
  <c r="AQ13" i="21"/>
  <c r="BA13" i="21" s="1"/>
  <c r="BB13" i="18"/>
  <c r="E13" i="23" s="1"/>
  <c r="AS19" i="21"/>
  <c r="BC19" i="21" s="1"/>
  <c r="BD19" i="18"/>
  <c r="C19" i="23" s="1"/>
  <c r="AP22" i="22"/>
  <c r="AZ22" i="22" s="1"/>
  <c r="X22" i="23" s="1"/>
  <c r="BA22" i="19"/>
  <c r="I22" i="23" s="1"/>
  <c r="AR28" i="22"/>
  <c r="BB28" i="22" s="1"/>
  <c r="V28" i="23" s="1"/>
  <c r="BC28" i="19"/>
  <c r="G28" i="23" s="1"/>
  <c r="AP32" i="21"/>
  <c r="AZ32" i="21" s="1"/>
  <c r="S32" i="23" s="1"/>
  <c r="BA32" i="18"/>
  <c r="D32" i="23" s="1"/>
  <c r="AQ35" i="22"/>
  <c r="BA35" i="22" s="1"/>
  <c r="Y35" i="23" s="1"/>
  <c r="BB35" i="19"/>
  <c r="J35" i="23" s="1"/>
  <c r="N37" i="2"/>
  <c r="AR38" i="21"/>
  <c r="BB38" i="21" s="1"/>
  <c r="Q38" i="23" s="1"/>
  <c r="BC38" i="18"/>
  <c r="B38" i="23" s="1"/>
  <c r="AR8" i="22"/>
  <c r="BB8" i="22" s="1"/>
  <c r="V8" i="23" s="1"/>
  <c r="BC8" i="19"/>
  <c r="G8" i="23" s="1"/>
  <c r="AP12" i="21"/>
  <c r="AZ12" i="21" s="1"/>
  <c r="S12" i="23" s="1"/>
  <c r="BA12" i="18"/>
  <c r="D12" i="23" s="1"/>
  <c r="AQ15" i="22"/>
  <c r="BA15" i="22" s="1"/>
  <c r="Y15" i="23" s="1"/>
  <c r="BB15" i="19"/>
  <c r="J15" i="23" s="1"/>
  <c r="N17" i="2"/>
  <c r="AR18" i="21"/>
  <c r="BB18" i="21" s="1"/>
  <c r="Q18" i="23" s="1"/>
  <c r="BC18" i="18"/>
  <c r="B18" i="23" s="1"/>
  <c r="AS21" i="22"/>
  <c r="BC21" i="22" s="1"/>
  <c r="W21" i="23" s="1"/>
  <c r="BD21" i="19"/>
  <c r="H21" i="23" s="1"/>
  <c r="AQ25" i="21"/>
  <c r="BA25" i="21" s="1"/>
  <c r="BB25" i="18"/>
  <c r="E25" i="23" s="1"/>
  <c r="AS31" i="21"/>
  <c r="BC31" i="21" s="1"/>
  <c r="BD31" i="18"/>
  <c r="C31" i="23" s="1"/>
  <c r="AP34" i="22"/>
  <c r="AZ34" i="22" s="1"/>
  <c r="X34" i="23" s="1"/>
  <c r="BA34" i="19"/>
  <c r="I34" i="23" s="1"/>
  <c r="AQ17" i="22"/>
  <c r="BA17" i="22" s="1"/>
  <c r="Y17" i="23" s="1"/>
  <c r="BB17" i="19"/>
  <c r="J17" i="23" s="1"/>
  <c r="AS33" i="21"/>
  <c r="BC33" i="21" s="1"/>
  <c r="BD33" i="18"/>
  <c r="C33" i="23" s="1"/>
  <c r="AP36" i="22"/>
  <c r="AZ36" i="22" s="1"/>
  <c r="X36" i="23" s="1"/>
  <c r="BA36" i="19"/>
  <c r="I36" i="23" s="1"/>
  <c r="AP9" i="21"/>
  <c r="AZ9" i="21" s="1"/>
  <c r="S9" i="23" s="1"/>
  <c r="BA9" i="18"/>
  <c r="D9" i="23" s="1"/>
  <c r="AQ12" i="22"/>
  <c r="BA12" i="22" s="1"/>
  <c r="Y12" i="23" s="1"/>
  <c r="BB12" i="19"/>
  <c r="J12" i="23" s="1"/>
  <c r="AQ22" i="21"/>
  <c r="BA22" i="21" s="1"/>
  <c r="BB22" i="18"/>
  <c r="E22" i="23" s="1"/>
  <c r="AP31" i="22"/>
  <c r="AZ31" i="22" s="1"/>
  <c r="X31" i="23" s="1"/>
  <c r="BA31" i="19"/>
  <c r="I31" i="23" s="1"/>
  <c r="AP4" i="21"/>
  <c r="AZ4" i="21" s="1"/>
  <c r="S4" i="23" s="1"/>
  <c r="BA4" i="18"/>
  <c r="D4" i="23" s="1"/>
  <c r="AS23" i="21"/>
  <c r="BC23" i="21" s="1"/>
  <c r="BD23" i="18"/>
  <c r="C23" i="23" s="1"/>
  <c r="AR32" i="22"/>
  <c r="BB32" i="22" s="1"/>
  <c r="V32" i="23" s="1"/>
  <c r="BC32" i="19"/>
  <c r="G32" i="23" s="1"/>
  <c r="AR27" i="22"/>
  <c r="BB27" i="22" s="1"/>
  <c r="V27" i="23" s="1"/>
  <c r="BC27" i="19"/>
  <c r="G27" i="23" s="1"/>
  <c r="AP16" i="22"/>
  <c r="AZ16" i="22" s="1"/>
  <c r="X16" i="23" s="1"/>
  <c r="BA16" i="19"/>
  <c r="I16" i="23" s="1"/>
  <c r="AS5" i="21"/>
  <c r="BC5" i="21" s="1"/>
  <c r="BD5" i="18"/>
  <c r="C5" i="23" s="1"/>
  <c r="AP18" i="21"/>
  <c r="AZ18" i="21" s="1"/>
  <c r="S18" i="23" s="1"/>
  <c r="BA18" i="18"/>
  <c r="D18" i="23" s="1"/>
  <c r="AR24" i="21"/>
  <c r="BB24" i="21" s="1"/>
  <c r="Q24" i="23" s="1"/>
  <c r="BC24" i="18"/>
  <c r="B24" i="23" s="1"/>
  <c r="AR9" i="22"/>
  <c r="BB9" i="22" s="1"/>
  <c r="V9" i="23" s="1"/>
  <c r="BC9" i="19"/>
  <c r="G9" i="23" s="1"/>
  <c r="AQ16" i="22"/>
  <c r="BA16" i="22" s="1"/>
  <c r="Y16" i="23" s="1"/>
  <c r="BB16" i="19"/>
  <c r="J16" i="23" s="1"/>
  <c r="AQ26" i="21"/>
  <c r="BA26" i="21" s="1"/>
  <c r="BB26" i="18"/>
  <c r="E26" i="23" s="1"/>
  <c r="AR4" i="22"/>
  <c r="BB4" i="22" s="1"/>
  <c r="V4" i="23" s="1"/>
  <c r="BC4" i="19"/>
  <c r="G4" i="23" s="1"/>
  <c r="AQ21" i="21"/>
  <c r="BA21" i="21" s="1"/>
  <c r="BB21" i="18"/>
  <c r="E21" i="23" s="1"/>
  <c r="AP30" i="22"/>
  <c r="AZ30" i="22" s="1"/>
  <c r="X30" i="23" s="1"/>
  <c r="BA30" i="19"/>
  <c r="I30" i="23" s="1"/>
  <c r="AR9" i="21"/>
  <c r="BB9" i="21" s="1"/>
  <c r="Q9" i="23" s="1"/>
  <c r="BC9" i="18"/>
  <c r="B9" i="23" s="1"/>
  <c r="AQ16" i="21"/>
  <c r="BA16" i="21" s="1"/>
  <c r="BB16" i="18"/>
  <c r="E16" i="23" s="1"/>
  <c r="AP35" i="21"/>
  <c r="AZ35" i="21" s="1"/>
  <c r="S35" i="23" s="1"/>
  <c r="BA35" i="18"/>
  <c r="D35" i="23" s="1"/>
  <c r="AS7" i="22"/>
  <c r="BC7" i="22" s="1"/>
  <c r="W7" i="23" s="1"/>
  <c r="BD7" i="19"/>
  <c r="H7" i="23" s="1"/>
  <c r="AP30" i="21"/>
  <c r="AZ30" i="21" s="1"/>
  <c r="S30" i="23" s="1"/>
  <c r="BA30" i="18"/>
  <c r="D30" i="23" s="1"/>
  <c r="AQ33" i="22"/>
  <c r="BA33" i="22" s="1"/>
  <c r="Y33" i="23" s="1"/>
  <c r="BB33" i="19"/>
  <c r="J33" i="23" s="1"/>
  <c r="AR36" i="21"/>
  <c r="BB36" i="21" s="1"/>
  <c r="Q36" i="23" s="1"/>
  <c r="BC36" i="18"/>
  <c r="B36" i="23" s="1"/>
  <c r="AQ6" i="21"/>
  <c r="BA6" i="21" s="1"/>
  <c r="BB6" i="18"/>
  <c r="E6" i="23" s="1"/>
  <c r="AR21" i="22"/>
  <c r="BB21" i="22" s="1"/>
  <c r="V21" i="23" s="1"/>
  <c r="BC21" i="19"/>
  <c r="G21" i="23" s="1"/>
  <c r="AP20" i="21"/>
  <c r="AZ20" i="21" s="1"/>
  <c r="S20" i="23" s="1"/>
  <c r="BA20" i="18"/>
  <c r="D20" i="23" s="1"/>
  <c r="AQ8" i="21"/>
  <c r="BA8" i="21" s="1"/>
  <c r="BB8" i="18"/>
  <c r="E8" i="23" s="1"/>
  <c r="AP17" i="22"/>
  <c r="AZ17" i="22" s="1"/>
  <c r="X17" i="23" s="1"/>
  <c r="BA17" i="19"/>
  <c r="I17" i="23" s="1"/>
  <c r="N32" i="2"/>
  <c r="AS36" i="22"/>
  <c r="BC36" i="22" s="1"/>
  <c r="W36" i="23" s="1"/>
  <c r="BD36" i="19"/>
  <c r="H36" i="23" s="1"/>
  <c r="AP22" i="21"/>
  <c r="AZ22" i="21" s="1"/>
  <c r="S22" i="23" s="1"/>
  <c r="BA22" i="18"/>
  <c r="D22" i="23" s="1"/>
  <c r="AQ25" i="22"/>
  <c r="BA25" i="22" s="1"/>
  <c r="Y25" i="23" s="1"/>
  <c r="BB25" i="19"/>
  <c r="J25" i="23" s="1"/>
  <c r="AS4" i="21"/>
  <c r="BC4" i="21" s="1"/>
  <c r="BD4" i="18"/>
  <c r="C4" i="23" s="1"/>
  <c r="AR13" i="22"/>
  <c r="BB13" i="22" s="1"/>
  <c r="V13" i="23" s="1"/>
  <c r="BC13" i="19"/>
  <c r="G13" i="23" s="1"/>
  <c r="AQ20" i="22"/>
  <c r="BA20" i="22" s="1"/>
  <c r="Y20" i="23" s="1"/>
  <c r="BB20" i="19"/>
  <c r="J20" i="23" s="1"/>
  <c r="AQ30" i="21"/>
  <c r="BA30" i="21" s="1"/>
  <c r="BB30" i="18"/>
  <c r="E30" i="23" s="1"/>
  <c r="AR3" i="22"/>
  <c r="BC3" i="19"/>
  <c r="G3" i="23" s="1"/>
  <c r="AP7" i="21"/>
  <c r="AZ7" i="21" s="1"/>
  <c r="S7" i="23" s="1"/>
  <c r="BA7" i="18"/>
  <c r="D7" i="23" s="1"/>
  <c r="AQ10" i="22"/>
  <c r="BA10" i="22" s="1"/>
  <c r="Y10" i="23" s="1"/>
  <c r="BB10" i="19"/>
  <c r="J10" i="23" s="1"/>
  <c r="N12" i="2"/>
  <c r="AR13" i="21"/>
  <c r="BB13" i="21" s="1"/>
  <c r="Q13" i="23" s="1"/>
  <c r="BC13" i="18"/>
  <c r="B13" i="23" s="1"/>
  <c r="AS16" i="22"/>
  <c r="BC16" i="22" s="1"/>
  <c r="W16" i="23" s="1"/>
  <c r="BD16" i="19"/>
  <c r="H16" i="23" s="1"/>
  <c r="AQ20" i="21"/>
  <c r="BA20" i="21" s="1"/>
  <c r="BB20" i="18"/>
  <c r="E20" i="23" s="1"/>
  <c r="AS26" i="21"/>
  <c r="BC26" i="21" s="1"/>
  <c r="BD26" i="18"/>
  <c r="C26" i="23" s="1"/>
  <c r="AP29" i="22"/>
  <c r="AZ29" i="22" s="1"/>
  <c r="X29" i="23" s="1"/>
  <c r="BA29" i="19"/>
  <c r="I29" i="23" s="1"/>
  <c r="AR35" i="22"/>
  <c r="BB35" i="22" s="1"/>
  <c r="V35" i="23" s="1"/>
  <c r="BC35" i="19"/>
  <c r="G35" i="23" s="1"/>
  <c r="AP4" i="22"/>
  <c r="AZ4" i="22" s="1"/>
  <c r="X4" i="23" s="1"/>
  <c r="BA4" i="19"/>
  <c r="I4" i="23" s="1"/>
  <c r="AR10" i="22"/>
  <c r="BB10" i="22" s="1"/>
  <c r="V10" i="23" s="1"/>
  <c r="BC10" i="19"/>
  <c r="G10" i="23" s="1"/>
  <c r="AR20" i="21"/>
  <c r="BB20" i="21" s="1"/>
  <c r="Q20" i="23" s="1"/>
  <c r="BC20" i="18"/>
  <c r="B20" i="23" s="1"/>
  <c r="AQ27" i="21"/>
  <c r="BA27" i="21" s="1"/>
  <c r="BB27" i="18"/>
  <c r="E27" i="23" s="1"/>
  <c r="AR15" i="21"/>
  <c r="BB15" i="21" s="1"/>
  <c r="Q15" i="23" s="1"/>
  <c r="BC15" i="18"/>
  <c r="B15" i="23" s="1"/>
  <c r="AQ12" i="21"/>
  <c r="BA12" i="21" s="1"/>
  <c r="BB12" i="18"/>
  <c r="E12" i="23" s="1"/>
  <c r="AS18" i="21"/>
  <c r="BC18" i="21" s="1"/>
  <c r="BD18" i="18"/>
  <c r="C18" i="23" s="1"/>
  <c r="AQ7" i="21"/>
  <c r="BA7" i="21" s="1"/>
  <c r="BB7" i="18"/>
  <c r="E7" i="23" s="1"/>
  <c r="AR22" i="22"/>
  <c r="BB22" i="22" s="1"/>
  <c r="V22" i="23" s="1"/>
  <c r="BC22" i="19"/>
  <c r="G22" i="23" s="1"/>
  <c r="AP8" i="22"/>
  <c r="AZ8" i="22" s="1"/>
  <c r="X8" i="23" s="1"/>
  <c r="BA8" i="19"/>
  <c r="I8" i="23" s="1"/>
  <c r="AQ21" i="22"/>
  <c r="BA21" i="22" s="1"/>
  <c r="Y21" i="23" s="1"/>
  <c r="BB21" i="19"/>
  <c r="J21" i="23" s="1"/>
  <c r="AP3" i="22"/>
  <c r="BA3" i="19"/>
  <c r="I3" i="23" s="1"/>
  <c r="AP13" i="21"/>
  <c r="AZ13" i="21" s="1"/>
  <c r="S13" i="23" s="1"/>
  <c r="BA13" i="18"/>
  <c r="D13" i="23" s="1"/>
  <c r="AS22" i="22"/>
  <c r="BC22" i="22" s="1"/>
  <c r="W22" i="23" s="1"/>
  <c r="BD22" i="19"/>
  <c r="H22" i="23" s="1"/>
  <c r="AP35" i="22"/>
  <c r="AZ35" i="22" s="1"/>
  <c r="X35" i="23" s="1"/>
  <c r="BA35" i="19"/>
  <c r="I35" i="23" s="1"/>
  <c r="AP8" i="21"/>
  <c r="AZ8" i="21" s="1"/>
  <c r="S8" i="23" s="1"/>
  <c r="BA8" i="18"/>
  <c r="D8" i="23" s="1"/>
  <c r="AQ11" i="22"/>
  <c r="BA11" i="22" s="1"/>
  <c r="Y11" i="23" s="1"/>
  <c r="BB11" i="19"/>
  <c r="J11" i="23" s="1"/>
  <c r="AS17" i="22"/>
  <c r="BC17" i="22" s="1"/>
  <c r="W17" i="23" s="1"/>
  <c r="BD17" i="19"/>
  <c r="H17" i="23" s="1"/>
  <c r="AR36" i="22"/>
  <c r="BB36" i="22" s="1"/>
  <c r="V36" i="23" s="1"/>
  <c r="BC36" i="19"/>
  <c r="G36" i="23" s="1"/>
  <c r="AP3" i="21"/>
  <c r="BA3" i="18"/>
  <c r="D3" i="23" s="1"/>
  <c r="AS22" i="21"/>
  <c r="BC22" i="21" s="1"/>
  <c r="BD22" i="18"/>
  <c r="C22" i="23" s="1"/>
  <c r="AQ38" i="22"/>
  <c r="BA38" i="22" s="1"/>
  <c r="Y38" i="23" s="1"/>
  <c r="BB38" i="19"/>
  <c r="J38" i="23" s="1"/>
  <c r="AR26" i="22"/>
  <c r="BB26" i="22" s="1"/>
  <c r="V26" i="23" s="1"/>
  <c r="BC26" i="19"/>
  <c r="G26" i="23" s="1"/>
  <c r="AS34" i="22"/>
  <c r="BC34" i="22" s="1"/>
  <c r="W34" i="23" s="1"/>
  <c r="BD34" i="19"/>
  <c r="H34" i="23" s="1"/>
  <c r="AS4" i="22"/>
  <c r="BC4" i="22" s="1"/>
  <c r="W4" i="23" s="1"/>
  <c r="BD4" i="19"/>
  <c r="H4" i="23" s="1"/>
  <c r="AR23" i="22"/>
  <c r="BB23" i="22" s="1"/>
  <c r="V23" i="23" s="1"/>
  <c r="BC23" i="19"/>
  <c r="G23" i="23" s="1"/>
  <c r="AP27" i="21"/>
  <c r="AZ27" i="21" s="1"/>
  <c r="S27" i="23" s="1"/>
  <c r="BA27" i="18"/>
  <c r="D27" i="23" s="1"/>
  <c r="AR33" i="21"/>
  <c r="BB33" i="21" s="1"/>
  <c r="Q33" i="23" s="1"/>
  <c r="BC33" i="18"/>
  <c r="B33" i="23" s="1"/>
  <c r="AQ3" i="21"/>
  <c r="BB3" i="18"/>
  <c r="E3" i="23" s="1"/>
  <c r="AP12" i="22"/>
  <c r="AZ12" i="22" s="1"/>
  <c r="X12" i="23" s="1"/>
  <c r="BA12" i="19"/>
  <c r="I12" i="23" s="1"/>
  <c r="N27" i="2"/>
  <c r="AS31" i="22"/>
  <c r="BC31" i="22" s="1"/>
  <c r="W31" i="23" s="1"/>
  <c r="BD31" i="19"/>
  <c r="H31" i="23" s="1"/>
  <c r="AP17" i="21"/>
  <c r="AZ17" i="21" s="1"/>
  <c r="S17" i="23" s="1"/>
  <c r="BA17" i="18"/>
  <c r="D17" i="23" s="1"/>
  <c r="AR23" i="21"/>
  <c r="BB23" i="21" s="1"/>
  <c r="Q23" i="23" s="1"/>
  <c r="BC23" i="18"/>
  <c r="B23" i="23" s="1"/>
  <c r="AS36" i="21"/>
  <c r="BC36" i="21" s="1"/>
  <c r="BD36" i="18"/>
  <c r="C36" i="23" s="1"/>
  <c r="AQ5" i="22"/>
  <c r="BA5" i="22" s="1"/>
  <c r="Y5" i="23" s="1"/>
  <c r="BB5" i="19"/>
  <c r="J5" i="23" s="1"/>
  <c r="N7" i="2"/>
  <c r="AR8" i="21"/>
  <c r="BB8" i="21" s="1"/>
  <c r="Q8" i="23" s="1"/>
  <c r="BC8" i="18"/>
  <c r="B8" i="23" s="1"/>
  <c r="AS11" i="22"/>
  <c r="BC11" i="22" s="1"/>
  <c r="W11" i="23" s="1"/>
  <c r="BD11" i="19"/>
  <c r="H11" i="23" s="1"/>
  <c r="AQ15" i="21"/>
  <c r="BA15" i="21" s="1"/>
  <c r="BB15" i="18"/>
  <c r="E15" i="23" s="1"/>
  <c r="AS21" i="21"/>
  <c r="BC21" i="21" s="1"/>
  <c r="BD21" i="18"/>
  <c r="C21" i="23" s="1"/>
  <c r="AP24" i="22"/>
  <c r="AZ24" i="22" s="1"/>
  <c r="X24" i="23" s="1"/>
  <c r="BA24" i="19"/>
  <c r="I24" i="23" s="1"/>
  <c r="AR30" i="22"/>
  <c r="BB30" i="22" s="1"/>
  <c r="V30" i="23" s="1"/>
  <c r="BC30" i="19"/>
  <c r="G30" i="23" s="1"/>
  <c r="AP34" i="21"/>
  <c r="AZ34" i="21" s="1"/>
  <c r="S34" i="23" s="1"/>
  <c r="BA34" i="18"/>
  <c r="D34" i="23" s="1"/>
  <c r="AQ37" i="22"/>
  <c r="BA37" i="22" s="1"/>
  <c r="Y37" i="23" s="1"/>
  <c r="BB37" i="19"/>
  <c r="J37" i="23" s="1"/>
  <c r="AS23" i="22"/>
  <c r="BC23" i="22" s="1"/>
  <c r="W23" i="23" s="1"/>
  <c r="BD23" i="19"/>
  <c r="H23" i="23" s="1"/>
  <c r="AS18" i="22"/>
  <c r="BC18" i="22" s="1"/>
  <c r="W18" i="23" s="1"/>
  <c r="BD18" i="19"/>
  <c r="H18" i="23" s="1"/>
  <c r="AS28" i="21"/>
  <c r="BC28" i="21" s="1"/>
  <c r="BD28" i="18"/>
  <c r="C28" i="23" s="1"/>
  <c r="AR10" i="21"/>
  <c r="BB10" i="21" s="1"/>
  <c r="Q10" i="23" s="1"/>
  <c r="BC10" i="18"/>
  <c r="B10" i="23" s="1"/>
  <c r="AQ17" i="21"/>
  <c r="BA17" i="21" s="1"/>
  <c r="BB17" i="18"/>
  <c r="E17" i="23" s="1"/>
  <c r="AP36" i="21"/>
  <c r="AZ36" i="21" s="1"/>
  <c r="S36" i="23" s="1"/>
  <c r="BA36" i="18"/>
  <c r="D36" i="23" s="1"/>
  <c r="AR5" i="21"/>
  <c r="BB5" i="21" s="1"/>
  <c r="Q5" i="23" s="1"/>
  <c r="BC5" i="18"/>
  <c r="B5" i="23" s="1"/>
  <c r="AP31" i="21"/>
  <c r="AZ31" i="21" s="1"/>
  <c r="S31" i="23" s="1"/>
  <c r="BA31" i="18"/>
  <c r="D31" i="23" s="1"/>
  <c r="AR37" i="21"/>
  <c r="BB37" i="21" s="1"/>
  <c r="Q37" i="23" s="1"/>
  <c r="BC37" i="18"/>
  <c r="B37" i="23" s="1"/>
  <c r="AQ29" i="22"/>
  <c r="BA29" i="22" s="1"/>
  <c r="Y29" i="23" s="1"/>
  <c r="BB29" i="19"/>
  <c r="J29" i="23" s="1"/>
  <c r="AR32" i="21"/>
  <c r="BB32" i="21" s="1"/>
  <c r="Q32" i="23" s="1"/>
  <c r="BC32" i="18"/>
  <c r="B32" i="23" s="1"/>
  <c r="AR14" i="22"/>
  <c r="BB14" i="22" s="1"/>
  <c r="V14" i="23" s="1"/>
  <c r="BC14" i="19"/>
  <c r="G14" i="23" s="1"/>
  <c r="AS27" i="22"/>
  <c r="BC27" i="22" s="1"/>
  <c r="W27" i="23" s="1"/>
  <c r="BD27" i="19"/>
  <c r="H27" i="23" s="1"/>
  <c r="AS27" i="21"/>
  <c r="BC27" i="21" s="1"/>
  <c r="BD27" i="18"/>
  <c r="C27" i="23" s="1"/>
  <c r="AQ6" i="22"/>
  <c r="BA6" i="22" s="1"/>
  <c r="Y6" i="23" s="1"/>
  <c r="BB6" i="19"/>
  <c r="J6" i="23" s="1"/>
  <c r="AS12" i="22"/>
  <c r="BC12" i="22" s="1"/>
  <c r="W12" i="23" s="1"/>
  <c r="BD12" i="19"/>
  <c r="H12" i="23" s="1"/>
  <c r="AP25" i="22"/>
  <c r="AZ25" i="22" s="1"/>
  <c r="X25" i="23" s="1"/>
  <c r="BA25" i="19"/>
  <c r="I25" i="23" s="1"/>
  <c r="AR31" i="22"/>
  <c r="BB31" i="22" s="1"/>
  <c r="V31" i="23" s="1"/>
  <c r="BC31" i="19"/>
  <c r="G31" i="23" s="1"/>
  <c r="AR4" i="21"/>
  <c r="BB4" i="21" s="1"/>
  <c r="BC4" i="18"/>
  <c r="B4" i="23" s="1"/>
  <c r="AS17" i="21"/>
  <c r="BC17" i="21" s="1"/>
  <c r="BD17" i="18"/>
  <c r="C17" i="23" s="1"/>
  <c r="N35" i="2"/>
  <c r="AS12" i="21"/>
  <c r="BC12" i="21" s="1"/>
  <c r="BD12" i="18"/>
  <c r="C12" i="23" s="1"/>
  <c r="AQ28" i="22"/>
  <c r="BA28" i="22" s="1"/>
  <c r="Y28" i="23" s="1"/>
  <c r="BB28" i="19"/>
  <c r="J28" i="23" s="1"/>
  <c r="AS14" i="21"/>
  <c r="BC14" i="21" s="1"/>
  <c r="BD14" i="18"/>
  <c r="C14" i="23" s="1"/>
  <c r="AQ30" i="22"/>
  <c r="BA30" i="22" s="1"/>
  <c r="Y30" i="23" s="1"/>
  <c r="BB30" i="19"/>
  <c r="J30" i="23" s="1"/>
  <c r="AS9" i="21"/>
  <c r="BC9" i="21" s="1"/>
  <c r="BD9" i="18"/>
  <c r="C9" i="23" s="1"/>
  <c r="AR18" i="22"/>
  <c r="BB18" i="22" s="1"/>
  <c r="V18" i="23" s="1"/>
  <c r="BC18" i="19"/>
  <c r="G18" i="23" s="1"/>
  <c r="AR28" i="21"/>
  <c r="BB28" i="21" s="1"/>
  <c r="Q28" i="23" s="1"/>
  <c r="BC28" i="18"/>
  <c r="B28" i="23" s="1"/>
  <c r="AQ35" i="21"/>
  <c r="BA35" i="21" s="1"/>
  <c r="BB35" i="18"/>
  <c r="E35" i="23" s="1"/>
  <c r="AP7" i="22"/>
  <c r="AZ7" i="22" s="1"/>
  <c r="X7" i="23" s="1"/>
  <c r="BA7" i="19"/>
  <c r="I7" i="23" s="1"/>
  <c r="N22" i="2"/>
  <c r="AS26" i="22"/>
  <c r="BC26" i="22" s="1"/>
  <c r="W26" i="23" s="1"/>
  <c r="BD26" i="19"/>
  <c r="H26" i="23" s="1"/>
  <c r="AR3" i="21"/>
  <c r="BC3" i="18"/>
  <c r="B3" i="23" s="1"/>
  <c r="AS6" i="22"/>
  <c r="BC6" i="22" s="1"/>
  <c r="W6" i="23" s="1"/>
  <c r="BD6" i="19"/>
  <c r="H6" i="23" s="1"/>
  <c r="AQ10" i="21"/>
  <c r="BA10" i="21" s="1"/>
  <c r="BB10" i="18"/>
  <c r="E10" i="23" s="1"/>
  <c r="AS16" i="21"/>
  <c r="BC16" i="21" s="1"/>
  <c r="BD16" i="18"/>
  <c r="C16" i="23" s="1"/>
  <c r="AP19" i="22"/>
  <c r="AZ19" i="22" s="1"/>
  <c r="X19" i="23" s="1"/>
  <c r="BA19" i="19"/>
  <c r="I19" i="23" s="1"/>
  <c r="AR25" i="22"/>
  <c r="BB25" i="22" s="1"/>
  <c r="V25" i="23" s="1"/>
  <c r="BC25" i="19"/>
  <c r="G25" i="23" s="1"/>
  <c r="AP29" i="21"/>
  <c r="AZ29" i="21" s="1"/>
  <c r="S29" i="23" s="1"/>
  <c r="BA29" i="18"/>
  <c r="D29" i="23" s="1"/>
  <c r="AQ32" i="22"/>
  <c r="BA32" i="22" s="1"/>
  <c r="Y32" i="23" s="1"/>
  <c r="BB32" i="19"/>
  <c r="J32" i="23" s="1"/>
  <c r="N34" i="2"/>
  <c r="AR35" i="21"/>
  <c r="BB35" i="21" s="1"/>
  <c r="Q35" i="23" s="1"/>
  <c r="BC35" i="18"/>
  <c r="B35" i="23" s="1"/>
  <c r="AS38" i="22"/>
  <c r="BC38" i="22" s="1"/>
  <c r="W38" i="23" s="1"/>
  <c r="BD38" i="19"/>
  <c r="H38" i="23" s="1"/>
  <c r="AQ5" i="21"/>
  <c r="BA5" i="21" s="1"/>
  <c r="BB5" i="18"/>
  <c r="E5" i="23" s="1"/>
  <c r="AS11" i="21"/>
  <c r="BC11" i="21" s="1"/>
  <c r="BD11" i="18"/>
  <c r="C11" i="23" s="1"/>
  <c r="AP14" i="22"/>
  <c r="AZ14" i="22" s="1"/>
  <c r="X14" i="23" s="1"/>
  <c r="BA14" i="19"/>
  <c r="I14" i="23" s="1"/>
  <c r="AR20" i="22"/>
  <c r="BB20" i="22" s="1"/>
  <c r="V20" i="23" s="1"/>
  <c r="BC20" i="19"/>
  <c r="G20" i="23" s="1"/>
  <c r="AP24" i="21"/>
  <c r="AZ24" i="21" s="1"/>
  <c r="S24" i="23" s="1"/>
  <c r="BA24" i="18"/>
  <c r="D24" i="23" s="1"/>
  <c r="AQ27" i="22"/>
  <c r="BA27" i="22" s="1"/>
  <c r="Y27" i="23" s="1"/>
  <c r="BB27" i="19"/>
  <c r="J27" i="23" s="1"/>
  <c r="N29" i="2"/>
  <c r="AR30" i="21"/>
  <c r="BB30" i="21" s="1"/>
  <c r="Q30" i="23" s="1"/>
  <c r="BC30" i="18"/>
  <c r="B30" i="23" s="1"/>
  <c r="AS33" i="22"/>
  <c r="BC33" i="22" s="1"/>
  <c r="W33" i="23" s="1"/>
  <c r="BD33" i="19"/>
  <c r="H33" i="23" s="1"/>
  <c r="AQ37" i="21"/>
  <c r="BA37" i="21" s="1"/>
  <c r="BB37" i="18"/>
  <c r="E37" i="23" s="1"/>
  <c r="AS6" i="21"/>
  <c r="BC6" i="21" s="1"/>
  <c r="BD6" i="18"/>
  <c r="C6" i="23" s="1"/>
  <c r="AP9" i="22"/>
  <c r="AZ9" i="22" s="1"/>
  <c r="X9" i="23" s="1"/>
  <c r="BA9" i="19"/>
  <c r="I9" i="23" s="1"/>
  <c r="AR15" i="22"/>
  <c r="BB15" i="22" s="1"/>
  <c r="V15" i="23" s="1"/>
  <c r="BC15" i="19"/>
  <c r="G15" i="23" s="1"/>
  <c r="AP19" i="21"/>
  <c r="AZ19" i="21" s="1"/>
  <c r="S19" i="23" s="1"/>
  <c r="BA19" i="18"/>
  <c r="D19" i="23" s="1"/>
  <c r="AQ22" i="22"/>
  <c r="BA22" i="22" s="1"/>
  <c r="Y22" i="23" s="1"/>
  <c r="BB22" i="19"/>
  <c r="J22" i="23" s="1"/>
  <c r="N24" i="2"/>
  <c r="AR25" i="21"/>
  <c r="BB25" i="21" s="1"/>
  <c r="Q25" i="23" s="1"/>
  <c r="BC25" i="18"/>
  <c r="B25" i="23" s="1"/>
  <c r="AS28" i="22"/>
  <c r="BC28" i="22" s="1"/>
  <c r="W28" i="23" s="1"/>
  <c r="BD28" i="19"/>
  <c r="H28" i="23" s="1"/>
  <c r="AQ32" i="21"/>
  <c r="BA32" i="21" s="1"/>
  <c r="BB32" i="18"/>
  <c r="E32" i="23" s="1"/>
  <c r="AS38" i="21"/>
  <c r="BC38" i="21" s="1"/>
  <c r="BD38" i="18"/>
  <c r="C38" i="23" s="1"/>
  <c r="T16" i="23" l="1"/>
  <c r="T22" i="23"/>
  <c r="S22" i="2"/>
  <c r="T11" i="23"/>
  <c r="T17" i="23"/>
  <c r="S17" i="2"/>
  <c r="T27" i="23"/>
  <c r="T26" i="23"/>
  <c r="S26" i="2" s="1"/>
  <c r="T36" i="23"/>
  <c r="S36" i="2" s="1"/>
  <c r="T29" i="23"/>
  <c r="T10" i="23"/>
  <c r="T8" i="23"/>
  <c r="T23" i="23"/>
  <c r="T33" i="23"/>
  <c r="T21" i="23"/>
  <c r="S21" i="2"/>
  <c r="T9" i="23"/>
  <c r="S9" i="2"/>
  <c r="T19" i="23"/>
  <c r="T37" i="23"/>
  <c r="S37" i="2"/>
  <c r="T13" i="23"/>
  <c r="S13" i="2" s="1"/>
  <c r="T20" i="23"/>
  <c r="S20" i="2" s="1"/>
  <c r="T25" i="23"/>
  <c r="S25" i="2"/>
  <c r="T6" i="23"/>
  <c r="S6" i="2"/>
  <c r="T31" i="23"/>
  <c r="S31" i="2"/>
  <c r="T35" i="23"/>
  <c r="S35" i="2"/>
  <c r="T15" i="23"/>
  <c r="S15" i="2" s="1"/>
  <c r="T5" i="23"/>
  <c r="S5" i="2"/>
  <c r="T30" i="23"/>
  <c r="T18" i="23"/>
  <c r="T38" i="23"/>
  <c r="S38" i="2"/>
  <c r="T24" i="23"/>
  <c r="T34" i="23"/>
  <c r="S34" i="2"/>
  <c r="T7" i="23"/>
  <c r="T32" i="23"/>
  <c r="S32" i="2"/>
  <c r="T12" i="23"/>
  <c r="S12" i="2"/>
  <c r="T4" i="23"/>
  <c r="T14" i="23"/>
  <c r="T28" i="23"/>
  <c r="S28" i="2" s="1"/>
  <c r="BA3" i="22"/>
  <c r="Y3" i="23" s="1"/>
  <c r="AQ40" i="22"/>
  <c r="BB3" i="22"/>
  <c r="V3" i="23" s="1"/>
  <c r="AR40" i="22"/>
  <c r="BC3" i="22"/>
  <c r="W3" i="23" s="1"/>
  <c r="AS40" i="22"/>
  <c r="AZ3" i="22"/>
  <c r="AP40" i="22"/>
  <c r="BB3" i="21"/>
  <c r="Q3" i="23" s="1"/>
  <c r="AR40" i="21"/>
  <c r="J71" i="30" s="1"/>
  <c r="X7" i="30" s="1"/>
  <c r="BA3" i="21"/>
  <c r="AQ40" i="21"/>
  <c r="J70" i="30" s="1"/>
  <c r="X6" i="30" s="1"/>
  <c r="AZ3" i="21"/>
  <c r="AP40" i="21"/>
  <c r="D2" i="2"/>
  <c r="BC40" i="22"/>
  <c r="BA40" i="19"/>
  <c r="BA40" i="18"/>
  <c r="BA40" i="22"/>
  <c r="BB40" i="22"/>
  <c r="BC40" i="18"/>
  <c r="BC40" i="19"/>
  <c r="BD40" i="18"/>
  <c r="BB40" i="18"/>
  <c r="BD40" i="19"/>
  <c r="BB40" i="19"/>
  <c r="BC3" i="21"/>
  <c r="AS40" i="21"/>
  <c r="X34" i="2"/>
  <c r="D35" i="2"/>
  <c r="D4" i="2"/>
  <c r="X14" i="2"/>
  <c r="I32" i="2"/>
  <c r="I17" i="2"/>
  <c r="I12" i="2"/>
  <c r="I25" i="2"/>
  <c r="D27" i="2"/>
  <c r="X7" i="2"/>
  <c r="S4" i="2"/>
  <c r="D22" i="2"/>
  <c r="D5" i="2"/>
  <c r="X20" i="2"/>
  <c r="D28" i="2"/>
  <c r="X35" i="2"/>
  <c r="X9" i="2"/>
  <c r="X22" i="2"/>
  <c r="I11" i="2"/>
  <c r="D34" i="2"/>
  <c r="I3" i="2"/>
  <c r="D18" i="2"/>
  <c r="D24" i="2"/>
  <c r="I7" i="2"/>
  <c r="I24" i="2"/>
  <c r="I8" i="2"/>
  <c r="I14" i="2"/>
  <c r="X24" i="2"/>
  <c r="D23" i="2"/>
  <c r="D7" i="2"/>
  <c r="I16" i="2"/>
  <c r="D30" i="2"/>
  <c r="I27" i="2"/>
  <c r="I10" i="2"/>
  <c r="D26" i="2"/>
  <c r="I33" i="2"/>
  <c r="I6" i="2"/>
  <c r="D12" i="2"/>
  <c r="X27" i="2"/>
  <c r="X10" i="2"/>
  <c r="I13" i="2"/>
  <c r="I23" i="2"/>
  <c r="X33" i="2"/>
  <c r="X6" i="2"/>
  <c r="D37" i="2"/>
  <c r="D16" i="2"/>
  <c r="X8" i="2"/>
  <c r="X16" i="2"/>
  <c r="S16" i="2"/>
  <c r="D10" i="2"/>
  <c r="I37" i="2"/>
  <c r="X13" i="2"/>
  <c r="X23" i="2"/>
  <c r="D33" i="2"/>
  <c r="D6" i="2"/>
  <c r="X37" i="2"/>
  <c r="D31" i="2"/>
  <c r="I31" i="2"/>
  <c r="X31" i="2"/>
  <c r="D19" i="2"/>
  <c r="D3" i="2"/>
  <c r="D25" i="2"/>
  <c r="I21" i="2"/>
  <c r="X21" i="2"/>
  <c r="I26" i="2"/>
  <c r="D32" i="2"/>
  <c r="X15" i="2"/>
  <c r="X26" i="2"/>
  <c r="D29" i="2"/>
  <c r="D36" i="2"/>
  <c r="I30" i="2"/>
  <c r="I15" i="2"/>
  <c r="X30" i="2"/>
  <c r="I9" i="2"/>
  <c r="D9" i="2"/>
  <c r="I20" i="2"/>
  <c r="D11" i="2"/>
  <c r="D21" i="2"/>
  <c r="S11" i="2"/>
  <c r="D38" i="2"/>
  <c r="I36" i="2"/>
  <c r="X19" i="2"/>
  <c r="X4" i="2"/>
  <c r="X36" i="2"/>
  <c r="I22" i="2"/>
  <c r="D15" i="2"/>
  <c r="X38" i="2"/>
  <c r="X11" i="2"/>
  <c r="I19" i="2"/>
  <c r="D17" i="2"/>
  <c r="I4" i="2"/>
  <c r="D8" i="2"/>
  <c r="I38" i="2"/>
  <c r="I35" i="2"/>
  <c r="I29" i="2"/>
  <c r="X32" i="2"/>
  <c r="D14" i="2"/>
  <c r="I18" i="2"/>
  <c r="I28" i="2"/>
  <c r="S14" i="2"/>
  <c r="X18" i="2"/>
  <c r="X28" i="2"/>
  <c r="I34" i="2"/>
  <c r="X5" i="2"/>
  <c r="X29" i="2"/>
  <c r="X17" i="2"/>
  <c r="I5" i="2"/>
  <c r="X12" i="2"/>
  <c r="X25" i="2"/>
  <c r="D13" i="2"/>
  <c r="D20" i="2"/>
  <c r="S33" i="2" l="1"/>
  <c r="S8" i="2"/>
  <c r="S30" i="2"/>
  <c r="S19" i="2"/>
  <c r="S23" i="2"/>
  <c r="S24" i="2"/>
  <c r="S29" i="2"/>
  <c r="S10" i="2"/>
  <c r="S7" i="2"/>
  <c r="S18" i="2"/>
  <c r="S27" i="2"/>
  <c r="X3" i="23"/>
  <c r="X3" i="2" s="1"/>
  <c r="AZ40" i="22"/>
  <c r="T3" i="23"/>
  <c r="AB3" i="23"/>
  <c r="AB4" i="23" s="1"/>
  <c r="AB5" i="23" s="1"/>
  <c r="AB6" i="23" s="1"/>
  <c r="AB7" i="23" s="1"/>
  <c r="AB8" i="23" s="1"/>
  <c r="AB9" i="23" s="1"/>
  <c r="AB10" i="23" s="1"/>
  <c r="AB11" i="23" s="1"/>
  <c r="AB12" i="23" s="1"/>
  <c r="AB13" i="23" s="1"/>
  <c r="AB14" i="23" s="1"/>
  <c r="AB15" i="23" s="1"/>
  <c r="AB16" i="23" s="1"/>
  <c r="AB17" i="23" s="1"/>
  <c r="AB18" i="23" s="1"/>
  <c r="AB19" i="23" s="1"/>
  <c r="AB20" i="23" s="1"/>
  <c r="AB21" i="23" s="1"/>
  <c r="AB22" i="23" s="1"/>
  <c r="AB23" i="23" s="1"/>
  <c r="AB24" i="23" s="1"/>
  <c r="AB25" i="23" s="1"/>
  <c r="AB26" i="23" s="1"/>
  <c r="AB27" i="23" s="1"/>
  <c r="AB28" i="23" s="1"/>
  <c r="AB29" i="23" s="1"/>
  <c r="AB30" i="23" s="1"/>
  <c r="AB31" i="23" s="1"/>
  <c r="AB32" i="23" s="1"/>
  <c r="AB33" i="23" s="1"/>
  <c r="AB34" i="23" s="1"/>
  <c r="AB35" i="23" s="1"/>
  <c r="AB36" i="23" s="1"/>
  <c r="AB37" i="23" s="1"/>
  <c r="AB38" i="23" s="1"/>
  <c r="BB40" i="21"/>
  <c r="AA3" i="23"/>
  <c r="AA4" i="23" s="1"/>
  <c r="AZ40" i="21"/>
  <c r="S3" i="23"/>
  <c r="AC3" i="23" s="1"/>
  <c r="AC4" i="23" s="1"/>
  <c r="AC5" i="23" s="1"/>
  <c r="AC6" i="23" s="1"/>
  <c r="AC7" i="23" s="1"/>
  <c r="AC8" i="23" s="1"/>
  <c r="AC9" i="23" s="1"/>
  <c r="AC10" i="23" s="1"/>
  <c r="AC11" i="23" s="1"/>
  <c r="AC12" i="23" s="1"/>
  <c r="AC13" i="23" s="1"/>
  <c r="AC14" i="23" s="1"/>
  <c r="AC15" i="23" s="1"/>
  <c r="AC16" i="23" s="1"/>
  <c r="AC17" i="23" s="1"/>
  <c r="AC18" i="23" s="1"/>
  <c r="AC19" i="23" s="1"/>
  <c r="AC20" i="23" s="1"/>
  <c r="AC21" i="23" s="1"/>
  <c r="AC22" i="23" s="1"/>
  <c r="AC23" i="23" s="1"/>
  <c r="AC24" i="23" s="1"/>
  <c r="AC25" i="23" s="1"/>
  <c r="AC26" i="23" s="1"/>
  <c r="AC27" i="23" s="1"/>
  <c r="AC28" i="23" s="1"/>
  <c r="AC29" i="23" s="1"/>
  <c r="AC30" i="23" s="1"/>
  <c r="AC31" i="23" s="1"/>
  <c r="AC32" i="23" s="1"/>
  <c r="AC33" i="23" s="1"/>
  <c r="AC34" i="23" s="1"/>
  <c r="AC35" i="23" s="1"/>
  <c r="AC36" i="23" s="1"/>
  <c r="AC37" i="23" s="1"/>
  <c r="AC38" i="23" s="1"/>
  <c r="BA40" i="21"/>
  <c r="J69" i="30"/>
  <c r="K71" i="30"/>
  <c r="Y7" i="30"/>
  <c r="Z7" i="30"/>
  <c r="J72" i="30"/>
  <c r="X8" i="30" s="1"/>
  <c r="K70" i="30"/>
  <c r="Y6" i="30"/>
  <c r="Z6" i="30"/>
  <c r="AB6" i="30" s="1"/>
  <c r="AD3" i="23"/>
  <c r="AD4" i="23" s="1"/>
  <c r="AD5" i="23" s="1"/>
  <c r="AD6" i="23" s="1"/>
  <c r="AD7" i="23" s="1"/>
  <c r="AD8" i="23" s="1"/>
  <c r="AD9" i="23" s="1"/>
  <c r="AD10" i="23" s="1"/>
  <c r="AD11" i="23" s="1"/>
  <c r="AD12" i="23" s="1"/>
  <c r="AD13" i="23" s="1"/>
  <c r="AD14" i="23" s="1"/>
  <c r="AD15" i="23" s="1"/>
  <c r="AD16" i="23" s="1"/>
  <c r="AD17" i="23" s="1"/>
  <c r="AD18" i="23" s="1"/>
  <c r="AD19" i="23" s="1"/>
  <c r="AD20" i="23" s="1"/>
  <c r="AD21" i="23" s="1"/>
  <c r="AD22" i="23" s="1"/>
  <c r="AD23" i="23" s="1"/>
  <c r="AD24" i="23" s="1"/>
  <c r="AD25" i="23" s="1"/>
  <c r="AD26" i="23" s="1"/>
  <c r="AD27" i="23" s="1"/>
  <c r="AD28" i="23" s="1"/>
  <c r="AD29" i="23" s="1"/>
  <c r="AD30" i="23" s="1"/>
  <c r="AD31" i="23" s="1"/>
  <c r="AD32" i="23" s="1"/>
  <c r="AD33" i="23" s="1"/>
  <c r="AD34" i="23" s="1"/>
  <c r="AD35" i="23" s="1"/>
  <c r="AD36" i="23" s="1"/>
  <c r="AD37" i="23" s="1"/>
  <c r="AD38" i="23" s="1"/>
  <c r="BC40" i="21"/>
  <c r="L71" i="30" l="1"/>
  <c r="M71" i="30"/>
  <c r="L70" i="30"/>
  <c r="M70" i="30"/>
  <c r="AA6" i="30"/>
  <c r="AA7" i="30"/>
  <c r="AB7" i="30"/>
  <c r="K69" i="30"/>
  <c r="X5" i="30"/>
  <c r="J68" i="30"/>
  <c r="Y8" i="30"/>
  <c r="K72" i="30"/>
  <c r="Y5" i="30"/>
  <c r="AC3" i="2"/>
  <c r="Z8" i="30"/>
  <c r="K68" i="30"/>
  <c r="Y4" i="30"/>
  <c r="S3" i="2"/>
  <c r="AC4" i="2"/>
  <c r="AA5" i="23"/>
  <c r="L68" i="30" l="1"/>
  <c r="M68" i="30"/>
  <c r="L72" i="30"/>
  <c r="M72" i="30"/>
  <c r="L69" i="30"/>
  <c r="M69" i="30"/>
  <c r="AA8" i="30"/>
  <c r="AB8" i="30"/>
  <c r="Z5" i="30"/>
  <c r="AB5" i="30" s="1"/>
  <c r="X4" i="30"/>
  <c r="AC5" i="2"/>
  <c r="AA6" i="23"/>
  <c r="Z4" i="30" l="1"/>
  <c r="AC6" i="2"/>
  <c r="AA7" i="23"/>
  <c r="AB4" i="30" l="1"/>
  <c r="AC7" i="2"/>
  <c r="AA8" i="23"/>
  <c r="AC8" i="2" l="1"/>
  <c r="AA9" i="23"/>
  <c r="AC9" i="2" l="1"/>
  <c r="AA10" i="23"/>
  <c r="AC10" i="2" l="1"/>
  <c r="AA11" i="23"/>
  <c r="AC11" i="2" l="1"/>
  <c r="AA12" i="23"/>
  <c r="AC12" i="2" l="1"/>
  <c r="AA13" i="23"/>
  <c r="AC13" i="2" l="1"/>
  <c r="AA14" i="23"/>
  <c r="AC14" i="2" l="1"/>
  <c r="AA15" i="23"/>
  <c r="AC15" i="2" l="1"/>
  <c r="AA16" i="23"/>
  <c r="AC16" i="2" l="1"/>
  <c r="AA17" i="23"/>
  <c r="AC17" i="2" l="1"/>
  <c r="AA18" i="23"/>
  <c r="AC18" i="2" l="1"/>
  <c r="AA19" i="23"/>
  <c r="AC19" i="2" l="1"/>
  <c r="AA20" i="23"/>
  <c r="AC20" i="2" l="1"/>
  <c r="AA21" i="23"/>
  <c r="AC21" i="2" l="1"/>
  <c r="AA22" i="23"/>
  <c r="AC22" i="2" l="1"/>
  <c r="AA23" i="23"/>
  <c r="AC23" i="2" l="1"/>
  <c r="AA24" i="23"/>
  <c r="AC24" i="2" l="1"/>
  <c r="AA25" i="23"/>
  <c r="AC25" i="2" l="1"/>
  <c r="AA26" i="23"/>
  <c r="AC26" i="2" l="1"/>
  <c r="AA27" i="23"/>
  <c r="AC27" i="2" l="1"/>
  <c r="AA28" i="23"/>
  <c r="AC28" i="2" l="1"/>
  <c r="AA29" i="23"/>
  <c r="AC29" i="2" l="1"/>
  <c r="AA30" i="23"/>
  <c r="AC30" i="2" l="1"/>
  <c r="AA31" i="23"/>
  <c r="AC31" i="2" l="1"/>
  <c r="AA32" i="23"/>
  <c r="AC32" i="2" l="1"/>
  <c r="AA33" i="23"/>
  <c r="AC33" i="2" l="1"/>
  <c r="AA34" i="23"/>
  <c r="AC34" i="2" l="1"/>
  <c r="AA35" i="23"/>
  <c r="AC35" i="2" l="1"/>
  <c r="AA36" i="23"/>
  <c r="AC36" i="2" l="1"/>
  <c r="AA37" i="23"/>
  <c r="AC37" i="2" l="1"/>
  <c r="AA38" i="23"/>
  <c r="AC38" i="2" s="1"/>
  <c r="U5" i="30"/>
  <c r="W5" i="30" s="1"/>
  <c r="W4" i="30" l="1"/>
  <c r="AA4" i="30" s="1"/>
  <c r="AA5" i="30"/>
  <c r="U4" i="30"/>
</calcChain>
</file>

<file path=xl/sharedStrings.xml><?xml version="1.0" encoding="utf-8"?>
<sst xmlns="http://schemas.openxmlformats.org/spreadsheetml/2006/main" count="1521" uniqueCount="140">
  <si>
    <t>Sim 1</t>
  </si>
  <si>
    <t>Echelon</t>
  </si>
  <si>
    <t>Cost Type</t>
  </si>
  <si>
    <t>Baseline</t>
  </si>
  <si>
    <t>ELV</t>
  </si>
  <si>
    <t>Delta - Baseline</t>
  </si>
  <si>
    <t>CRP</t>
  </si>
  <si>
    <t xml:space="preserve">Delta - Baseline </t>
  </si>
  <si>
    <t>Delta - ELV</t>
  </si>
  <si>
    <t>TOTAL</t>
  </si>
  <si>
    <t>Total Costs</t>
  </si>
  <si>
    <t>Retailer</t>
  </si>
  <si>
    <t>Wholesaler</t>
  </si>
  <si>
    <t>Distributor</t>
  </si>
  <si>
    <t>Producer</t>
  </si>
  <si>
    <t>Sim 2</t>
  </si>
  <si>
    <t>Sim 3</t>
  </si>
  <si>
    <t>Sim 4</t>
  </si>
  <si>
    <t>Sim 5</t>
  </si>
  <si>
    <t>t</t>
  </si>
  <si>
    <t>TC  Baseline</t>
  </si>
  <si>
    <t>TC ELV</t>
  </si>
  <si>
    <t>TC CRP</t>
  </si>
  <si>
    <t>i_d</t>
  </si>
  <si>
    <t>i_f</t>
  </si>
  <si>
    <t>i_r</t>
  </si>
  <si>
    <t>i_w</t>
  </si>
  <si>
    <t>b_d</t>
  </si>
  <si>
    <t>b_f</t>
  </si>
  <si>
    <t>b_r</t>
  </si>
  <si>
    <t>b_w</t>
  </si>
  <si>
    <t>o_d</t>
  </si>
  <si>
    <t>o_r</t>
  </si>
  <si>
    <t>o_w</t>
  </si>
  <si>
    <t>endcd</t>
  </si>
  <si>
    <t>Avg I Retailer</t>
  </si>
  <si>
    <t>Avg I Wholesaler</t>
  </si>
  <si>
    <t>Avg I Distributor</t>
  </si>
  <si>
    <t>Avg B Retailer</t>
  </si>
  <si>
    <t>Avg B Wholesaler</t>
  </si>
  <si>
    <t>Avg B Distributor</t>
  </si>
  <si>
    <t>Avg B Producer</t>
  </si>
  <si>
    <t>Avg O Retailer</t>
  </si>
  <si>
    <t>Avg O Wholesaler</t>
  </si>
  <si>
    <t>Avg O Distributor</t>
  </si>
  <si>
    <t>Avg O Producer</t>
  </si>
  <si>
    <t>Avg I Producer</t>
  </si>
  <si>
    <t>r</t>
  </si>
  <si>
    <t>w</t>
  </si>
  <si>
    <t>d</t>
  </si>
  <si>
    <t>f</t>
  </si>
  <si>
    <t>Avg ihc Retailer</t>
  </si>
  <si>
    <t>Avg ihc Wholesaler</t>
  </si>
  <si>
    <t>Avg ihc Distributor</t>
  </si>
  <si>
    <t>Avg ihc Producer</t>
  </si>
  <si>
    <t>Avg ubc Retailer</t>
  </si>
  <si>
    <t>Avg ubc Wholesaler</t>
  </si>
  <si>
    <t>Avg ubc Distributor</t>
  </si>
  <si>
    <t>Avg ubc Producer</t>
  </si>
  <si>
    <t>Avg TC Retailer</t>
  </si>
  <si>
    <t>Avg TC Wholesaler</t>
  </si>
  <si>
    <t>Avg TC Distributor</t>
  </si>
  <si>
    <t>Avg TC Producer</t>
  </si>
  <si>
    <t>I Baseline</t>
  </si>
  <si>
    <t>I ELV</t>
  </si>
  <si>
    <t>I CRP</t>
  </si>
  <si>
    <t>B Baseline</t>
  </si>
  <si>
    <t>B ELV</t>
  </si>
  <si>
    <t>B CRP</t>
  </si>
  <si>
    <t>O Baseline</t>
  </si>
  <si>
    <t>O ELV</t>
  </si>
  <si>
    <t>O CRP</t>
  </si>
  <si>
    <t>IHC Baseline</t>
  </si>
  <si>
    <t>IHC ELV</t>
  </si>
  <si>
    <t>IHC CRP</t>
  </si>
  <si>
    <t>UBC Baseline</t>
  </si>
  <si>
    <t>UBC ELV</t>
  </si>
  <si>
    <t>UBC CRP</t>
  </si>
  <si>
    <t>t6</t>
  </si>
  <si>
    <t xml:space="preserve">t </t>
  </si>
  <si>
    <t xml:space="preserve">t  </t>
  </si>
  <si>
    <t xml:space="preserve">t   </t>
  </si>
  <si>
    <t xml:space="preserve">t    </t>
  </si>
  <si>
    <t xml:space="preserve">t     </t>
  </si>
  <si>
    <t xml:space="preserve">  Baseline</t>
  </si>
  <si>
    <t xml:space="preserve">    Baseline </t>
  </si>
  <si>
    <t xml:space="preserve">    ELV</t>
  </si>
  <si>
    <t>Run 1</t>
  </si>
  <si>
    <t>Run2</t>
  </si>
  <si>
    <t>Run 3</t>
  </si>
  <si>
    <t>Run 4</t>
  </si>
  <si>
    <t>Run 5</t>
  </si>
  <si>
    <r>
      <rPr>
        <i/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10</t>
    </r>
  </si>
  <si>
    <r>
      <rPr>
        <i/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 xml:space="preserve"> </t>
    </r>
  </si>
  <si>
    <t>Run 2</t>
  </si>
  <si>
    <t>Sim 6</t>
  </si>
  <si>
    <t>Run 6</t>
  </si>
  <si>
    <t>Run 7</t>
  </si>
  <si>
    <t>Sim 7</t>
  </si>
  <si>
    <t>Run 8</t>
  </si>
  <si>
    <t>Sim 8</t>
  </si>
  <si>
    <t>Run 9</t>
  </si>
  <si>
    <t>Sim 9</t>
  </si>
  <si>
    <t>Run 10</t>
  </si>
  <si>
    <t>Sim 10</t>
  </si>
  <si>
    <t>Avg IHC Retailer</t>
  </si>
  <si>
    <t>Avg IHC Wholesaler</t>
  </si>
  <si>
    <t>Avg IHC Distributor</t>
  </si>
  <si>
    <t>Avg IHC Producer</t>
  </si>
  <si>
    <t>Avg UBC Retailer</t>
  </si>
  <si>
    <t>Avg UBC Wholesaler</t>
  </si>
  <si>
    <t>Avg UBC Distributor</t>
  </si>
  <si>
    <t>Avg UBC Producer</t>
  </si>
  <si>
    <t xml:space="preserve"> </t>
  </si>
  <si>
    <t xml:space="preserve">  </t>
  </si>
  <si>
    <t>DQN</t>
  </si>
  <si>
    <t>TC DQN</t>
  </si>
  <si>
    <t>UBC DQN</t>
  </si>
  <si>
    <t>IHC DQN</t>
  </si>
  <si>
    <t>O DQN</t>
  </si>
  <si>
    <t>B DQN</t>
  </si>
  <si>
    <t>I DQN</t>
  </si>
  <si>
    <t>BL-DQN</t>
  </si>
  <si>
    <t>BL - ELV</t>
  </si>
  <si>
    <t>BL - CRP</t>
  </si>
  <si>
    <t>ELV- CRP</t>
  </si>
  <si>
    <t>DQN-CRP</t>
  </si>
  <si>
    <t>Avg B Factory</t>
  </si>
  <si>
    <t>Avg B Wolesaler</t>
  </si>
  <si>
    <t>Avg I Factory</t>
  </si>
  <si>
    <t>Avg I Wolesaler</t>
  </si>
  <si>
    <t>Avg O Factory</t>
  </si>
  <si>
    <t>Avg O Wolesaler</t>
  </si>
  <si>
    <t>Avg IHC Wolesaler</t>
  </si>
  <si>
    <t>Avg IHC Factory</t>
  </si>
  <si>
    <t>Avg UBC Factory</t>
  </si>
  <si>
    <t>Avg UBC Wolesaler</t>
  </si>
  <si>
    <t>Delta-Baseline</t>
  </si>
  <si>
    <t>Delta - DQN</t>
  </si>
  <si>
    <t>Delta- DQN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</si>
</sst>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€&quot;\ * #,##0.00_ ;_ &quot;€&quot;\ * \-#,##0.00_ ;_ &quot;€&quot;\ * &quot;-&quot;??_ ;_ @_ "/>
    <numFmt numFmtId="164" formatCode="_ [$€-2]\ * #,##0.00_ ;_ [$€-2]\ * \-#,##0.00_ ;_ [$€-2]\ * &quot;-&quot;??_ ;_ @_ "/>
    <numFmt numFmtId="165" formatCode="0.0%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/>
      <top style="thin">
        <color theme="4"/>
      </top>
      <bottom/>
      <diagonal/>
    </border>
    <border>
      <left/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/>
      <top style="thin">
        <color theme="4"/>
      </top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center"/>
    </xf>
    <xf numFmtId="44" fontId="0" fillId="0" borderId="0" xfId="1" applyFont="1" applyAlignment="1">
      <alignment horizontal="center"/>
    </xf>
    <xf numFmtId="0" fontId="0" fillId="2" borderId="0" xfId="0" applyFill="1"/>
    <xf numFmtId="0" fontId="0" fillId="3" borderId="0" xfId="0" applyFill="1"/>
    <xf numFmtId="44" fontId="0" fillId="0" borderId="4" xfId="0" applyNumberFormat="1" applyBorder="1"/>
    <xf numFmtId="44" fontId="0" fillId="0" borderId="0" xfId="0" applyNumberFormat="1"/>
    <xf numFmtId="44" fontId="0" fillId="0" borderId="6" xfId="0" applyNumberFormat="1" applyBorder="1"/>
    <xf numFmtId="44" fontId="0" fillId="0" borderId="7" xfId="0" applyNumberFormat="1" applyBorder="1"/>
    <xf numFmtId="44" fontId="0" fillId="0" borderId="4" xfId="1" applyFont="1" applyBorder="1"/>
    <xf numFmtId="44" fontId="0" fillId="0" borderId="0" xfId="1" applyFont="1" applyBorder="1"/>
    <xf numFmtId="44" fontId="0" fillId="0" borderId="5" xfId="1" applyFont="1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0" fillId="0" borderId="4" xfId="0" applyNumberFormat="1" applyBorder="1"/>
    <xf numFmtId="2" fontId="0" fillId="0" borderId="0" xfId="0" applyNumberFormat="1"/>
    <xf numFmtId="2" fontId="0" fillId="0" borderId="5" xfId="0" applyNumberFormat="1" applyBorder="1"/>
    <xf numFmtId="1" fontId="0" fillId="0" borderId="4" xfId="0" applyNumberFormat="1" applyBorder="1"/>
    <xf numFmtId="1" fontId="0" fillId="0" borderId="0" xfId="0" applyNumberFormat="1"/>
    <xf numFmtId="1" fontId="0" fillId="0" borderId="5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" fontId="0" fillId="0" borderId="8" xfId="0" applyNumberFormat="1" applyBorder="1"/>
    <xf numFmtId="44" fontId="0" fillId="0" borderId="1" xfId="1" applyFont="1" applyBorder="1"/>
    <xf numFmtId="44" fontId="0" fillId="0" borderId="2" xfId="1" applyFont="1" applyBorder="1"/>
    <xf numFmtId="44" fontId="0" fillId="0" borderId="3" xfId="1" applyFont="1" applyBorder="1"/>
    <xf numFmtId="1" fontId="0" fillId="0" borderId="9" xfId="0" applyNumberFormat="1" applyBorder="1"/>
    <xf numFmtId="0" fontId="2" fillId="0" borderId="5" xfId="0" applyFont="1" applyBorder="1"/>
    <xf numFmtId="0" fontId="2" fillId="0" borderId="4" xfId="0" applyFont="1" applyBorder="1"/>
    <xf numFmtId="0" fontId="2" fillId="0" borderId="0" xfId="0" applyFont="1"/>
    <xf numFmtId="0" fontId="2" fillId="0" borderId="9" xfId="0" applyFont="1" applyBorder="1"/>
    <xf numFmtId="0" fontId="3" fillId="0" borderId="5" xfId="0" applyFont="1" applyBorder="1"/>
    <xf numFmtId="0" fontId="3" fillId="0" borderId="4" xfId="0" applyFont="1" applyBorder="1" applyAlignment="1">
      <alignment textRotation="45"/>
    </xf>
    <xf numFmtId="0" fontId="3" fillId="0" borderId="0" xfId="0" applyFont="1" applyAlignment="1">
      <alignment textRotation="45"/>
    </xf>
    <xf numFmtId="0" fontId="3" fillId="0" borderId="5" xfId="0" applyFont="1" applyBorder="1" applyAlignment="1">
      <alignment textRotation="45"/>
    </xf>
    <xf numFmtId="0" fontId="3" fillId="0" borderId="9" xfId="0" applyFont="1" applyBorder="1" applyAlignment="1">
      <alignment textRotation="45"/>
    </xf>
    <xf numFmtId="0" fontId="3" fillId="0" borderId="0" xfId="0" applyFont="1"/>
    <xf numFmtId="1" fontId="3" fillId="0" borderId="4" xfId="0" applyNumberFormat="1" applyFont="1" applyBorder="1"/>
    <xf numFmtId="1" fontId="3" fillId="0" borderId="0" xfId="0" applyNumberFormat="1" applyFont="1"/>
    <xf numFmtId="1" fontId="3" fillId="0" borderId="5" xfId="0" applyNumberFormat="1" applyFont="1" applyBorder="1"/>
    <xf numFmtId="0" fontId="3" fillId="0" borderId="9" xfId="0" applyFont="1" applyBorder="1"/>
    <xf numFmtId="0" fontId="3" fillId="0" borderId="4" xfId="0" applyFont="1" applyBorder="1"/>
    <xf numFmtId="44" fontId="3" fillId="0" borderId="4" xfId="0" applyNumberFormat="1" applyFont="1" applyBorder="1"/>
    <xf numFmtId="44" fontId="3" fillId="0" borderId="0" xfId="0" applyNumberFormat="1" applyFont="1"/>
    <xf numFmtId="44" fontId="3" fillId="0" borderId="5" xfId="0" applyNumberFormat="1" applyFont="1" applyBorder="1"/>
    <xf numFmtId="44" fontId="3" fillId="0" borderId="4" xfId="1" applyFont="1" applyBorder="1"/>
    <xf numFmtId="44" fontId="3" fillId="0" borderId="0" xfId="1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2" applyNumberFormat="1" applyFont="1" applyAlignment="1">
      <alignment horizontal="center"/>
    </xf>
    <xf numFmtId="9" fontId="3" fillId="0" borderId="0" xfId="2" applyFont="1"/>
    <xf numFmtId="44" fontId="3" fillId="0" borderId="0" xfId="1" applyFont="1" applyAlignment="1">
      <alignment horizontal="center"/>
    </xf>
    <xf numFmtId="0" fontId="7" fillId="0" borderId="0" xfId="0" applyFont="1"/>
    <xf numFmtId="10" fontId="3" fillId="0" borderId="0" xfId="2" applyNumberFormat="1" applyFont="1" applyAlignment="1">
      <alignment horizontal="center"/>
    </xf>
    <xf numFmtId="0" fontId="4" fillId="4" borderId="20" xfId="0" applyFont="1" applyFill="1" applyBorder="1"/>
    <xf numFmtId="0" fontId="4" fillId="4" borderId="11" xfId="0" applyFont="1" applyFill="1" applyBorder="1"/>
    <xf numFmtId="0" fontId="4" fillId="4" borderId="18" xfId="0" applyFont="1" applyFill="1" applyBorder="1"/>
    <xf numFmtId="0" fontId="3" fillId="0" borderId="20" xfId="0" applyFont="1" applyBorder="1"/>
    <xf numFmtId="0" fontId="3" fillId="0" borderId="11" xfId="0" applyFont="1" applyBorder="1"/>
    <xf numFmtId="0" fontId="3" fillId="0" borderId="21" xfId="0" applyFont="1" applyBorder="1"/>
    <xf numFmtId="0" fontId="3" fillId="0" borderId="16" xfId="0" applyFont="1" applyBorder="1"/>
    <xf numFmtId="164" fontId="3" fillId="0" borderId="11" xfId="0" applyNumberFormat="1" applyFont="1" applyBorder="1" applyAlignment="1">
      <alignment horizontal="center"/>
    </xf>
    <xf numFmtId="10" fontId="3" fillId="0" borderId="11" xfId="2" applyNumberFormat="1" applyFont="1" applyBorder="1" applyAlignment="1">
      <alignment horizontal="center"/>
    </xf>
    <xf numFmtId="10" fontId="3" fillId="0" borderId="18" xfId="2" applyNumberFormat="1" applyFont="1" applyBorder="1" applyAlignment="1">
      <alignment horizontal="center"/>
    </xf>
    <xf numFmtId="164" fontId="3" fillId="0" borderId="16" xfId="0" applyNumberFormat="1" applyFont="1" applyBorder="1" applyAlignment="1">
      <alignment horizontal="center"/>
    </xf>
    <xf numFmtId="10" fontId="3" fillId="0" borderId="16" xfId="2" applyNumberFormat="1" applyFont="1" applyBorder="1" applyAlignment="1">
      <alignment horizontal="center"/>
    </xf>
    <xf numFmtId="10" fontId="3" fillId="0" borderId="19" xfId="2" applyNumberFormat="1" applyFont="1" applyBorder="1" applyAlignment="1">
      <alignment horizontal="center"/>
    </xf>
    <xf numFmtId="166" fontId="0" fillId="0" borderId="0" xfId="0" applyNumberFormat="1"/>
    <xf numFmtId="10" fontId="3" fillId="0" borderId="0" xfId="2" applyNumberFormat="1" applyFont="1" applyBorder="1" applyAlignment="1">
      <alignment horizontal="center"/>
    </xf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3" fillId="0" borderId="12" xfId="0" applyFont="1" applyBorder="1"/>
    <xf numFmtId="0" fontId="3" fillId="0" borderId="14" xfId="0" applyFont="1" applyBorder="1"/>
    <xf numFmtId="0" fontId="3" fillId="0" borderId="15" xfId="0" applyFont="1" applyBorder="1"/>
    <xf numFmtId="164" fontId="3" fillId="0" borderId="15" xfId="0" applyNumberFormat="1" applyFont="1" applyBorder="1" applyAlignment="1">
      <alignment horizontal="center"/>
    </xf>
    <xf numFmtId="10" fontId="3" fillId="0" borderId="15" xfId="2" applyNumberFormat="1" applyFont="1" applyBorder="1" applyAlignment="1">
      <alignment horizontal="center"/>
    </xf>
    <xf numFmtId="165" fontId="7" fillId="0" borderId="0" xfId="2" applyNumberFormat="1" applyFont="1" applyBorder="1" applyAlignment="1">
      <alignment horizontal="center"/>
    </xf>
    <xf numFmtId="44" fontId="3" fillId="0" borderId="0" xfId="1" applyFont="1" applyBorder="1" applyAlignment="1">
      <alignment horizontal="center"/>
    </xf>
    <xf numFmtId="165" fontId="3" fillId="0" borderId="0" xfId="2" applyNumberFormat="1" applyFont="1" applyBorder="1" applyAlignment="1">
      <alignment horizontal="center"/>
    </xf>
    <xf numFmtId="44" fontId="8" fillId="0" borderId="0" xfId="2" applyNumberFormat="1" applyFont="1"/>
    <xf numFmtId="165" fontId="9" fillId="0" borderId="0" xfId="2" applyNumberFormat="1" applyFont="1" applyAlignment="1">
      <alignment horizontal="center"/>
    </xf>
    <xf numFmtId="165" fontId="8" fillId="0" borderId="0" xfId="2" applyNumberFormat="1" applyFont="1" applyAlignment="1">
      <alignment horizontal="center"/>
    </xf>
    <xf numFmtId="44" fontId="8" fillId="0" borderId="11" xfId="2" applyNumberFormat="1" applyFont="1" applyBorder="1"/>
    <xf numFmtId="44" fontId="8" fillId="0" borderId="15" xfId="2" applyNumberFormat="1" applyFont="1" applyBorder="1"/>
    <xf numFmtId="165" fontId="3" fillId="0" borderId="11" xfId="2" applyNumberFormat="1" applyFont="1" applyBorder="1" applyAlignment="1">
      <alignment horizontal="center"/>
    </xf>
    <xf numFmtId="165" fontId="8" fillId="0" borderId="0" xfId="2" applyNumberFormat="1" applyFont="1" applyBorder="1" applyAlignment="1">
      <alignment horizontal="center"/>
    </xf>
    <xf numFmtId="165" fontId="3" fillId="0" borderId="13" xfId="2" applyNumberFormat="1" applyFont="1" applyBorder="1" applyAlignment="1">
      <alignment horizontal="center"/>
    </xf>
    <xf numFmtId="165" fontId="3" fillId="0" borderId="15" xfId="2" applyNumberFormat="1" applyFont="1" applyBorder="1" applyAlignment="1">
      <alignment horizontal="center"/>
    </xf>
    <xf numFmtId="165" fontId="3" fillId="0" borderId="17" xfId="2" applyNumberFormat="1" applyFont="1" applyBorder="1" applyAlignment="1">
      <alignment horizontal="center"/>
    </xf>
    <xf numFmtId="165" fontId="3" fillId="0" borderId="0" xfId="2" applyNumberFormat="1" applyFont="1"/>
    <xf numFmtId="165" fontId="3" fillId="0" borderId="0" xfId="0" applyNumberFormat="1" applyFont="1"/>
    <xf numFmtId="165" fontId="4" fillId="4" borderId="2" xfId="0" applyNumberFormat="1" applyFont="1" applyFill="1" applyBorder="1"/>
    <xf numFmtId="165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 &quot;€&quot;\ * #,##0.00_ ;_ &quot;€&quot;\ * \-#,##0.00_ ;_ &quot;€&quot;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 &quot;€&quot;\ * #,##0.00_ ;_ &quot;€&quot;\ * \-#,##0.00_ ;_ &quot;€&quot;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 &quot;€&quot;\ * #,##0.00_ ;_ &quot;€&quot;\ * \-#,##0.00_ ;_ &quot;€&quot;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 &quot;€&quot;\ * #,##0.00_ ;_ &quot;€&quot;\ * \-#,##0.00_ ;_ &quot;€&quot;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2" formatCode="0.0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2" formatCode="0.00"/>
    </dxf>
    <dxf>
      <numFmt numFmtId="2" formatCode="0.00"/>
    </dxf>
    <dxf>
      <numFmt numFmtId="2" formatCode="0.0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" formatCode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2" formatCode="0.0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2" formatCode="0.00"/>
    </dxf>
    <dxf>
      <numFmt numFmtId="2" formatCode="0.00"/>
    </dxf>
    <dxf>
      <numFmt numFmtId="2" formatCode="0.0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" formatCode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2" formatCode="0.0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2" formatCode="0.00"/>
    </dxf>
    <dxf>
      <numFmt numFmtId="2" formatCode="0.00"/>
    </dxf>
    <dxf>
      <numFmt numFmtId="2" formatCode="0.0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 &quot;€&quot;\ * #,##0.00_ ;_ &quot;€&quot;\ * \-#,##0.00_ ;_ &quot;€&quot;\ * &quot;-&quot;??_ ;_ @_ 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" formatCode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" formatCode="0"/>
    </dxf>
    <dxf>
      <numFmt numFmtId="1" formatCode="0"/>
    </dxf>
    <dxf>
      <numFmt numFmtId="1" formatCode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" formatCode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" formatCode="0"/>
    </dxf>
    <dxf>
      <numFmt numFmtId="1" formatCode="0"/>
    </dxf>
    <dxf>
      <numFmt numFmtId="1" formatCode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 &quot;€&quot;\ * #,##0.00_ ;_ &quot;€&quot;\ * \-#,##0.00_ ;_ &quot;€&quot;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" formatCode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" formatCode="0"/>
    </dxf>
    <dxf>
      <numFmt numFmtId="1" formatCode="0"/>
    </dxf>
    <dxf>
      <numFmt numFmtId="1" formatCode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" formatCode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" formatCode="0"/>
    </dxf>
    <dxf>
      <numFmt numFmtId="1" formatCode="0"/>
    </dxf>
    <dxf>
      <numFmt numFmtId="1" formatCode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2" formatCode="0.0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2" formatCode="0.00"/>
    </dxf>
    <dxf>
      <numFmt numFmtId="2" formatCode="0.00"/>
    </dxf>
    <dxf>
      <numFmt numFmtId="2" formatCode="0.0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" formatCode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2" formatCode="0.0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2" formatCode="0.00"/>
    </dxf>
    <dxf>
      <numFmt numFmtId="2" formatCode="0.00"/>
    </dxf>
    <dxf>
      <numFmt numFmtId="2" formatCode="0.0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" formatCode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2" formatCode="0.0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2" formatCode="0.00"/>
    </dxf>
    <dxf>
      <numFmt numFmtId="2" formatCode="0.00"/>
    </dxf>
    <dxf>
      <numFmt numFmtId="2" formatCode="0.0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 &quot;€&quot;\ * #,##0.00_ ;_ &quot;€&quot;\ * \-#,##0.00_ ;_ &quot;€&quot;\ * &quot;-&quot;??_ ;_ @_ 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 &quot;€&quot;\ * #,##0.00_ ;_ &quot;€&quot;\ * \-#,##0.00_ ;_ &quot;€&quot;\ * &quot;-&quot;??_ ;_ @_ 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 &quot;€&quot;\ * #,##0.00_ ;_ &quot;€&quot;\ * \-#,##0.00_ ;_ &quot;€&quot;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 &quot;€&quot;\ * #,##0.00_ ;_ &quot;€&quot;\ * \-#,##0.00_ ;_ &quot;€&quot;\ * &quot;-&quot;??_ ;_ @_ 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 &quot;€&quot;\ * #,##0.00_ ;_ &quot;€&quot;\ * \-#,##0.00_ ;_ &quot;€&quot;\ * &quot;-&quot;??_ ;_ @_ 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 &quot;€&quot;\ * #,##0.00_ ;_ &quot;€&quot;\ * \-#,##0.00_ ;_ &quot;€&quot;\ * &quot;-&quot;??_ ;_ @_ 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 &quot;€&quot;\ * #,##0.00_ ;_ &quot;€&quot;\ * \-#,##0.00_ ;_ &quot;€&quot;\ * &quot;-&quot;??_ ;_ @_ 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 &quot;€&quot;\ * #,##0.00_ ;_ &quot;€&quot;\ * \-#,##0.00_ ;_ &quot;€&quot;\ * &quot;-&quot;??_ ;_ @_ 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 &quot;€&quot;\ * #,##0.00_ ;_ &quot;€&quot;\ * \-#,##0.00_ ;_ &quot;€&quot;\ * &quot;-&quot;??_ ;_ @_ 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 &quot;€&quot;\ * #,##0.00_ ;_ &quot;€&quot;\ * \-#,##0.00_ ;_ &quot;€&quot;\ * &quot;-&quot;??_ ;_ @_ 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 &quot;€&quot;\ * #,##0.00_ ;_ &quot;€&quot;\ * \-#,##0.00_ ;_ &quot;€&quot;\ * &quot;-&quot;??_ ;_ @_ 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 &quot;€&quot;\ * #,##0.00_ ;_ &quot;€&quot;\ * \-#,##0.00_ ;_ &quot;€&quot;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1"/>
        <color theme="1"/>
        <name val="Times New Roman"/>
        <family val="1"/>
        <scheme val="none"/>
      </font>
      <numFmt numFmtId="164" formatCode="_ [$€-2]\ * #,##0.00_ ;_ [$€-2]\ * \-#,##0.00_ ;_ [$€-2]\ * &quot;-&quot;??_ ;_ @_ 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1"/>
        <color theme="1"/>
        <name val="Times New Roman"/>
        <family val="1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9900CC"/>
      <color rgb="FFFF00FF"/>
      <color rgb="FFCC00CC"/>
      <color rgb="FF33CCCC"/>
      <color rgb="FF80C47E"/>
      <color rgb="FF4B9795"/>
      <color rgb="FF42A075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'Totals All'!$B$1</c:f>
              <c:strCache>
                <c:ptCount val="1"/>
                <c:pt idx="0">
                  <c:v>I Baseline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All'!$B$2:$B$38</c:f>
              <c:numCache>
                <c:formatCode>0</c:formatCode>
                <c:ptCount val="37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44</c:v>
                </c:pt>
                <c:pt idx="6">
                  <c:v>40</c:v>
                </c:pt>
                <c:pt idx="7">
                  <c:v>44</c:v>
                </c:pt>
                <c:pt idx="8">
                  <c:v>44</c:v>
                </c:pt>
                <c:pt idx="9">
                  <c:v>35</c:v>
                </c:pt>
                <c:pt idx="10">
                  <c:v>27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16</c:v>
                </c:pt>
                <c:pt idx="21">
                  <c:v>47</c:v>
                </c:pt>
                <c:pt idx="22">
                  <c:v>60</c:v>
                </c:pt>
                <c:pt idx="23">
                  <c:v>72</c:v>
                </c:pt>
                <c:pt idx="24">
                  <c:v>77</c:v>
                </c:pt>
                <c:pt idx="25">
                  <c:v>77</c:v>
                </c:pt>
                <c:pt idx="26">
                  <c:v>78</c:v>
                </c:pt>
                <c:pt idx="27">
                  <c:v>75</c:v>
                </c:pt>
                <c:pt idx="28">
                  <c:v>68</c:v>
                </c:pt>
                <c:pt idx="29">
                  <c:v>62</c:v>
                </c:pt>
                <c:pt idx="30">
                  <c:v>52</c:v>
                </c:pt>
                <c:pt idx="31">
                  <c:v>42</c:v>
                </c:pt>
                <c:pt idx="32">
                  <c:v>32</c:v>
                </c:pt>
                <c:pt idx="33">
                  <c:v>27</c:v>
                </c:pt>
                <c:pt idx="34">
                  <c:v>16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A-484E-B3A2-7574B05781BA}"/>
            </c:ext>
          </c:extLst>
        </c:ser>
        <c:ser>
          <c:idx val="2"/>
          <c:order val="2"/>
          <c:tx>
            <c:strRef>
              <c:f>'Totals All'!$C$1</c:f>
              <c:strCache>
                <c:ptCount val="1"/>
                <c:pt idx="0">
                  <c:v>I ELV</c:v>
                </c:pt>
              </c:strCache>
            </c:strRef>
          </c:tx>
          <c:spPr>
            <a:ln w="28575" cap="rnd">
              <a:solidFill>
                <a:srgbClr val="80C47E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All'!$C$2:$C$38</c:f>
              <c:numCache>
                <c:formatCode>0</c:formatCode>
                <c:ptCount val="37"/>
                <c:pt idx="0">
                  <c:v>48</c:v>
                </c:pt>
                <c:pt idx="1">
                  <c:v>48</c:v>
                </c:pt>
                <c:pt idx="2">
                  <c:v>68</c:v>
                </c:pt>
                <c:pt idx="3">
                  <c:v>48</c:v>
                </c:pt>
                <c:pt idx="4">
                  <c:v>48</c:v>
                </c:pt>
                <c:pt idx="5">
                  <c:v>44</c:v>
                </c:pt>
                <c:pt idx="6">
                  <c:v>44</c:v>
                </c:pt>
                <c:pt idx="7">
                  <c:v>53</c:v>
                </c:pt>
                <c:pt idx="8">
                  <c:v>43</c:v>
                </c:pt>
                <c:pt idx="9">
                  <c:v>33</c:v>
                </c:pt>
                <c:pt idx="10">
                  <c:v>26</c:v>
                </c:pt>
                <c:pt idx="11">
                  <c:v>29</c:v>
                </c:pt>
                <c:pt idx="12">
                  <c:v>35</c:v>
                </c:pt>
                <c:pt idx="13">
                  <c:v>38</c:v>
                </c:pt>
                <c:pt idx="14">
                  <c:v>51</c:v>
                </c:pt>
                <c:pt idx="15">
                  <c:v>57</c:v>
                </c:pt>
                <c:pt idx="16">
                  <c:v>47</c:v>
                </c:pt>
                <c:pt idx="17">
                  <c:v>33</c:v>
                </c:pt>
                <c:pt idx="18">
                  <c:v>33</c:v>
                </c:pt>
                <c:pt idx="19">
                  <c:v>39</c:v>
                </c:pt>
                <c:pt idx="20">
                  <c:v>52</c:v>
                </c:pt>
                <c:pt idx="21">
                  <c:v>56</c:v>
                </c:pt>
                <c:pt idx="22">
                  <c:v>51</c:v>
                </c:pt>
                <c:pt idx="23">
                  <c:v>35</c:v>
                </c:pt>
                <c:pt idx="24">
                  <c:v>30</c:v>
                </c:pt>
                <c:pt idx="25">
                  <c:v>44</c:v>
                </c:pt>
                <c:pt idx="26">
                  <c:v>46</c:v>
                </c:pt>
                <c:pt idx="27">
                  <c:v>52</c:v>
                </c:pt>
                <c:pt idx="28">
                  <c:v>56</c:v>
                </c:pt>
                <c:pt idx="29">
                  <c:v>30</c:v>
                </c:pt>
                <c:pt idx="30">
                  <c:v>36</c:v>
                </c:pt>
                <c:pt idx="31">
                  <c:v>38</c:v>
                </c:pt>
                <c:pt idx="32">
                  <c:v>52</c:v>
                </c:pt>
                <c:pt idx="33">
                  <c:v>57</c:v>
                </c:pt>
                <c:pt idx="34">
                  <c:v>40</c:v>
                </c:pt>
                <c:pt idx="35">
                  <c:v>38</c:v>
                </c:pt>
                <c:pt idx="36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5A-484E-B3A2-7574B05781BA}"/>
            </c:ext>
          </c:extLst>
        </c:ser>
        <c:ser>
          <c:idx val="3"/>
          <c:order val="3"/>
          <c:tx>
            <c:strRef>
              <c:f>'Totals All'!$D$1</c:f>
              <c:strCache>
                <c:ptCount val="1"/>
                <c:pt idx="0">
                  <c:v>I CRP</c:v>
                </c:pt>
              </c:strCache>
            </c:strRef>
          </c:tx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All'!$D$2:$D$38</c:f>
              <c:numCache>
                <c:formatCode>0</c:formatCode>
                <c:ptCount val="37"/>
                <c:pt idx="0">
                  <c:v>48</c:v>
                </c:pt>
                <c:pt idx="1">
                  <c:v>48</c:v>
                </c:pt>
                <c:pt idx="2">
                  <c:v>59.6</c:v>
                </c:pt>
                <c:pt idx="3">
                  <c:v>51.199999999999996</c:v>
                </c:pt>
                <c:pt idx="4">
                  <c:v>44.400000000000006</c:v>
                </c:pt>
                <c:pt idx="5">
                  <c:v>43.2</c:v>
                </c:pt>
                <c:pt idx="6">
                  <c:v>42.8</c:v>
                </c:pt>
                <c:pt idx="7">
                  <c:v>47.699999999999996</c:v>
                </c:pt>
                <c:pt idx="8">
                  <c:v>42.8</c:v>
                </c:pt>
                <c:pt idx="9">
                  <c:v>31</c:v>
                </c:pt>
                <c:pt idx="10">
                  <c:v>30.299999999999997</c:v>
                </c:pt>
                <c:pt idx="11">
                  <c:v>30.9</c:v>
                </c:pt>
                <c:pt idx="12">
                  <c:v>36.5</c:v>
                </c:pt>
                <c:pt idx="13">
                  <c:v>48.4</c:v>
                </c:pt>
                <c:pt idx="14">
                  <c:v>54.5</c:v>
                </c:pt>
                <c:pt idx="15">
                  <c:v>51.7</c:v>
                </c:pt>
                <c:pt idx="16">
                  <c:v>36.900000000000006</c:v>
                </c:pt>
                <c:pt idx="17">
                  <c:v>32.4</c:v>
                </c:pt>
                <c:pt idx="18">
                  <c:v>38.9</c:v>
                </c:pt>
                <c:pt idx="19">
                  <c:v>48.1</c:v>
                </c:pt>
                <c:pt idx="20">
                  <c:v>58.7</c:v>
                </c:pt>
                <c:pt idx="21">
                  <c:v>54.2</c:v>
                </c:pt>
                <c:pt idx="22">
                  <c:v>36.299999999999997</c:v>
                </c:pt>
                <c:pt idx="23">
                  <c:v>33.5</c:v>
                </c:pt>
                <c:pt idx="24">
                  <c:v>40.9</c:v>
                </c:pt>
                <c:pt idx="25">
                  <c:v>51.199999999999996</c:v>
                </c:pt>
                <c:pt idx="26">
                  <c:v>56</c:v>
                </c:pt>
                <c:pt idx="27">
                  <c:v>49.8</c:v>
                </c:pt>
                <c:pt idx="28">
                  <c:v>35.400000000000006</c:v>
                </c:pt>
                <c:pt idx="29">
                  <c:v>35.700000000000003</c:v>
                </c:pt>
                <c:pt idx="30">
                  <c:v>40.400000000000006</c:v>
                </c:pt>
                <c:pt idx="31">
                  <c:v>51.099999999999994</c:v>
                </c:pt>
                <c:pt idx="32">
                  <c:v>55.4</c:v>
                </c:pt>
                <c:pt idx="33">
                  <c:v>44.8</c:v>
                </c:pt>
                <c:pt idx="34">
                  <c:v>37.200000000000003</c:v>
                </c:pt>
                <c:pt idx="35">
                  <c:v>36.699999999999996</c:v>
                </c:pt>
                <c:pt idx="36">
                  <c:v>42.9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5A-484E-B3A2-7574B05781BA}"/>
            </c:ext>
          </c:extLst>
        </c:ser>
        <c:ser>
          <c:idx val="4"/>
          <c:order val="4"/>
          <c:tx>
            <c:strRef>
              <c:f>'Totals All'!$E$1</c:f>
              <c:strCache>
                <c:ptCount val="1"/>
                <c:pt idx="0">
                  <c:v>I DQN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All'!$E$2:$E$38</c:f>
              <c:numCache>
                <c:formatCode>0</c:formatCode>
                <c:ptCount val="37"/>
                <c:pt idx="0">
                  <c:v>48</c:v>
                </c:pt>
                <c:pt idx="1">
                  <c:v>48</c:v>
                </c:pt>
                <c:pt idx="2">
                  <c:v>32</c:v>
                </c:pt>
                <c:pt idx="3">
                  <c:v>16</c:v>
                </c:pt>
                <c:pt idx="4">
                  <c:v>10</c:v>
                </c:pt>
                <c:pt idx="5">
                  <c:v>8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11</c:v>
                </c:pt>
                <c:pt idx="13">
                  <c:v>27</c:v>
                </c:pt>
                <c:pt idx="14">
                  <c:v>44</c:v>
                </c:pt>
                <c:pt idx="15">
                  <c:v>57</c:v>
                </c:pt>
                <c:pt idx="16">
                  <c:v>68</c:v>
                </c:pt>
                <c:pt idx="17">
                  <c:v>71</c:v>
                </c:pt>
                <c:pt idx="18">
                  <c:v>66</c:v>
                </c:pt>
                <c:pt idx="19">
                  <c:v>56</c:v>
                </c:pt>
                <c:pt idx="20">
                  <c:v>42</c:v>
                </c:pt>
                <c:pt idx="21">
                  <c:v>28</c:v>
                </c:pt>
                <c:pt idx="22">
                  <c:v>12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4</c:v>
                </c:pt>
                <c:pt idx="28">
                  <c:v>5</c:v>
                </c:pt>
                <c:pt idx="29">
                  <c:v>12</c:v>
                </c:pt>
                <c:pt idx="30">
                  <c:v>36</c:v>
                </c:pt>
                <c:pt idx="31">
                  <c:v>58</c:v>
                </c:pt>
                <c:pt idx="32">
                  <c:v>71</c:v>
                </c:pt>
                <c:pt idx="33">
                  <c:v>83</c:v>
                </c:pt>
                <c:pt idx="34">
                  <c:v>86</c:v>
                </c:pt>
                <c:pt idx="35">
                  <c:v>80</c:v>
                </c:pt>
                <c:pt idx="36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62-48E0-BD61-91C5B8755B4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'Totals All'!$A$1</c15:sqref>
                        </c15:formulaRef>
                      </c:ext>
                    </c:extLst>
                    <c:strCache>
                      <c:ptCount val="1"/>
                      <c:pt idx="0">
                        <c:v>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ormulaRef>
                          <c15:sqref>'Totals All'!$A$2:$A$38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'Totals All'!$A$2:$A$38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D5A-484E-B3A2-7574B05781BA}"/>
                  </c:ext>
                </c:extLst>
              </c15:ser>
            </c15:filteredLineSeries>
          </c:ext>
        </c:extLst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Backlog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'Totals All'!$G$1</c:f>
              <c:strCache>
                <c:ptCount val="1"/>
                <c:pt idx="0">
                  <c:v>B Baseline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All'!$G$2:$G$38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9</c:v>
                </c:pt>
                <c:pt idx="10">
                  <c:v>19</c:v>
                </c:pt>
                <c:pt idx="11">
                  <c:v>29</c:v>
                </c:pt>
                <c:pt idx="12">
                  <c:v>54</c:v>
                </c:pt>
                <c:pt idx="13">
                  <c:v>77</c:v>
                </c:pt>
                <c:pt idx="14">
                  <c:v>120</c:v>
                </c:pt>
                <c:pt idx="15">
                  <c:v>153</c:v>
                </c:pt>
                <c:pt idx="16">
                  <c:v>189</c:v>
                </c:pt>
                <c:pt idx="17">
                  <c:v>193</c:v>
                </c:pt>
                <c:pt idx="18">
                  <c:v>178</c:v>
                </c:pt>
                <c:pt idx="19">
                  <c:v>136</c:v>
                </c:pt>
                <c:pt idx="20">
                  <c:v>108</c:v>
                </c:pt>
                <c:pt idx="21">
                  <c:v>84</c:v>
                </c:pt>
                <c:pt idx="22">
                  <c:v>47</c:v>
                </c:pt>
                <c:pt idx="23">
                  <c:v>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7</c:v>
                </c:pt>
                <c:pt idx="32">
                  <c:v>12</c:v>
                </c:pt>
                <c:pt idx="33">
                  <c:v>27</c:v>
                </c:pt>
                <c:pt idx="34">
                  <c:v>41</c:v>
                </c:pt>
                <c:pt idx="35">
                  <c:v>61</c:v>
                </c:pt>
                <c:pt idx="3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9-45DB-AC44-6635DF4EADBC}"/>
            </c:ext>
          </c:extLst>
        </c:ser>
        <c:ser>
          <c:idx val="2"/>
          <c:order val="2"/>
          <c:tx>
            <c:strRef>
              <c:f>'Totals All'!$H$1</c:f>
              <c:strCache>
                <c:ptCount val="1"/>
                <c:pt idx="0">
                  <c:v>B ELV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All'!$H$2:$H$38</c:f>
              <c:numCache>
                <c:formatCode>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1.5</c:v>
                </c:pt>
                <c:pt idx="10">
                  <c:v>1.3</c:v>
                </c:pt>
                <c:pt idx="11">
                  <c:v>9.1999999999999993</c:v>
                </c:pt>
                <c:pt idx="12">
                  <c:v>13.8</c:v>
                </c:pt>
                <c:pt idx="13">
                  <c:v>7.3</c:v>
                </c:pt>
                <c:pt idx="14">
                  <c:v>0.9</c:v>
                </c:pt>
                <c:pt idx="15">
                  <c:v>0.5</c:v>
                </c:pt>
                <c:pt idx="16">
                  <c:v>1.2</c:v>
                </c:pt>
                <c:pt idx="17">
                  <c:v>4.5999999999999996</c:v>
                </c:pt>
                <c:pt idx="18">
                  <c:v>9.8000000000000007</c:v>
                </c:pt>
                <c:pt idx="19">
                  <c:v>0.9</c:v>
                </c:pt>
                <c:pt idx="20">
                  <c:v>0</c:v>
                </c:pt>
                <c:pt idx="21">
                  <c:v>0</c:v>
                </c:pt>
                <c:pt idx="22">
                  <c:v>1.4</c:v>
                </c:pt>
                <c:pt idx="23">
                  <c:v>4.8</c:v>
                </c:pt>
                <c:pt idx="24">
                  <c:v>4.8</c:v>
                </c:pt>
                <c:pt idx="25">
                  <c:v>2.7</c:v>
                </c:pt>
                <c:pt idx="26">
                  <c:v>1.3</c:v>
                </c:pt>
                <c:pt idx="27">
                  <c:v>0.9</c:v>
                </c:pt>
                <c:pt idx="28">
                  <c:v>1</c:v>
                </c:pt>
                <c:pt idx="29">
                  <c:v>7.4</c:v>
                </c:pt>
                <c:pt idx="30">
                  <c:v>1.9</c:v>
                </c:pt>
                <c:pt idx="31">
                  <c:v>0.3</c:v>
                </c:pt>
                <c:pt idx="32">
                  <c:v>2.7</c:v>
                </c:pt>
                <c:pt idx="33">
                  <c:v>0.4</c:v>
                </c:pt>
                <c:pt idx="34">
                  <c:v>2.8000000000000003</c:v>
                </c:pt>
                <c:pt idx="35">
                  <c:v>4.2</c:v>
                </c:pt>
                <c:pt idx="36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C9-45DB-AC44-6635DF4EADBC}"/>
            </c:ext>
          </c:extLst>
        </c:ser>
        <c:ser>
          <c:idx val="3"/>
          <c:order val="3"/>
          <c:tx>
            <c:strRef>
              <c:f>'Totals All'!$I$1</c:f>
              <c:strCache>
                <c:ptCount val="1"/>
                <c:pt idx="0">
                  <c:v>B CRP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All'!$I$2:$I$38</c:f>
              <c:numCache>
                <c:formatCode>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</c:v>
                </c:pt>
                <c:pt idx="10">
                  <c:v>1</c:v>
                </c:pt>
                <c:pt idx="11">
                  <c:v>6.5</c:v>
                </c:pt>
                <c:pt idx="12">
                  <c:v>6.6</c:v>
                </c:pt>
                <c:pt idx="13">
                  <c:v>1.6</c:v>
                </c:pt>
                <c:pt idx="14">
                  <c:v>0</c:v>
                </c:pt>
                <c:pt idx="15">
                  <c:v>0.2</c:v>
                </c:pt>
                <c:pt idx="16">
                  <c:v>1.1000000000000001</c:v>
                </c:pt>
                <c:pt idx="17">
                  <c:v>7</c:v>
                </c:pt>
                <c:pt idx="18">
                  <c:v>8.9</c:v>
                </c:pt>
                <c:pt idx="19">
                  <c:v>1.8</c:v>
                </c:pt>
                <c:pt idx="20">
                  <c:v>0</c:v>
                </c:pt>
                <c:pt idx="21">
                  <c:v>0</c:v>
                </c:pt>
                <c:pt idx="22">
                  <c:v>2.5999999999999996</c:v>
                </c:pt>
                <c:pt idx="23">
                  <c:v>3.7</c:v>
                </c:pt>
                <c:pt idx="24">
                  <c:v>5.9</c:v>
                </c:pt>
                <c:pt idx="25">
                  <c:v>1</c:v>
                </c:pt>
                <c:pt idx="26">
                  <c:v>0</c:v>
                </c:pt>
                <c:pt idx="27">
                  <c:v>0.2</c:v>
                </c:pt>
                <c:pt idx="28">
                  <c:v>1.6</c:v>
                </c:pt>
                <c:pt idx="29">
                  <c:v>6.4</c:v>
                </c:pt>
                <c:pt idx="30">
                  <c:v>3</c:v>
                </c:pt>
                <c:pt idx="31">
                  <c:v>0</c:v>
                </c:pt>
                <c:pt idx="32">
                  <c:v>0</c:v>
                </c:pt>
                <c:pt idx="33">
                  <c:v>1.1000000000000001</c:v>
                </c:pt>
                <c:pt idx="34">
                  <c:v>5.3</c:v>
                </c:pt>
                <c:pt idx="35">
                  <c:v>3.8</c:v>
                </c:pt>
                <c:pt idx="3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C9-45DB-AC44-6635DF4EADBC}"/>
            </c:ext>
          </c:extLst>
        </c:ser>
        <c:ser>
          <c:idx val="4"/>
          <c:order val="4"/>
          <c:tx>
            <c:strRef>
              <c:f>'Totals All'!$J$1</c:f>
              <c:strCache>
                <c:ptCount val="1"/>
                <c:pt idx="0">
                  <c:v>B DQN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All'!$J$2:$J$38</c:f>
              <c:numCache>
                <c:formatCode>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7</c:v>
                </c:pt>
                <c:pt idx="7">
                  <c:v>10</c:v>
                </c:pt>
                <c:pt idx="8">
                  <c:v>12</c:v>
                </c:pt>
                <c:pt idx="9">
                  <c:v>14</c:v>
                </c:pt>
                <c:pt idx="10">
                  <c:v>13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4</c:v>
                </c:pt>
                <c:pt idx="23">
                  <c:v>15</c:v>
                </c:pt>
                <c:pt idx="24">
                  <c:v>25</c:v>
                </c:pt>
                <c:pt idx="25">
                  <c:v>34</c:v>
                </c:pt>
                <c:pt idx="26">
                  <c:v>32</c:v>
                </c:pt>
                <c:pt idx="27">
                  <c:v>28</c:v>
                </c:pt>
                <c:pt idx="28">
                  <c:v>16</c:v>
                </c:pt>
                <c:pt idx="29">
                  <c:v>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5-4043-BD41-3A3F866AFFA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'Totals All'!$F$1</c15:sqref>
                        </c15:formulaRef>
                      </c:ext>
                    </c:extLst>
                    <c:strCache>
                      <c:ptCount val="1"/>
                      <c:pt idx="0">
                        <c:v>t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ormulaRef>
                          <c15:sqref>'Totals All'!$A$2:$A$38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'Totals All'!$F$2:$F$38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8C9-45DB-AC44-6635DF4EADBC}"/>
                  </c:ext>
                </c:extLst>
              </c15:ser>
            </c15:filteredLineSeries>
          </c:ext>
        </c:extLst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'Totals All'!$L$1</c:f>
              <c:strCache>
                <c:ptCount val="1"/>
                <c:pt idx="0">
                  <c:v>O Baseline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All'!$L$2:$L$38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20</c:v>
                </c:pt>
                <c:pt idx="6">
                  <c:v>12</c:v>
                </c:pt>
                <c:pt idx="7">
                  <c:v>16</c:v>
                </c:pt>
                <c:pt idx="8">
                  <c:v>18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48</c:v>
                </c:pt>
                <c:pt idx="13">
                  <c:v>54</c:v>
                </c:pt>
                <c:pt idx="14">
                  <c:v>57</c:v>
                </c:pt>
                <c:pt idx="15">
                  <c:v>52</c:v>
                </c:pt>
                <c:pt idx="16">
                  <c:v>48</c:v>
                </c:pt>
                <c:pt idx="17">
                  <c:v>43</c:v>
                </c:pt>
                <c:pt idx="18">
                  <c:v>42</c:v>
                </c:pt>
                <c:pt idx="19">
                  <c:v>40</c:v>
                </c:pt>
                <c:pt idx="20">
                  <c:v>33</c:v>
                </c:pt>
                <c:pt idx="21">
                  <c:v>31</c:v>
                </c:pt>
                <c:pt idx="22">
                  <c:v>30</c:v>
                </c:pt>
                <c:pt idx="23">
                  <c:v>26</c:v>
                </c:pt>
                <c:pt idx="24">
                  <c:v>22</c:v>
                </c:pt>
                <c:pt idx="25">
                  <c:v>17</c:v>
                </c:pt>
                <c:pt idx="26">
                  <c:v>17</c:v>
                </c:pt>
                <c:pt idx="27">
                  <c:v>16</c:v>
                </c:pt>
                <c:pt idx="28">
                  <c:v>15</c:v>
                </c:pt>
                <c:pt idx="29">
                  <c:v>19</c:v>
                </c:pt>
                <c:pt idx="30">
                  <c:v>23</c:v>
                </c:pt>
                <c:pt idx="31">
                  <c:v>26</c:v>
                </c:pt>
                <c:pt idx="32">
                  <c:v>30</c:v>
                </c:pt>
                <c:pt idx="33">
                  <c:v>38</c:v>
                </c:pt>
                <c:pt idx="34">
                  <c:v>47</c:v>
                </c:pt>
                <c:pt idx="35">
                  <c:v>45</c:v>
                </c:pt>
                <c:pt idx="36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CA-49B2-84CF-7AB6BE749743}"/>
            </c:ext>
          </c:extLst>
        </c:ser>
        <c:ser>
          <c:idx val="2"/>
          <c:order val="2"/>
          <c:tx>
            <c:strRef>
              <c:f>'Totals All'!$M$1</c:f>
              <c:strCache>
                <c:ptCount val="1"/>
                <c:pt idx="0">
                  <c:v>O ELV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All'!$M$2:$M$38</c:f>
              <c:numCache>
                <c:formatCode>0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20</c:v>
                </c:pt>
                <c:pt idx="6">
                  <c:v>14.8</c:v>
                </c:pt>
                <c:pt idx="7">
                  <c:v>18.600000000000001</c:v>
                </c:pt>
                <c:pt idx="8">
                  <c:v>25.8</c:v>
                </c:pt>
                <c:pt idx="9">
                  <c:v>29.200000000000003</c:v>
                </c:pt>
                <c:pt idx="10">
                  <c:v>39.4</c:v>
                </c:pt>
                <c:pt idx="11">
                  <c:v>38.5</c:v>
                </c:pt>
                <c:pt idx="12">
                  <c:v>25.8</c:v>
                </c:pt>
                <c:pt idx="13">
                  <c:v>21.400000000000002</c:v>
                </c:pt>
                <c:pt idx="14">
                  <c:v>28.700000000000003</c:v>
                </c:pt>
                <c:pt idx="15">
                  <c:v>30.599999999999998</c:v>
                </c:pt>
                <c:pt idx="16">
                  <c:v>35.6</c:v>
                </c:pt>
                <c:pt idx="17">
                  <c:v>38.099999999999994</c:v>
                </c:pt>
                <c:pt idx="18">
                  <c:v>25.5</c:v>
                </c:pt>
                <c:pt idx="19">
                  <c:v>24.200000000000003</c:v>
                </c:pt>
                <c:pt idx="20">
                  <c:v>28.7</c:v>
                </c:pt>
                <c:pt idx="21">
                  <c:v>31.199999999999996</c:v>
                </c:pt>
                <c:pt idx="22">
                  <c:v>36.4</c:v>
                </c:pt>
                <c:pt idx="23">
                  <c:v>34.6</c:v>
                </c:pt>
                <c:pt idx="24">
                  <c:v>24.299999999999997</c:v>
                </c:pt>
                <c:pt idx="25">
                  <c:v>26.6</c:v>
                </c:pt>
                <c:pt idx="26">
                  <c:v>28.700000000000003</c:v>
                </c:pt>
                <c:pt idx="27">
                  <c:v>29.1</c:v>
                </c:pt>
                <c:pt idx="28">
                  <c:v>38.900000000000006</c:v>
                </c:pt>
                <c:pt idx="29">
                  <c:v>29.299999999999997</c:v>
                </c:pt>
                <c:pt idx="30">
                  <c:v>25.699999999999996</c:v>
                </c:pt>
                <c:pt idx="31">
                  <c:v>29.1</c:v>
                </c:pt>
                <c:pt idx="32">
                  <c:v>27.6</c:v>
                </c:pt>
                <c:pt idx="33">
                  <c:v>31.799999999999997</c:v>
                </c:pt>
                <c:pt idx="34">
                  <c:v>35.4</c:v>
                </c:pt>
                <c:pt idx="35">
                  <c:v>31.7</c:v>
                </c:pt>
                <c:pt idx="36">
                  <c:v>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CA-49B2-84CF-7AB6BE749743}"/>
            </c:ext>
          </c:extLst>
        </c:ser>
        <c:ser>
          <c:idx val="3"/>
          <c:order val="3"/>
          <c:tx>
            <c:strRef>
              <c:f>'Totals All'!$N$1</c:f>
              <c:strCache>
                <c:ptCount val="1"/>
                <c:pt idx="0">
                  <c:v>O CRP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All'!$N$2:$N$38</c:f>
              <c:numCache>
                <c:formatCode>0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20</c:v>
                </c:pt>
                <c:pt idx="6">
                  <c:v>15.7</c:v>
                </c:pt>
                <c:pt idx="7">
                  <c:v>17.599999999999998</c:v>
                </c:pt>
                <c:pt idx="8">
                  <c:v>25.9</c:v>
                </c:pt>
                <c:pt idx="9">
                  <c:v>29.4</c:v>
                </c:pt>
                <c:pt idx="10">
                  <c:v>41.4</c:v>
                </c:pt>
                <c:pt idx="11">
                  <c:v>37.799999999999997</c:v>
                </c:pt>
                <c:pt idx="12">
                  <c:v>26.200000000000003</c:v>
                </c:pt>
                <c:pt idx="13">
                  <c:v>22.1</c:v>
                </c:pt>
                <c:pt idx="14">
                  <c:v>27.299999999999997</c:v>
                </c:pt>
                <c:pt idx="15">
                  <c:v>32.300000000000004</c:v>
                </c:pt>
                <c:pt idx="16">
                  <c:v>43</c:v>
                </c:pt>
                <c:pt idx="17">
                  <c:v>39.6</c:v>
                </c:pt>
                <c:pt idx="18">
                  <c:v>25.6</c:v>
                </c:pt>
                <c:pt idx="19">
                  <c:v>24.4</c:v>
                </c:pt>
                <c:pt idx="20">
                  <c:v>27.4</c:v>
                </c:pt>
                <c:pt idx="21">
                  <c:v>34.1</c:v>
                </c:pt>
                <c:pt idx="22">
                  <c:v>39.4</c:v>
                </c:pt>
                <c:pt idx="23">
                  <c:v>36.1</c:v>
                </c:pt>
                <c:pt idx="24">
                  <c:v>27.5</c:v>
                </c:pt>
                <c:pt idx="25">
                  <c:v>23.799999999999997</c:v>
                </c:pt>
                <c:pt idx="26">
                  <c:v>29.200000000000003</c:v>
                </c:pt>
                <c:pt idx="27">
                  <c:v>33.199999999999996</c:v>
                </c:pt>
                <c:pt idx="28">
                  <c:v>39.9</c:v>
                </c:pt>
                <c:pt idx="29">
                  <c:v>33.5</c:v>
                </c:pt>
                <c:pt idx="30">
                  <c:v>24.5</c:v>
                </c:pt>
                <c:pt idx="31">
                  <c:v>26.5</c:v>
                </c:pt>
                <c:pt idx="32">
                  <c:v>30.5</c:v>
                </c:pt>
                <c:pt idx="33">
                  <c:v>35.799999999999997</c:v>
                </c:pt>
                <c:pt idx="34">
                  <c:v>36.299999999999997</c:v>
                </c:pt>
                <c:pt idx="35">
                  <c:v>29</c:v>
                </c:pt>
                <c:pt idx="36">
                  <c:v>28.1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CA-49B2-84CF-7AB6BE749743}"/>
            </c:ext>
          </c:extLst>
        </c:ser>
        <c:ser>
          <c:idx val="4"/>
          <c:order val="4"/>
          <c:tx>
            <c:strRef>
              <c:f>'Totals All'!$O$1</c:f>
              <c:strCache>
                <c:ptCount val="1"/>
                <c:pt idx="0">
                  <c:v>O DQN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All'!$O$2:$O$38</c:f>
              <c:numCache>
                <c:formatCode>0</c:formatCode>
                <c:ptCount val="37"/>
                <c:pt idx="0">
                  <c:v>0</c:v>
                </c:pt>
                <c:pt idx="1">
                  <c:v>18</c:v>
                </c:pt>
                <c:pt idx="2">
                  <c:v>26</c:v>
                </c:pt>
                <c:pt idx="3">
                  <c:v>34</c:v>
                </c:pt>
                <c:pt idx="4">
                  <c:v>39</c:v>
                </c:pt>
                <c:pt idx="5">
                  <c:v>46</c:v>
                </c:pt>
                <c:pt idx="6">
                  <c:v>49</c:v>
                </c:pt>
                <c:pt idx="7">
                  <c:v>51</c:v>
                </c:pt>
                <c:pt idx="8">
                  <c:v>52</c:v>
                </c:pt>
                <c:pt idx="9">
                  <c:v>51</c:v>
                </c:pt>
                <c:pt idx="10">
                  <c:v>50</c:v>
                </c:pt>
                <c:pt idx="11">
                  <c:v>44</c:v>
                </c:pt>
                <c:pt idx="12">
                  <c:v>37</c:v>
                </c:pt>
                <c:pt idx="13">
                  <c:v>26</c:v>
                </c:pt>
                <c:pt idx="14">
                  <c:v>16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14</c:v>
                </c:pt>
                <c:pt idx="19">
                  <c:v>17</c:v>
                </c:pt>
                <c:pt idx="20">
                  <c:v>25</c:v>
                </c:pt>
                <c:pt idx="21">
                  <c:v>36</c:v>
                </c:pt>
                <c:pt idx="22">
                  <c:v>49</c:v>
                </c:pt>
                <c:pt idx="23">
                  <c:v>58</c:v>
                </c:pt>
                <c:pt idx="24">
                  <c:v>62</c:v>
                </c:pt>
                <c:pt idx="25">
                  <c:v>61</c:v>
                </c:pt>
                <c:pt idx="26">
                  <c:v>56</c:v>
                </c:pt>
                <c:pt idx="27">
                  <c:v>53</c:v>
                </c:pt>
                <c:pt idx="28">
                  <c:v>45</c:v>
                </c:pt>
                <c:pt idx="29">
                  <c:v>34</c:v>
                </c:pt>
                <c:pt idx="30">
                  <c:v>22</c:v>
                </c:pt>
                <c:pt idx="31">
                  <c:v>9</c:v>
                </c:pt>
                <c:pt idx="32">
                  <c:v>5</c:v>
                </c:pt>
                <c:pt idx="33">
                  <c:v>5</c:v>
                </c:pt>
                <c:pt idx="34">
                  <c:v>7</c:v>
                </c:pt>
                <c:pt idx="35">
                  <c:v>11</c:v>
                </c:pt>
                <c:pt idx="3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9-455C-A674-258F4A0C47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'Totals All'!$K$1</c15:sqref>
                        </c15:formulaRef>
                      </c:ext>
                    </c:extLst>
                    <c:strCache>
                      <c:ptCount val="1"/>
                      <c:pt idx="0">
                        <c:v>t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ormulaRef>
                          <c15:sqref>'Totals All'!$A$2:$A$38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'Totals All'!$K$2:$K$38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7CA-49B2-84CF-7AB6BE749743}"/>
                  </c:ext>
                </c:extLst>
              </c15:ser>
            </c15:filteredLineSeries>
          </c:ext>
        </c:extLst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Holding Cost </a:t>
            </a:r>
          </a:p>
        </c:rich>
      </c:tx>
      <c:layout>
        <c:manualLayout>
          <c:xMode val="edge"/>
          <c:yMode val="edge"/>
          <c:x val="0.3191734470691163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'Totals All'!$Q$1</c:f>
              <c:strCache>
                <c:ptCount val="1"/>
                <c:pt idx="0">
                  <c:v>IHC Baseline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All'!$A$3:$A$38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'Totals All'!$Q$2:$Q$38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22</c:v>
                </c:pt>
                <c:pt idx="6">
                  <c:v>20</c:v>
                </c:pt>
                <c:pt idx="7">
                  <c:v>22</c:v>
                </c:pt>
                <c:pt idx="8">
                  <c:v>22</c:v>
                </c:pt>
                <c:pt idx="9">
                  <c:v>18</c:v>
                </c:pt>
                <c:pt idx="10">
                  <c:v>14</c:v>
                </c:pt>
                <c:pt idx="11">
                  <c:v>8</c:v>
                </c:pt>
                <c:pt idx="12">
                  <c:v>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</c:v>
                </c:pt>
                <c:pt idx="21">
                  <c:v>24</c:v>
                </c:pt>
                <c:pt idx="22">
                  <c:v>30</c:v>
                </c:pt>
                <c:pt idx="23">
                  <c:v>36</c:v>
                </c:pt>
                <c:pt idx="24">
                  <c:v>39</c:v>
                </c:pt>
                <c:pt idx="25">
                  <c:v>39</c:v>
                </c:pt>
                <c:pt idx="26">
                  <c:v>39</c:v>
                </c:pt>
                <c:pt idx="27">
                  <c:v>38</c:v>
                </c:pt>
                <c:pt idx="28">
                  <c:v>34</c:v>
                </c:pt>
                <c:pt idx="29">
                  <c:v>31</c:v>
                </c:pt>
                <c:pt idx="30">
                  <c:v>26</c:v>
                </c:pt>
                <c:pt idx="31">
                  <c:v>21</c:v>
                </c:pt>
                <c:pt idx="32">
                  <c:v>16</c:v>
                </c:pt>
                <c:pt idx="33">
                  <c:v>14</c:v>
                </c:pt>
                <c:pt idx="34">
                  <c:v>8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4E-43D6-9929-49699A80AC84}"/>
            </c:ext>
          </c:extLst>
        </c:ser>
        <c:ser>
          <c:idx val="2"/>
          <c:order val="2"/>
          <c:tx>
            <c:strRef>
              <c:f>'Totals All'!$R$1</c:f>
              <c:strCache>
                <c:ptCount val="1"/>
                <c:pt idx="0">
                  <c:v>IHC ELV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All'!$A$3:$A$38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'Totals All'!$R$2:$R$38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24</c:v>
                </c:pt>
                <c:pt idx="2">
                  <c:v>29</c:v>
                </c:pt>
                <c:pt idx="3">
                  <c:v>23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24</c:v>
                </c:pt>
                <c:pt idx="8">
                  <c:v>21</c:v>
                </c:pt>
                <c:pt idx="9">
                  <c:v>16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23</c:v>
                </c:pt>
                <c:pt idx="14">
                  <c:v>27</c:v>
                </c:pt>
                <c:pt idx="15">
                  <c:v>25</c:v>
                </c:pt>
                <c:pt idx="16">
                  <c:v>23</c:v>
                </c:pt>
                <c:pt idx="17">
                  <c:v>20</c:v>
                </c:pt>
                <c:pt idx="18">
                  <c:v>21</c:v>
                </c:pt>
                <c:pt idx="19">
                  <c:v>26</c:v>
                </c:pt>
                <c:pt idx="20">
                  <c:v>27</c:v>
                </c:pt>
                <c:pt idx="21">
                  <c:v>27</c:v>
                </c:pt>
                <c:pt idx="22">
                  <c:v>19</c:v>
                </c:pt>
                <c:pt idx="23">
                  <c:v>19</c:v>
                </c:pt>
                <c:pt idx="24">
                  <c:v>20</c:v>
                </c:pt>
                <c:pt idx="25">
                  <c:v>25</c:v>
                </c:pt>
                <c:pt idx="26">
                  <c:v>26</c:v>
                </c:pt>
                <c:pt idx="27">
                  <c:v>23</c:v>
                </c:pt>
                <c:pt idx="28">
                  <c:v>21</c:v>
                </c:pt>
                <c:pt idx="29">
                  <c:v>19</c:v>
                </c:pt>
                <c:pt idx="30">
                  <c:v>21</c:v>
                </c:pt>
                <c:pt idx="31">
                  <c:v>25</c:v>
                </c:pt>
                <c:pt idx="32">
                  <c:v>26</c:v>
                </c:pt>
                <c:pt idx="33">
                  <c:v>23</c:v>
                </c:pt>
                <c:pt idx="34">
                  <c:v>20</c:v>
                </c:pt>
                <c:pt idx="35">
                  <c:v>19</c:v>
                </c:pt>
                <c:pt idx="36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4E-43D6-9929-49699A80AC84}"/>
            </c:ext>
          </c:extLst>
        </c:ser>
        <c:ser>
          <c:idx val="3"/>
          <c:order val="3"/>
          <c:tx>
            <c:strRef>
              <c:f>'Totals All'!$S$1</c:f>
              <c:strCache>
                <c:ptCount val="1"/>
                <c:pt idx="0">
                  <c:v>IHC CRP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All'!$A$3:$A$38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'Totals All'!$S$2:$S$38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24</c:v>
                </c:pt>
                <c:pt idx="2">
                  <c:v>30</c:v>
                </c:pt>
                <c:pt idx="3">
                  <c:v>26</c:v>
                </c:pt>
                <c:pt idx="4">
                  <c:v>22</c:v>
                </c:pt>
                <c:pt idx="5">
                  <c:v>22</c:v>
                </c:pt>
                <c:pt idx="6">
                  <c:v>21</c:v>
                </c:pt>
                <c:pt idx="7">
                  <c:v>24</c:v>
                </c:pt>
                <c:pt idx="8">
                  <c:v>21</c:v>
                </c:pt>
                <c:pt idx="9">
                  <c:v>16</c:v>
                </c:pt>
                <c:pt idx="10">
                  <c:v>15</c:v>
                </c:pt>
                <c:pt idx="11">
                  <c:v>15</c:v>
                </c:pt>
                <c:pt idx="12">
                  <c:v>18</c:v>
                </c:pt>
                <c:pt idx="13">
                  <c:v>24</c:v>
                </c:pt>
                <c:pt idx="14">
                  <c:v>27</c:v>
                </c:pt>
                <c:pt idx="15">
                  <c:v>26</c:v>
                </c:pt>
                <c:pt idx="16">
                  <c:v>18</c:v>
                </c:pt>
                <c:pt idx="17">
                  <c:v>16</c:v>
                </c:pt>
                <c:pt idx="18">
                  <c:v>19</c:v>
                </c:pt>
                <c:pt idx="19">
                  <c:v>24</c:v>
                </c:pt>
                <c:pt idx="20">
                  <c:v>29</c:v>
                </c:pt>
                <c:pt idx="21">
                  <c:v>27</c:v>
                </c:pt>
                <c:pt idx="22">
                  <c:v>18</c:v>
                </c:pt>
                <c:pt idx="23">
                  <c:v>17</c:v>
                </c:pt>
                <c:pt idx="24">
                  <c:v>20</c:v>
                </c:pt>
                <c:pt idx="25">
                  <c:v>26</c:v>
                </c:pt>
                <c:pt idx="26">
                  <c:v>28</c:v>
                </c:pt>
                <c:pt idx="27">
                  <c:v>25</c:v>
                </c:pt>
                <c:pt idx="28">
                  <c:v>18</c:v>
                </c:pt>
                <c:pt idx="29">
                  <c:v>18</c:v>
                </c:pt>
                <c:pt idx="30">
                  <c:v>20</c:v>
                </c:pt>
                <c:pt idx="31">
                  <c:v>26</c:v>
                </c:pt>
                <c:pt idx="32">
                  <c:v>28</c:v>
                </c:pt>
                <c:pt idx="33">
                  <c:v>22</c:v>
                </c:pt>
                <c:pt idx="34">
                  <c:v>19</c:v>
                </c:pt>
                <c:pt idx="35">
                  <c:v>18</c:v>
                </c:pt>
                <c:pt idx="3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4E-43D6-9929-49699A80AC84}"/>
            </c:ext>
          </c:extLst>
        </c:ser>
        <c:ser>
          <c:idx val="4"/>
          <c:order val="4"/>
          <c:tx>
            <c:strRef>
              <c:f>'Totals All'!$T$1</c:f>
              <c:strCache>
                <c:ptCount val="1"/>
                <c:pt idx="0">
                  <c:v>IHC DQN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All'!$A$3:$A$38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'Totals All'!$T$2:$T$38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24</c:v>
                </c:pt>
                <c:pt idx="2">
                  <c:v>16</c:v>
                </c:pt>
                <c:pt idx="3">
                  <c:v>8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6</c:v>
                </c:pt>
                <c:pt idx="13">
                  <c:v>14</c:v>
                </c:pt>
                <c:pt idx="14">
                  <c:v>22</c:v>
                </c:pt>
                <c:pt idx="15">
                  <c:v>29</c:v>
                </c:pt>
                <c:pt idx="16">
                  <c:v>34</c:v>
                </c:pt>
                <c:pt idx="17">
                  <c:v>36</c:v>
                </c:pt>
                <c:pt idx="18">
                  <c:v>33</c:v>
                </c:pt>
                <c:pt idx="19">
                  <c:v>28</c:v>
                </c:pt>
                <c:pt idx="20">
                  <c:v>21</c:v>
                </c:pt>
                <c:pt idx="21">
                  <c:v>14</c:v>
                </c:pt>
                <c:pt idx="22">
                  <c:v>6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6</c:v>
                </c:pt>
                <c:pt idx="30">
                  <c:v>18</c:v>
                </c:pt>
                <c:pt idx="31">
                  <c:v>29</c:v>
                </c:pt>
                <c:pt idx="32">
                  <c:v>36</c:v>
                </c:pt>
                <c:pt idx="33">
                  <c:v>42</c:v>
                </c:pt>
                <c:pt idx="34">
                  <c:v>43</c:v>
                </c:pt>
                <c:pt idx="35">
                  <c:v>40</c:v>
                </c:pt>
                <c:pt idx="36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2C-4B21-A7F4-A5918EC3F1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'Totals All'!$P$1</c15:sqref>
                        </c15:formulaRef>
                      </c:ext>
                    </c:extLst>
                    <c:strCache>
                      <c:ptCount val="1"/>
                      <c:pt idx="0">
                        <c:v>t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ormulaRef>
                          <c15:sqref>'Totals All'!$A$3:$A$38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'Totals All'!$P$2:$P$38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E4E-43D6-9929-49699A80AC84}"/>
                  </c:ext>
                </c:extLst>
              </c15:ser>
            </c15:filteredLineSeries>
          </c:ext>
        </c:extLst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</a:t>
            </a:r>
            <a:r>
              <a:rPr lang="en-US" baseline="0"/>
              <a:t> Backlog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'Totals All'!$V$1</c:f>
              <c:strCache>
                <c:ptCount val="1"/>
                <c:pt idx="0">
                  <c:v>UBC Baseline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All'!$V$2:$V$38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9</c:v>
                </c:pt>
                <c:pt idx="10">
                  <c:v>19</c:v>
                </c:pt>
                <c:pt idx="11">
                  <c:v>29</c:v>
                </c:pt>
                <c:pt idx="12">
                  <c:v>54</c:v>
                </c:pt>
                <c:pt idx="13">
                  <c:v>77</c:v>
                </c:pt>
                <c:pt idx="14">
                  <c:v>120</c:v>
                </c:pt>
                <c:pt idx="15">
                  <c:v>153</c:v>
                </c:pt>
                <c:pt idx="16">
                  <c:v>189</c:v>
                </c:pt>
                <c:pt idx="17">
                  <c:v>193</c:v>
                </c:pt>
                <c:pt idx="18">
                  <c:v>178</c:v>
                </c:pt>
                <c:pt idx="19">
                  <c:v>136</c:v>
                </c:pt>
                <c:pt idx="20">
                  <c:v>108</c:v>
                </c:pt>
                <c:pt idx="21">
                  <c:v>84</c:v>
                </c:pt>
                <c:pt idx="22">
                  <c:v>47</c:v>
                </c:pt>
                <c:pt idx="23">
                  <c:v>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7</c:v>
                </c:pt>
                <c:pt idx="32">
                  <c:v>12</c:v>
                </c:pt>
                <c:pt idx="33">
                  <c:v>27</c:v>
                </c:pt>
                <c:pt idx="34">
                  <c:v>41</c:v>
                </c:pt>
                <c:pt idx="35">
                  <c:v>61</c:v>
                </c:pt>
                <c:pt idx="3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AE-43D4-8098-E42417254DF7}"/>
            </c:ext>
          </c:extLst>
        </c:ser>
        <c:ser>
          <c:idx val="2"/>
          <c:order val="2"/>
          <c:tx>
            <c:strRef>
              <c:f>'Totals All'!$W$1</c:f>
              <c:strCache>
                <c:ptCount val="1"/>
                <c:pt idx="0">
                  <c:v>UBC ELV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All'!$W$2:$W$38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9</c:v>
                </c:pt>
                <c:pt idx="12">
                  <c:v>14</c:v>
                </c:pt>
                <c:pt idx="13">
                  <c:v>7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5</c:v>
                </c:pt>
                <c:pt idx="18">
                  <c:v>10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5</c:v>
                </c:pt>
                <c:pt idx="24">
                  <c:v>5</c:v>
                </c:pt>
                <c:pt idx="25">
                  <c:v>3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7</c:v>
                </c:pt>
                <c:pt idx="30">
                  <c:v>2</c:v>
                </c:pt>
                <c:pt idx="31">
                  <c:v>0</c:v>
                </c:pt>
                <c:pt idx="32">
                  <c:v>3</c:v>
                </c:pt>
                <c:pt idx="33">
                  <c:v>0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AE-43D4-8098-E42417254DF7}"/>
            </c:ext>
          </c:extLst>
        </c:ser>
        <c:ser>
          <c:idx val="3"/>
          <c:order val="3"/>
          <c:tx>
            <c:strRef>
              <c:f>'Totals All'!$X$1</c:f>
              <c:strCache>
                <c:ptCount val="1"/>
                <c:pt idx="0">
                  <c:v>UBC CRP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All'!$X$2:$X$38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7</c:v>
                </c:pt>
                <c:pt idx="12">
                  <c:v>7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7</c:v>
                </c:pt>
                <c:pt idx="18">
                  <c:v>9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4</c:v>
                </c:pt>
                <c:pt idx="24">
                  <c:v>6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6</c:v>
                </c:pt>
                <c:pt idx="30">
                  <c:v>3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5</c:v>
                </c:pt>
                <c:pt idx="35">
                  <c:v>4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AE-43D4-8098-E42417254DF7}"/>
            </c:ext>
          </c:extLst>
        </c:ser>
        <c:ser>
          <c:idx val="4"/>
          <c:order val="4"/>
          <c:tx>
            <c:strRef>
              <c:f>'Totals All'!$Y$1</c:f>
              <c:strCache>
                <c:ptCount val="1"/>
                <c:pt idx="0">
                  <c:v>UBC DQN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All'!$Y$2:$Y$38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7</c:v>
                </c:pt>
                <c:pt idx="7">
                  <c:v>10</c:v>
                </c:pt>
                <c:pt idx="8">
                  <c:v>12</c:v>
                </c:pt>
                <c:pt idx="9">
                  <c:v>14</c:v>
                </c:pt>
                <c:pt idx="10">
                  <c:v>13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4</c:v>
                </c:pt>
                <c:pt idx="23">
                  <c:v>15</c:v>
                </c:pt>
                <c:pt idx="24">
                  <c:v>25</c:v>
                </c:pt>
                <c:pt idx="25">
                  <c:v>34</c:v>
                </c:pt>
                <c:pt idx="26">
                  <c:v>32</c:v>
                </c:pt>
                <c:pt idx="27">
                  <c:v>28</c:v>
                </c:pt>
                <c:pt idx="28">
                  <c:v>16</c:v>
                </c:pt>
                <c:pt idx="29">
                  <c:v>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1E-4CF2-B14C-E4FA01BBC1C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'Totals All'!$U$1</c15:sqref>
                        </c15:formulaRef>
                      </c:ext>
                    </c:extLst>
                    <c:strCache>
                      <c:ptCount val="1"/>
                      <c:pt idx="0">
                        <c:v>t 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L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'Totals All'!$A$2:$A$38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'Totals All'!$U$2:$U$38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6AE-43D4-8098-E42417254DF7}"/>
                  </c:ext>
                </c:extLst>
              </c15:ser>
            </c15:filteredLineSeries>
          </c:ext>
        </c:extLst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</a:t>
            </a:r>
            <a:r>
              <a:rPr lang="en-US" baseline="0"/>
              <a:t>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'Totals All'!$AA$1</c:f>
              <c:strCache>
                <c:ptCount val="1"/>
                <c:pt idx="0">
                  <c:v>TC  Baseline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All'!$AA$2:$AA$38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118</c:v>
                </c:pt>
                <c:pt idx="6">
                  <c:v>138</c:v>
                </c:pt>
                <c:pt idx="7">
                  <c:v>160</c:v>
                </c:pt>
                <c:pt idx="8">
                  <c:v>186</c:v>
                </c:pt>
                <c:pt idx="9">
                  <c:v>212.5</c:v>
                </c:pt>
                <c:pt idx="10">
                  <c:v>245</c:v>
                </c:pt>
                <c:pt idx="11">
                  <c:v>282</c:v>
                </c:pt>
                <c:pt idx="12">
                  <c:v>342.5</c:v>
                </c:pt>
                <c:pt idx="13">
                  <c:v>419.5</c:v>
                </c:pt>
                <c:pt idx="14">
                  <c:v>539.5</c:v>
                </c:pt>
                <c:pt idx="15">
                  <c:v>692.5</c:v>
                </c:pt>
                <c:pt idx="16">
                  <c:v>881.5</c:v>
                </c:pt>
                <c:pt idx="17">
                  <c:v>1074.5</c:v>
                </c:pt>
                <c:pt idx="18">
                  <c:v>1252.5</c:v>
                </c:pt>
                <c:pt idx="19">
                  <c:v>1388.5</c:v>
                </c:pt>
                <c:pt idx="20">
                  <c:v>1504.5</c:v>
                </c:pt>
                <c:pt idx="21">
                  <c:v>1612</c:v>
                </c:pt>
                <c:pt idx="22">
                  <c:v>1689</c:v>
                </c:pt>
                <c:pt idx="23">
                  <c:v>1749</c:v>
                </c:pt>
                <c:pt idx="24">
                  <c:v>1787.5</c:v>
                </c:pt>
                <c:pt idx="25">
                  <c:v>1826</c:v>
                </c:pt>
                <c:pt idx="26">
                  <c:v>1865</c:v>
                </c:pt>
                <c:pt idx="27">
                  <c:v>1902.5</c:v>
                </c:pt>
                <c:pt idx="28">
                  <c:v>1936.5</c:v>
                </c:pt>
                <c:pt idx="29">
                  <c:v>1967.5</c:v>
                </c:pt>
                <c:pt idx="30">
                  <c:v>1994.5</c:v>
                </c:pt>
                <c:pt idx="31">
                  <c:v>2022.5</c:v>
                </c:pt>
                <c:pt idx="32">
                  <c:v>2050.5</c:v>
                </c:pt>
                <c:pt idx="33">
                  <c:v>2091</c:v>
                </c:pt>
                <c:pt idx="34">
                  <c:v>2140</c:v>
                </c:pt>
                <c:pt idx="35">
                  <c:v>2201</c:v>
                </c:pt>
                <c:pt idx="36">
                  <c:v>2286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99-4208-AE87-2A9AA5ACBFDE}"/>
            </c:ext>
          </c:extLst>
        </c:ser>
        <c:ser>
          <c:idx val="2"/>
          <c:order val="2"/>
          <c:tx>
            <c:strRef>
              <c:f>'Totals All'!$AB$1</c:f>
              <c:strCache>
                <c:ptCount val="1"/>
                <c:pt idx="0">
                  <c:v>TC ELV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All'!$AB$2:$AB$38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24</c:v>
                </c:pt>
                <c:pt idx="2">
                  <c:v>53.4</c:v>
                </c:pt>
                <c:pt idx="3">
                  <c:v>76.8</c:v>
                </c:pt>
                <c:pt idx="4">
                  <c:v>98</c:v>
                </c:pt>
                <c:pt idx="5">
                  <c:v>119.19999999999999</c:v>
                </c:pt>
                <c:pt idx="6">
                  <c:v>140.6</c:v>
                </c:pt>
                <c:pt idx="7">
                  <c:v>165</c:v>
                </c:pt>
                <c:pt idx="8">
                  <c:v>185.89999999999998</c:v>
                </c:pt>
                <c:pt idx="9">
                  <c:v>202.95</c:v>
                </c:pt>
                <c:pt idx="10">
                  <c:v>219.7</c:v>
                </c:pt>
                <c:pt idx="11">
                  <c:v>244.6</c:v>
                </c:pt>
                <c:pt idx="12">
                  <c:v>276.79999999999995</c:v>
                </c:pt>
                <c:pt idx="13">
                  <c:v>306.95</c:v>
                </c:pt>
                <c:pt idx="14">
                  <c:v>335.25</c:v>
                </c:pt>
                <c:pt idx="15">
                  <c:v>361.2</c:v>
                </c:pt>
                <c:pt idx="16">
                  <c:v>385.2</c:v>
                </c:pt>
                <c:pt idx="17">
                  <c:v>410</c:v>
                </c:pt>
                <c:pt idx="18">
                  <c:v>441.25</c:v>
                </c:pt>
                <c:pt idx="19">
                  <c:v>467.70000000000005</c:v>
                </c:pt>
                <c:pt idx="20">
                  <c:v>494.95000000000005</c:v>
                </c:pt>
                <c:pt idx="21">
                  <c:v>521.45000000000005</c:v>
                </c:pt>
                <c:pt idx="22">
                  <c:v>542.1</c:v>
                </c:pt>
                <c:pt idx="23">
                  <c:v>565.75</c:v>
                </c:pt>
                <c:pt idx="24">
                  <c:v>590.75</c:v>
                </c:pt>
                <c:pt idx="25">
                  <c:v>618.90000000000009</c:v>
                </c:pt>
                <c:pt idx="26">
                  <c:v>646.30000000000007</c:v>
                </c:pt>
                <c:pt idx="27">
                  <c:v>670.30000000000007</c:v>
                </c:pt>
                <c:pt idx="28">
                  <c:v>692.75</c:v>
                </c:pt>
                <c:pt idx="29">
                  <c:v>719.10000000000014</c:v>
                </c:pt>
                <c:pt idx="30">
                  <c:v>742.05000000000007</c:v>
                </c:pt>
                <c:pt idx="31">
                  <c:v>767.50000000000011</c:v>
                </c:pt>
                <c:pt idx="32">
                  <c:v>796.00000000000011</c:v>
                </c:pt>
                <c:pt idx="33">
                  <c:v>819.05000000000007</c:v>
                </c:pt>
                <c:pt idx="34">
                  <c:v>842.00000000000011</c:v>
                </c:pt>
                <c:pt idx="35">
                  <c:v>865.10000000000014</c:v>
                </c:pt>
                <c:pt idx="36">
                  <c:v>891.05000000000018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99-4208-AE87-2A9AA5ACBFDE}"/>
            </c:ext>
          </c:extLst>
        </c:ser>
        <c:ser>
          <c:idx val="3"/>
          <c:order val="3"/>
          <c:tx>
            <c:strRef>
              <c:f>'Totals All'!$AC$1</c:f>
              <c:strCache>
                <c:ptCount val="1"/>
                <c:pt idx="0">
                  <c:v>TC CRP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All'!$AC$2:$AC$38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24</c:v>
                </c:pt>
                <c:pt idx="2">
                  <c:v>53.8</c:v>
                </c:pt>
                <c:pt idx="3">
                  <c:v>79.400000000000006</c:v>
                </c:pt>
                <c:pt idx="4">
                  <c:v>101.6</c:v>
                </c:pt>
                <c:pt idx="5">
                  <c:v>123.19999999999999</c:v>
                </c:pt>
                <c:pt idx="6">
                  <c:v>144.6</c:v>
                </c:pt>
                <c:pt idx="7">
                  <c:v>168.45</c:v>
                </c:pt>
                <c:pt idx="8">
                  <c:v>189.85</c:v>
                </c:pt>
                <c:pt idx="9">
                  <c:v>205.65</c:v>
                </c:pt>
                <c:pt idx="10">
                  <c:v>221.79999999999998</c:v>
                </c:pt>
                <c:pt idx="11">
                  <c:v>243.75</c:v>
                </c:pt>
                <c:pt idx="12">
                  <c:v>268.60000000000002</c:v>
                </c:pt>
                <c:pt idx="13">
                  <c:v>294.39999999999998</c:v>
                </c:pt>
                <c:pt idx="14">
                  <c:v>321.64999999999998</c:v>
                </c:pt>
                <c:pt idx="15">
                  <c:v>347.7</c:v>
                </c:pt>
                <c:pt idx="16">
                  <c:v>367.25</c:v>
                </c:pt>
                <c:pt idx="17">
                  <c:v>390.44999999999993</c:v>
                </c:pt>
                <c:pt idx="18">
                  <c:v>418.79999999999995</c:v>
                </c:pt>
                <c:pt idx="19">
                  <c:v>444.65</c:v>
                </c:pt>
                <c:pt idx="20">
                  <c:v>474</c:v>
                </c:pt>
                <c:pt idx="21">
                  <c:v>501.09999999999997</c:v>
                </c:pt>
                <c:pt idx="22">
                  <c:v>521.84999999999991</c:v>
                </c:pt>
                <c:pt idx="23">
                  <c:v>542.29999999999995</c:v>
                </c:pt>
                <c:pt idx="24">
                  <c:v>568.65000000000009</c:v>
                </c:pt>
                <c:pt idx="25">
                  <c:v>595.25</c:v>
                </c:pt>
                <c:pt idx="26">
                  <c:v>623.25</c:v>
                </c:pt>
                <c:pt idx="27">
                  <c:v>648.35</c:v>
                </c:pt>
                <c:pt idx="28">
                  <c:v>667.65</c:v>
                </c:pt>
                <c:pt idx="29">
                  <c:v>691.9</c:v>
                </c:pt>
                <c:pt idx="30">
                  <c:v>715.09999999999991</c:v>
                </c:pt>
                <c:pt idx="31">
                  <c:v>740.65</c:v>
                </c:pt>
                <c:pt idx="32">
                  <c:v>768.34999999999991</c:v>
                </c:pt>
                <c:pt idx="33">
                  <c:v>791.84999999999991</c:v>
                </c:pt>
                <c:pt idx="34">
                  <c:v>815.75</c:v>
                </c:pt>
                <c:pt idx="35">
                  <c:v>837.89999999999986</c:v>
                </c:pt>
                <c:pt idx="36">
                  <c:v>860.14999999999986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99-4208-AE87-2A9AA5ACBFDE}"/>
            </c:ext>
          </c:extLst>
        </c:ser>
        <c:ser>
          <c:idx val="4"/>
          <c:order val="4"/>
          <c:tx>
            <c:strRef>
              <c:f>'Totals All'!$AD$1</c:f>
              <c:strCache>
                <c:ptCount val="1"/>
                <c:pt idx="0">
                  <c:v>TC DQN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All'!$AD$2:$AD$38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24</c:v>
                </c:pt>
                <c:pt idx="2">
                  <c:v>40</c:v>
                </c:pt>
                <c:pt idx="3">
                  <c:v>48</c:v>
                </c:pt>
                <c:pt idx="4">
                  <c:v>53</c:v>
                </c:pt>
                <c:pt idx="5">
                  <c:v>62</c:v>
                </c:pt>
                <c:pt idx="6">
                  <c:v>71.5</c:v>
                </c:pt>
                <c:pt idx="7">
                  <c:v>83</c:v>
                </c:pt>
                <c:pt idx="8">
                  <c:v>97</c:v>
                </c:pt>
                <c:pt idx="9">
                  <c:v>113</c:v>
                </c:pt>
                <c:pt idx="10">
                  <c:v>127.5</c:v>
                </c:pt>
                <c:pt idx="11">
                  <c:v>134.5</c:v>
                </c:pt>
                <c:pt idx="12">
                  <c:v>140</c:v>
                </c:pt>
                <c:pt idx="13">
                  <c:v>153.5</c:v>
                </c:pt>
                <c:pt idx="14">
                  <c:v>175.5</c:v>
                </c:pt>
                <c:pt idx="15">
                  <c:v>204</c:v>
                </c:pt>
                <c:pt idx="16">
                  <c:v>238</c:v>
                </c:pt>
                <c:pt idx="17">
                  <c:v>273.5</c:v>
                </c:pt>
                <c:pt idx="18">
                  <c:v>306.5</c:v>
                </c:pt>
                <c:pt idx="19">
                  <c:v>334.5</c:v>
                </c:pt>
                <c:pt idx="20">
                  <c:v>355.5</c:v>
                </c:pt>
                <c:pt idx="21">
                  <c:v>370.5</c:v>
                </c:pt>
                <c:pt idx="22">
                  <c:v>380.5</c:v>
                </c:pt>
                <c:pt idx="23">
                  <c:v>397</c:v>
                </c:pt>
                <c:pt idx="24">
                  <c:v>422</c:v>
                </c:pt>
                <c:pt idx="25">
                  <c:v>456</c:v>
                </c:pt>
                <c:pt idx="26">
                  <c:v>489</c:v>
                </c:pt>
                <c:pt idx="27">
                  <c:v>519</c:v>
                </c:pt>
                <c:pt idx="28">
                  <c:v>537.5</c:v>
                </c:pt>
                <c:pt idx="29">
                  <c:v>546.5</c:v>
                </c:pt>
                <c:pt idx="30">
                  <c:v>564.5</c:v>
                </c:pt>
                <c:pt idx="31">
                  <c:v>593.5</c:v>
                </c:pt>
                <c:pt idx="32">
                  <c:v>629</c:v>
                </c:pt>
                <c:pt idx="33">
                  <c:v>670.5</c:v>
                </c:pt>
                <c:pt idx="34">
                  <c:v>713.5</c:v>
                </c:pt>
                <c:pt idx="35">
                  <c:v>753.5</c:v>
                </c:pt>
                <c:pt idx="36">
                  <c:v>788.5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B5-44BA-8171-C335EBE301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'Totals All'!$Z$1</c15:sqref>
                        </c15:formulaRef>
                      </c:ext>
                    </c:extLst>
                    <c:strCache>
                      <c:ptCount val="1"/>
                      <c:pt idx="0">
                        <c:v>t  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L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'Totals All'!$A$2:$A$38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'Totals All'!$Z$2:$Z$38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199-4208-AE87-2A9AA5ACBFDE}"/>
                  </c:ext>
                </c:extLst>
              </c15:ser>
            </c15:filteredLineSeries>
          </c:ext>
        </c:extLst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  Beer Game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'Totals All'!$AA$1</c:f>
              <c:strCache>
                <c:ptCount val="1"/>
                <c:pt idx="0">
                  <c:v>TC  Baseline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All'!$AA$2:$AA$38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118</c:v>
                </c:pt>
                <c:pt idx="6">
                  <c:v>138</c:v>
                </c:pt>
                <c:pt idx="7">
                  <c:v>160</c:v>
                </c:pt>
                <c:pt idx="8">
                  <c:v>186</c:v>
                </c:pt>
                <c:pt idx="9">
                  <c:v>212.5</c:v>
                </c:pt>
                <c:pt idx="10">
                  <c:v>245</c:v>
                </c:pt>
                <c:pt idx="11">
                  <c:v>282</c:v>
                </c:pt>
                <c:pt idx="12">
                  <c:v>342.5</c:v>
                </c:pt>
                <c:pt idx="13">
                  <c:v>419.5</c:v>
                </c:pt>
                <c:pt idx="14">
                  <c:v>539.5</c:v>
                </c:pt>
                <c:pt idx="15">
                  <c:v>692.5</c:v>
                </c:pt>
                <c:pt idx="16">
                  <c:v>881.5</c:v>
                </c:pt>
                <c:pt idx="17">
                  <c:v>1074.5</c:v>
                </c:pt>
                <c:pt idx="18">
                  <c:v>1252.5</c:v>
                </c:pt>
                <c:pt idx="19">
                  <c:v>1388.5</c:v>
                </c:pt>
                <c:pt idx="20">
                  <c:v>1504.5</c:v>
                </c:pt>
                <c:pt idx="21">
                  <c:v>1612</c:v>
                </c:pt>
                <c:pt idx="22">
                  <c:v>1689</c:v>
                </c:pt>
                <c:pt idx="23">
                  <c:v>1749</c:v>
                </c:pt>
                <c:pt idx="24">
                  <c:v>1787.5</c:v>
                </c:pt>
                <c:pt idx="25">
                  <c:v>1826</c:v>
                </c:pt>
                <c:pt idx="26">
                  <c:v>1865</c:v>
                </c:pt>
                <c:pt idx="27">
                  <c:v>1902.5</c:v>
                </c:pt>
                <c:pt idx="28">
                  <c:v>1936.5</c:v>
                </c:pt>
                <c:pt idx="29">
                  <c:v>1967.5</c:v>
                </c:pt>
                <c:pt idx="30">
                  <c:v>1994.5</c:v>
                </c:pt>
                <c:pt idx="31">
                  <c:v>2022.5</c:v>
                </c:pt>
                <c:pt idx="32">
                  <c:v>2050.5</c:v>
                </c:pt>
                <c:pt idx="33">
                  <c:v>2091</c:v>
                </c:pt>
                <c:pt idx="34">
                  <c:v>2140</c:v>
                </c:pt>
                <c:pt idx="35">
                  <c:v>2201</c:v>
                </c:pt>
                <c:pt idx="36">
                  <c:v>2286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4D-4CFB-A46D-D48438A2403C}"/>
            </c:ext>
          </c:extLst>
        </c:ser>
        <c:ser>
          <c:idx val="2"/>
          <c:order val="2"/>
          <c:tx>
            <c:strRef>
              <c:f>'Totals All'!$AB$1</c:f>
              <c:strCache>
                <c:ptCount val="1"/>
                <c:pt idx="0">
                  <c:v>TC ELV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All'!$AB$2:$AB$38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24</c:v>
                </c:pt>
                <c:pt idx="2">
                  <c:v>53.4</c:v>
                </c:pt>
                <c:pt idx="3">
                  <c:v>76.8</c:v>
                </c:pt>
                <c:pt idx="4">
                  <c:v>98</c:v>
                </c:pt>
                <c:pt idx="5">
                  <c:v>119.19999999999999</c:v>
                </c:pt>
                <c:pt idx="6">
                  <c:v>140.6</c:v>
                </c:pt>
                <c:pt idx="7">
                  <c:v>165</c:v>
                </c:pt>
                <c:pt idx="8">
                  <c:v>185.89999999999998</c:v>
                </c:pt>
                <c:pt idx="9">
                  <c:v>202.95</c:v>
                </c:pt>
                <c:pt idx="10">
                  <c:v>219.7</c:v>
                </c:pt>
                <c:pt idx="11">
                  <c:v>244.6</c:v>
                </c:pt>
                <c:pt idx="12">
                  <c:v>276.79999999999995</c:v>
                </c:pt>
                <c:pt idx="13">
                  <c:v>306.95</c:v>
                </c:pt>
                <c:pt idx="14">
                  <c:v>335.25</c:v>
                </c:pt>
                <c:pt idx="15">
                  <c:v>361.2</c:v>
                </c:pt>
                <c:pt idx="16">
                  <c:v>385.2</c:v>
                </c:pt>
                <c:pt idx="17">
                  <c:v>410</c:v>
                </c:pt>
                <c:pt idx="18">
                  <c:v>441.25</c:v>
                </c:pt>
                <c:pt idx="19">
                  <c:v>467.70000000000005</c:v>
                </c:pt>
                <c:pt idx="20">
                  <c:v>494.95000000000005</c:v>
                </c:pt>
                <c:pt idx="21">
                  <c:v>521.45000000000005</c:v>
                </c:pt>
                <c:pt idx="22">
                  <c:v>542.1</c:v>
                </c:pt>
                <c:pt idx="23">
                  <c:v>565.75</c:v>
                </c:pt>
                <c:pt idx="24">
                  <c:v>590.75</c:v>
                </c:pt>
                <c:pt idx="25">
                  <c:v>618.90000000000009</c:v>
                </c:pt>
                <c:pt idx="26">
                  <c:v>646.30000000000007</c:v>
                </c:pt>
                <c:pt idx="27">
                  <c:v>670.30000000000007</c:v>
                </c:pt>
                <c:pt idx="28">
                  <c:v>692.75</c:v>
                </c:pt>
                <c:pt idx="29">
                  <c:v>719.10000000000014</c:v>
                </c:pt>
                <c:pt idx="30">
                  <c:v>742.05000000000007</c:v>
                </c:pt>
                <c:pt idx="31">
                  <c:v>767.50000000000011</c:v>
                </c:pt>
                <c:pt idx="32">
                  <c:v>796.00000000000011</c:v>
                </c:pt>
                <c:pt idx="33">
                  <c:v>819.05000000000007</c:v>
                </c:pt>
                <c:pt idx="34">
                  <c:v>842.00000000000011</c:v>
                </c:pt>
                <c:pt idx="35">
                  <c:v>865.10000000000014</c:v>
                </c:pt>
                <c:pt idx="36">
                  <c:v>891.05000000000018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4D-4CFB-A46D-D48438A2403C}"/>
            </c:ext>
          </c:extLst>
        </c:ser>
        <c:ser>
          <c:idx val="3"/>
          <c:order val="3"/>
          <c:tx>
            <c:strRef>
              <c:f>'Totals All'!$AC$1</c:f>
              <c:strCache>
                <c:ptCount val="1"/>
                <c:pt idx="0">
                  <c:v>TC CRP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'Totals All'!$A$2:$A$38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All'!$AC$2:$AC$38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24</c:v>
                </c:pt>
                <c:pt idx="2">
                  <c:v>53.8</c:v>
                </c:pt>
                <c:pt idx="3">
                  <c:v>79.400000000000006</c:v>
                </c:pt>
                <c:pt idx="4">
                  <c:v>101.6</c:v>
                </c:pt>
                <c:pt idx="5">
                  <c:v>123.19999999999999</c:v>
                </c:pt>
                <c:pt idx="6">
                  <c:v>144.6</c:v>
                </c:pt>
                <c:pt idx="7">
                  <c:v>168.45</c:v>
                </c:pt>
                <c:pt idx="8">
                  <c:v>189.85</c:v>
                </c:pt>
                <c:pt idx="9">
                  <c:v>205.65</c:v>
                </c:pt>
                <c:pt idx="10">
                  <c:v>221.79999999999998</c:v>
                </c:pt>
                <c:pt idx="11">
                  <c:v>243.75</c:v>
                </c:pt>
                <c:pt idx="12">
                  <c:v>268.60000000000002</c:v>
                </c:pt>
                <c:pt idx="13">
                  <c:v>294.39999999999998</c:v>
                </c:pt>
                <c:pt idx="14">
                  <c:v>321.64999999999998</c:v>
                </c:pt>
                <c:pt idx="15">
                  <c:v>347.7</c:v>
                </c:pt>
                <c:pt idx="16">
                  <c:v>367.25</c:v>
                </c:pt>
                <c:pt idx="17">
                  <c:v>390.44999999999993</c:v>
                </c:pt>
                <c:pt idx="18">
                  <c:v>418.79999999999995</c:v>
                </c:pt>
                <c:pt idx="19">
                  <c:v>444.65</c:v>
                </c:pt>
                <c:pt idx="20">
                  <c:v>474</c:v>
                </c:pt>
                <c:pt idx="21">
                  <c:v>501.09999999999997</c:v>
                </c:pt>
                <c:pt idx="22">
                  <c:v>521.84999999999991</c:v>
                </c:pt>
                <c:pt idx="23">
                  <c:v>542.29999999999995</c:v>
                </c:pt>
                <c:pt idx="24">
                  <c:v>568.65000000000009</c:v>
                </c:pt>
                <c:pt idx="25">
                  <c:v>595.25</c:v>
                </c:pt>
                <c:pt idx="26">
                  <c:v>623.25</c:v>
                </c:pt>
                <c:pt idx="27">
                  <c:v>648.35</c:v>
                </c:pt>
                <c:pt idx="28">
                  <c:v>667.65</c:v>
                </c:pt>
                <c:pt idx="29">
                  <c:v>691.9</c:v>
                </c:pt>
                <c:pt idx="30">
                  <c:v>715.09999999999991</c:v>
                </c:pt>
                <c:pt idx="31">
                  <c:v>740.65</c:v>
                </c:pt>
                <c:pt idx="32">
                  <c:v>768.34999999999991</c:v>
                </c:pt>
                <c:pt idx="33">
                  <c:v>791.84999999999991</c:v>
                </c:pt>
                <c:pt idx="34">
                  <c:v>815.75</c:v>
                </c:pt>
                <c:pt idx="35">
                  <c:v>837.89999999999986</c:v>
                </c:pt>
                <c:pt idx="36">
                  <c:v>860.14999999999986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4D-4CFB-A46D-D48438A24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165776"/>
        <c:axId val="14031643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'Totals All'!$A$1</c15:sqref>
                        </c15:formulaRef>
                      </c:ext>
                    </c:extLst>
                    <c:strCache>
                      <c:ptCount val="1"/>
                      <c:pt idx="0">
                        <c:v>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'Totals All'!$A$2:$A$38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'Totals All'!$A$2:$A$38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B4D-4CFB-A46D-D48438A2403C}"/>
                  </c:ext>
                </c:extLst>
              </c15:ser>
            </c15:filteredLineSeries>
          </c:ext>
        </c:extLst>
      </c:lineChart>
      <c:catAx>
        <c:axId val="140316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03164336"/>
        <c:crosses val="autoZero"/>
        <c:auto val="1"/>
        <c:lblAlgn val="ctr"/>
        <c:lblOffset val="100"/>
        <c:noMultiLvlLbl val="0"/>
      </c:catAx>
      <c:valAx>
        <c:axId val="140316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0316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(crates)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'Totals Baseline'!$B$1</c:f>
              <c:strCache>
                <c:ptCount val="1"/>
                <c:pt idx="0">
                  <c:v>Avg I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Baseline'!$B$2:$B$38</c:f>
              <c:numCache>
                <c:formatCode>0.00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19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19</c:v>
                </c:pt>
                <c:pt idx="22">
                  <c:v>22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20</c:v>
                </c:pt>
                <c:pt idx="28">
                  <c:v>20</c:v>
                </c:pt>
                <c:pt idx="29">
                  <c:v>21</c:v>
                </c:pt>
                <c:pt idx="30">
                  <c:v>20</c:v>
                </c:pt>
                <c:pt idx="31">
                  <c:v>14</c:v>
                </c:pt>
                <c:pt idx="32">
                  <c:v>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76-4D5C-837A-451B90B9F12E}"/>
            </c:ext>
          </c:extLst>
        </c:ser>
        <c:ser>
          <c:idx val="2"/>
          <c:order val="2"/>
          <c:tx>
            <c:strRef>
              <c:f>'Totals Baseline'!$C$1</c:f>
              <c:strCache>
                <c:ptCount val="1"/>
                <c:pt idx="0">
                  <c:v>Avg I Wholesaler</c:v>
                </c:pt>
              </c:strCache>
            </c:strRef>
          </c:tx>
          <c:spPr>
            <a:ln w="28575" cap="rnd">
              <a:solidFill>
                <a:srgbClr val="80C47E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Baseline'!$C$2:$C$38</c:f>
              <c:numCache>
                <c:formatCode>0.00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16</c:v>
                </c:pt>
                <c:pt idx="21">
                  <c:v>28</c:v>
                </c:pt>
                <c:pt idx="22">
                  <c:v>37</c:v>
                </c:pt>
                <c:pt idx="23">
                  <c:v>39</c:v>
                </c:pt>
                <c:pt idx="24">
                  <c:v>33</c:v>
                </c:pt>
                <c:pt idx="25">
                  <c:v>31</c:v>
                </c:pt>
                <c:pt idx="26">
                  <c:v>31</c:v>
                </c:pt>
                <c:pt idx="27">
                  <c:v>30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27</c:v>
                </c:pt>
                <c:pt idx="34">
                  <c:v>16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76-4D5C-837A-451B90B9F12E}"/>
            </c:ext>
          </c:extLst>
        </c:ser>
        <c:ser>
          <c:idx val="3"/>
          <c:order val="3"/>
          <c:tx>
            <c:strRef>
              <c:f>'Totals Baseline'!$D$1</c:f>
              <c:strCache>
                <c:ptCount val="1"/>
                <c:pt idx="0">
                  <c:v>Avg I Distributor</c:v>
                </c:pt>
              </c:strCache>
            </c:strRef>
          </c:tx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Baseline'!$D$2:$D$38</c:f>
              <c:numCache>
                <c:formatCode>0.00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8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</c:v>
                </c:pt>
                <c:pt idx="25">
                  <c:v>11</c:v>
                </c:pt>
                <c:pt idx="26">
                  <c:v>11</c:v>
                </c:pt>
                <c:pt idx="27">
                  <c:v>9</c:v>
                </c:pt>
                <c:pt idx="28">
                  <c:v>4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76-4D5C-837A-451B90B9F12E}"/>
            </c:ext>
          </c:extLst>
        </c:ser>
        <c:ser>
          <c:idx val="4"/>
          <c:order val="4"/>
          <c:tx>
            <c:strRef>
              <c:f>'Totals Baseline'!$E$1</c:f>
              <c:strCache>
                <c:ptCount val="1"/>
                <c:pt idx="0">
                  <c:v>Avg I Producer</c:v>
                </c:pt>
              </c:strCache>
            </c:strRef>
          </c:tx>
          <c:spPr>
            <a:ln w="28575" cap="rnd">
              <a:solidFill>
                <a:srgbClr val="9900CC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Baseline'!$E$2:$E$38</c:f>
              <c:numCache>
                <c:formatCode>0.00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12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12</c:v>
                </c:pt>
                <c:pt idx="30">
                  <c:v>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76-4D5C-837A-451B90B9F1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'Totals Baseline'!$A$1</c15:sqref>
                        </c15:formulaRef>
                      </c:ext>
                    </c:extLst>
                    <c:strCache>
                      <c:ptCount val="1"/>
                      <c:pt idx="0">
                        <c:v>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ormulaRef>
                          <c15:sqref>'Totals Baseline'!$A$2:$A$38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'Totals Baseline'!$A$2:$A$38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B76-4D5C-837A-451B90B9F12E}"/>
                  </c:ext>
                </c:extLst>
              </c15:ser>
            </c15:filteredLineSeries>
          </c:ext>
        </c:extLst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Backlog (crates)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'Totals Baseline'!$G$1</c:f>
              <c:strCache>
                <c:ptCount val="1"/>
                <c:pt idx="0">
                  <c:v>Avg B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Baseline'!$F$2:$F$38</c:f>
              <c:numCache>
                <c:formatCode>0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Baseline'!$G$2:$G$38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16</c:v>
                </c:pt>
                <c:pt idx="13">
                  <c:v>32</c:v>
                </c:pt>
                <c:pt idx="14">
                  <c:v>43</c:v>
                </c:pt>
                <c:pt idx="15">
                  <c:v>42</c:v>
                </c:pt>
                <c:pt idx="16">
                  <c:v>53</c:v>
                </c:pt>
                <c:pt idx="17">
                  <c:v>66</c:v>
                </c:pt>
                <c:pt idx="18">
                  <c:v>64</c:v>
                </c:pt>
                <c:pt idx="19">
                  <c:v>41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</c:v>
                </c:pt>
                <c:pt idx="34">
                  <c:v>19</c:v>
                </c:pt>
                <c:pt idx="35">
                  <c:v>30</c:v>
                </c:pt>
                <c:pt idx="36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31-45B3-B0D6-2A4656F10FF7}"/>
            </c:ext>
          </c:extLst>
        </c:ser>
        <c:ser>
          <c:idx val="2"/>
          <c:order val="2"/>
          <c:tx>
            <c:strRef>
              <c:f>'Totals Baseline'!$H$1</c:f>
              <c:strCache>
                <c:ptCount val="1"/>
                <c:pt idx="0">
                  <c:v>Avg B Wholesaler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Baseline'!$F$2:$F$38</c:f>
              <c:numCache>
                <c:formatCode>0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Baseline'!$H$2:$H$38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25</c:v>
                </c:pt>
                <c:pt idx="15">
                  <c:v>52</c:v>
                </c:pt>
                <c:pt idx="16">
                  <c:v>63</c:v>
                </c:pt>
                <c:pt idx="17">
                  <c:v>51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31-45B3-B0D6-2A4656F10FF7}"/>
            </c:ext>
          </c:extLst>
        </c:ser>
        <c:ser>
          <c:idx val="3"/>
          <c:order val="3"/>
          <c:tx>
            <c:strRef>
              <c:f>'Totals Baseline'!$I$1</c:f>
              <c:strCache>
                <c:ptCount val="1"/>
                <c:pt idx="0">
                  <c:v>Avg B Distributor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Baseline'!$F$2:$F$38</c:f>
              <c:numCache>
                <c:formatCode>0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Baseline'!$I$2:$I$38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16</c:v>
                </c:pt>
                <c:pt idx="13">
                  <c:v>23</c:v>
                </c:pt>
                <c:pt idx="14">
                  <c:v>23</c:v>
                </c:pt>
                <c:pt idx="15">
                  <c:v>20</c:v>
                </c:pt>
                <c:pt idx="16">
                  <c:v>28</c:v>
                </c:pt>
                <c:pt idx="17">
                  <c:v>36</c:v>
                </c:pt>
                <c:pt idx="18">
                  <c:v>41</c:v>
                </c:pt>
                <c:pt idx="19">
                  <c:v>36</c:v>
                </c:pt>
                <c:pt idx="20">
                  <c:v>44</c:v>
                </c:pt>
                <c:pt idx="21">
                  <c:v>52</c:v>
                </c:pt>
                <c:pt idx="22">
                  <c:v>47</c:v>
                </c:pt>
                <c:pt idx="23">
                  <c:v>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6</c:v>
                </c:pt>
                <c:pt idx="34">
                  <c:v>11</c:v>
                </c:pt>
                <c:pt idx="35">
                  <c:v>13</c:v>
                </c:pt>
                <c:pt idx="3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31-45B3-B0D6-2A4656F10FF7}"/>
            </c:ext>
          </c:extLst>
        </c:ser>
        <c:ser>
          <c:idx val="4"/>
          <c:order val="4"/>
          <c:tx>
            <c:strRef>
              <c:f>'Totals Baseline'!$J$1</c:f>
              <c:strCache>
                <c:ptCount val="1"/>
                <c:pt idx="0">
                  <c:v>Avg B Producer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Baseline'!$F$2:$F$38</c:f>
              <c:numCache>
                <c:formatCode>0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Baseline'!$J$2:$J$38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11</c:v>
                </c:pt>
                <c:pt idx="11">
                  <c:v>20</c:v>
                </c:pt>
                <c:pt idx="12">
                  <c:v>22</c:v>
                </c:pt>
                <c:pt idx="13">
                  <c:v>20</c:v>
                </c:pt>
                <c:pt idx="14">
                  <c:v>29</c:v>
                </c:pt>
                <c:pt idx="15">
                  <c:v>39</c:v>
                </c:pt>
                <c:pt idx="16">
                  <c:v>45</c:v>
                </c:pt>
                <c:pt idx="17">
                  <c:v>40</c:v>
                </c:pt>
                <c:pt idx="18">
                  <c:v>49</c:v>
                </c:pt>
                <c:pt idx="19">
                  <c:v>59</c:v>
                </c:pt>
                <c:pt idx="20">
                  <c:v>55</c:v>
                </c:pt>
                <c:pt idx="21">
                  <c:v>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</c:v>
                </c:pt>
                <c:pt idx="32">
                  <c:v>10</c:v>
                </c:pt>
                <c:pt idx="33">
                  <c:v>13</c:v>
                </c:pt>
                <c:pt idx="34">
                  <c:v>11</c:v>
                </c:pt>
                <c:pt idx="35">
                  <c:v>16</c:v>
                </c:pt>
                <c:pt idx="3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31-45B3-B0D6-2A4656F10F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'Totals Baseline'!$F$1</c15:sqref>
                        </c15:formulaRef>
                      </c:ext>
                    </c:extLst>
                    <c:strCache>
                      <c:ptCount val="1"/>
                      <c:pt idx="0">
                        <c:v>t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ormulaRef>
                          <c15:sqref>'Totals Baseline'!$F$2:$F$38</c15:sqref>
                        </c15:formulaRef>
                      </c:ext>
                    </c:extLst>
                    <c:numCache>
                      <c:formatCode>0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'Totals Baseline'!$F$2:$F$38</c15:sqref>
                        </c15:formulaRef>
                      </c:ext>
                    </c:extLst>
                    <c:numCache>
                      <c:formatCode>0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B31-45B3-B0D6-2A4656F10FF7}"/>
                  </c:ext>
                </c:extLst>
              </c15:ser>
            </c15:filteredLineSeries>
          </c:ext>
        </c:extLst>
      </c:lineChart>
      <c:catAx>
        <c:axId val="142561800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(crates)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'Totals Baseline'!$L$1</c:f>
              <c:strCache>
                <c:ptCount val="1"/>
                <c:pt idx="0">
                  <c:v>Avg O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Baseline'!$K$2:$K$38</c:f>
              <c:numCache>
                <c:formatCode>0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Baseline'!$L$2:$L$38</c:f>
              <c:numCache>
                <c:formatCode>0.00</c:formatCode>
                <c:ptCount val="37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C2-42EE-9707-133F71706D79}"/>
            </c:ext>
          </c:extLst>
        </c:ser>
        <c:ser>
          <c:idx val="2"/>
          <c:order val="2"/>
          <c:tx>
            <c:strRef>
              <c:f>'Totals Baseline'!$M$1</c:f>
              <c:strCache>
                <c:ptCount val="1"/>
                <c:pt idx="0">
                  <c:v>Avg O Wholesaler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Baseline'!$K$2:$K$38</c:f>
              <c:numCache>
                <c:formatCode>0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Baseline'!$M$2:$M$38</c:f>
              <c:numCache>
                <c:formatCode>0.00</c:formatCode>
                <c:ptCount val="37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15</c:v>
                </c:pt>
                <c:pt idx="13">
                  <c:v>23</c:v>
                </c:pt>
                <c:pt idx="14">
                  <c:v>27</c:v>
                </c:pt>
                <c:pt idx="15">
                  <c:v>24</c:v>
                </c:pt>
                <c:pt idx="16">
                  <c:v>19</c:v>
                </c:pt>
                <c:pt idx="17">
                  <c:v>15</c:v>
                </c:pt>
                <c:pt idx="18">
                  <c:v>16</c:v>
                </c:pt>
                <c:pt idx="19">
                  <c:v>13</c:v>
                </c:pt>
                <c:pt idx="20">
                  <c:v>5</c:v>
                </c:pt>
                <c:pt idx="21">
                  <c:v>4</c:v>
                </c:pt>
                <c:pt idx="22">
                  <c:v>6</c:v>
                </c:pt>
                <c:pt idx="23">
                  <c:v>6</c:v>
                </c:pt>
                <c:pt idx="24">
                  <c:v>2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11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C2-42EE-9707-133F71706D79}"/>
            </c:ext>
          </c:extLst>
        </c:ser>
        <c:ser>
          <c:idx val="3"/>
          <c:order val="3"/>
          <c:tx>
            <c:strRef>
              <c:f>'Totals Baseline'!$N$1</c:f>
              <c:strCache>
                <c:ptCount val="1"/>
                <c:pt idx="0">
                  <c:v>Avg O Distributor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Baseline'!$K$2:$K$38</c:f>
              <c:numCache>
                <c:formatCode>0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Baseline'!$N$2:$N$38</c:f>
              <c:numCache>
                <c:formatCode>0.00</c:formatCode>
                <c:ptCount val="37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9</c:v>
                </c:pt>
                <c:pt idx="13">
                  <c:v>9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9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8</c:v>
                </c:pt>
                <c:pt idx="24">
                  <c:v>6</c:v>
                </c:pt>
                <c:pt idx="25">
                  <c:v>3</c:v>
                </c:pt>
                <c:pt idx="26">
                  <c:v>5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9</c:v>
                </c:pt>
                <c:pt idx="31">
                  <c:v>8</c:v>
                </c:pt>
                <c:pt idx="32">
                  <c:v>9</c:v>
                </c:pt>
                <c:pt idx="33">
                  <c:v>8</c:v>
                </c:pt>
                <c:pt idx="34">
                  <c:v>9</c:v>
                </c:pt>
                <c:pt idx="35">
                  <c:v>9</c:v>
                </c:pt>
                <c:pt idx="3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C2-42EE-9707-133F71706D79}"/>
            </c:ext>
          </c:extLst>
        </c:ser>
        <c:ser>
          <c:idx val="4"/>
          <c:order val="4"/>
          <c:tx>
            <c:strRef>
              <c:f>'Totals Baseline'!$O$1</c:f>
              <c:strCache>
                <c:ptCount val="1"/>
                <c:pt idx="0">
                  <c:v>Avg O Producer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Baseline'!$K$2:$K$38</c:f>
              <c:numCache>
                <c:formatCode>0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Baseline'!$O$2:$O$38</c:f>
              <c:numCache>
                <c:formatCode>0.00</c:formatCode>
                <c:ptCount val="37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8</c:v>
                </c:pt>
                <c:pt idx="10">
                  <c:v>12</c:v>
                </c:pt>
                <c:pt idx="11">
                  <c:v>15</c:v>
                </c:pt>
                <c:pt idx="12">
                  <c:v>16</c:v>
                </c:pt>
                <c:pt idx="13">
                  <c:v>14</c:v>
                </c:pt>
                <c:pt idx="14">
                  <c:v>12</c:v>
                </c:pt>
                <c:pt idx="15">
                  <c:v>11</c:v>
                </c:pt>
                <c:pt idx="16">
                  <c:v>13</c:v>
                </c:pt>
                <c:pt idx="17">
                  <c:v>11</c:v>
                </c:pt>
                <c:pt idx="18">
                  <c:v>8</c:v>
                </c:pt>
                <c:pt idx="19">
                  <c:v>10</c:v>
                </c:pt>
                <c:pt idx="20">
                  <c:v>12</c:v>
                </c:pt>
                <c:pt idx="21">
                  <c:v>10</c:v>
                </c:pt>
                <c:pt idx="22">
                  <c:v>6</c:v>
                </c:pt>
                <c:pt idx="23">
                  <c:v>4</c:v>
                </c:pt>
                <c:pt idx="24">
                  <c:v>6</c:v>
                </c:pt>
                <c:pt idx="25">
                  <c:v>6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3</c:v>
                </c:pt>
                <c:pt idx="30">
                  <c:v>6</c:v>
                </c:pt>
                <c:pt idx="31">
                  <c:v>10</c:v>
                </c:pt>
                <c:pt idx="32">
                  <c:v>12</c:v>
                </c:pt>
                <c:pt idx="33">
                  <c:v>11</c:v>
                </c:pt>
                <c:pt idx="34">
                  <c:v>12</c:v>
                </c:pt>
                <c:pt idx="35">
                  <c:v>10</c:v>
                </c:pt>
                <c:pt idx="3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C2-42EE-9707-133F71706D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'Totals Baseline'!$K$1</c15:sqref>
                        </c15:formulaRef>
                      </c:ext>
                    </c:extLst>
                    <c:strCache>
                      <c:ptCount val="1"/>
                      <c:pt idx="0">
                        <c:v>t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L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'Totals Baseline'!$K$2:$K$38</c15:sqref>
                        </c15:formulaRef>
                      </c:ext>
                    </c:extLst>
                    <c:numCache>
                      <c:formatCode>0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'Totals Baseline'!$K$2:$K$38</c15:sqref>
                        </c15:formulaRef>
                      </c:ext>
                    </c:extLst>
                    <c:numCache>
                      <c:formatCode>0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AC2-42EE-9707-133F71706D79}"/>
                  </c:ext>
                </c:extLst>
              </c15:ser>
            </c15:filteredLineSeries>
          </c:ext>
        </c:extLst>
      </c:lineChart>
      <c:catAx>
        <c:axId val="142561800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Holding Cost </a:t>
            </a:r>
          </a:p>
        </c:rich>
      </c:tx>
      <c:layout>
        <c:manualLayout>
          <c:xMode val="edge"/>
          <c:yMode val="edge"/>
          <c:x val="0.3191734470691163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'Totals Baseline'!$Q$1</c:f>
              <c:strCache>
                <c:ptCount val="1"/>
                <c:pt idx="0">
                  <c:v>Avg ihc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Baseline'!$Q$2:$Q$38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9.5</c:v>
                </c:pt>
                <c:pt idx="10">
                  <c:v>5.5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9.5</c:v>
                </c:pt>
                <c:pt idx="22">
                  <c:v>11</c:v>
                </c:pt>
                <c:pt idx="23">
                  <c:v>10.5</c:v>
                </c:pt>
                <c:pt idx="24">
                  <c:v>10.5</c:v>
                </c:pt>
                <c:pt idx="25">
                  <c:v>10.5</c:v>
                </c:pt>
                <c:pt idx="26">
                  <c:v>10.5</c:v>
                </c:pt>
                <c:pt idx="27">
                  <c:v>10</c:v>
                </c:pt>
                <c:pt idx="28">
                  <c:v>10</c:v>
                </c:pt>
                <c:pt idx="29">
                  <c:v>10.5</c:v>
                </c:pt>
                <c:pt idx="30">
                  <c:v>10</c:v>
                </c:pt>
                <c:pt idx="31">
                  <c:v>7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0-4642-8C94-4E08104B4092}"/>
            </c:ext>
          </c:extLst>
        </c:ser>
        <c:ser>
          <c:idx val="2"/>
          <c:order val="2"/>
          <c:tx>
            <c:strRef>
              <c:f>'Totals Baseline'!$R$1</c:f>
              <c:strCache>
                <c:ptCount val="1"/>
                <c:pt idx="0">
                  <c:v>Avg ihc Wholesaler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Baseline'!$R$2:$R$38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6.5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</c:v>
                </c:pt>
                <c:pt idx="21">
                  <c:v>14</c:v>
                </c:pt>
                <c:pt idx="22">
                  <c:v>18.5</c:v>
                </c:pt>
                <c:pt idx="23">
                  <c:v>19.5</c:v>
                </c:pt>
                <c:pt idx="24">
                  <c:v>16.5</c:v>
                </c:pt>
                <c:pt idx="25">
                  <c:v>15.5</c:v>
                </c:pt>
                <c:pt idx="26">
                  <c:v>15.5</c:v>
                </c:pt>
                <c:pt idx="27">
                  <c:v>15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13.5</c:v>
                </c:pt>
                <c:pt idx="34">
                  <c:v>8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00-4642-8C94-4E08104B4092}"/>
            </c:ext>
          </c:extLst>
        </c:ser>
        <c:ser>
          <c:idx val="3"/>
          <c:order val="3"/>
          <c:tx>
            <c:strRef>
              <c:f>'Totals Baseline'!$S$1</c:f>
              <c:strCache>
                <c:ptCount val="1"/>
                <c:pt idx="0">
                  <c:v>Avg ihc Distributor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Baseline'!$S$2:$S$38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4.5</c:v>
                </c:pt>
                <c:pt idx="25">
                  <c:v>5.5</c:v>
                </c:pt>
                <c:pt idx="26">
                  <c:v>5.5</c:v>
                </c:pt>
                <c:pt idx="27">
                  <c:v>4.5</c:v>
                </c:pt>
                <c:pt idx="28">
                  <c:v>2</c:v>
                </c:pt>
                <c:pt idx="29">
                  <c:v>0.5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00-4642-8C94-4E08104B4092}"/>
            </c:ext>
          </c:extLst>
        </c:ser>
        <c:ser>
          <c:idx val="4"/>
          <c:order val="4"/>
          <c:tx>
            <c:strRef>
              <c:f>'Totals Baseline'!$T$1</c:f>
              <c:strCache>
                <c:ptCount val="1"/>
                <c:pt idx="0">
                  <c:v>Avg ihc Producer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Baseline'!$T$2:$T$38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0.5</c:v>
                </c:pt>
                <c:pt idx="23">
                  <c:v>6</c:v>
                </c:pt>
                <c:pt idx="24">
                  <c:v>7</c:v>
                </c:pt>
                <c:pt idx="25">
                  <c:v>7</c:v>
                </c:pt>
                <c:pt idx="26">
                  <c:v>7.5</c:v>
                </c:pt>
                <c:pt idx="27">
                  <c:v>8</c:v>
                </c:pt>
                <c:pt idx="28">
                  <c:v>8</c:v>
                </c:pt>
                <c:pt idx="29">
                  <c:v>6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00-4642-8C94-4E08104B40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'Totals Baseline'!$P$1</c15:sqref>
                        </c15:formulaRef>
                      </c:ext>
                    </c:extLst>
                    <c:strCache>
                      <c:ptCount val="1"/>
                      <c:pt idx="0">
                        <c:v>t 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L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'Totals Baseline'!$P$2:$P$38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'Totals Baseline'!$P$2:$P$38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F00-4642-8C94-4E08104B4092}"/>
                  </c:ext>
                </c:extLst>
              </c15:ser>
            </c15:filteredLineSeries>
          </c:ext>
        </c:extLst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</a:t>
            </a:r>
            <a:r>
              <a:rPr lang="en-US" baseline="0"/>
              <a:t> Backlog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'Totals Baseline'!$V$1</c:f>
              <c:strCache>
                <c:ptCount val="1"/>
                <c:pt idx="0">
                  <c:v>Avg ubc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Baseline'!$V$2:$V$38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16</c:v>
                </c:pt>
                <c:pt idx="13">
                  <c:v>32</c:v>
                </c:pt>
                <c:pt idx="14">
                  <c:v>43</c:v>
                </c:pt>
                <c:pt idx="15">
                  <c:v>42</c:v>
                </c:pt>
                <c:pt idx="16">
                  <c:v>53</c:v>
                </c:pt>
                <c:pt idx="17">
                  <c:v>66</c:v>
                </c:pt>
                <c:pt idx="18">
                  <c:v>64</c:v>
                </c:pt>
                <c:pt idx="19">
                  <c:v>41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</c:v>
                </c:pt>
                <c:pt idx="34">
                  <c:v>19</c:v>
                </c:pt>
                <c:pt idx="35">
                  <c:v>30</c:v>
                </c:pt>
                <c:pt idx="36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69-4B0F-A7DD-E21FFE4749DF}"/>
            </c:ext>
          </c:extLst>
        </c:ser>
        <c:ser>
          <c:idx val="2"/>
          <c:order val="2"/>
          <c:tx>
            <c:strRef>
              <c:f>'Totals Baseline'!$W$1</c:f>
              <c:strCache>
                <c:ptCount val="1"/>
                <c:pt idx="0">
                  <c:v>Avg ubc Wholesaler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Baseline'!$W$2:$W$38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25</c:v>
                </c:pt>
                <c:pt idx="15">
                  <c:v>52</c:v>
                </c:pt>
                <c:pt idx="16">
                  <c:v>63</c:v>
                </c:pt>
                <c:pt idx="17">
                  <c:v>51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69-4B0F-A7DD-E21FFE4749DF}"/>
            </c:ext>
          </c:extLst>
        </c:ser>
        <c:ser>
          <c:idx val="3"/>
          <c:order val="3"/>
          <c:tx>
            <c:strRef>
              <c:f>'Totals Baseline'!$X$1</c:f>
              <c:strCache>
                <c:ptCount val="1"/>
                <c:pt idx="0">
                  <c:v>Avg ubc Distributor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Baseline'!$X$2:$X$38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16</c:v>
                </c:pt>
                <c:pt idx="13">
                  <c:v>23</c:v>
                </c:pt>
                <c:pt idx="14">
                  <c:v>23</c:v>
                </c:pt>
                <c:pt idx="15">
                  <c:v>20</c:v>
                </c:pt>
                <c:pt idx="16">
                  <c:v>28</c:v>
                </c:pt>
                <c:pt idx="17">
                  <c:v>36</c:v>
                </c:pt>
                <c:pt idx="18">
                  <c:v>41</c:v>
                </c:pt>
                <c:pt idx="19">
                  <c:v>36</c:v>
                </c:pt>
                <c:pt idx="20">
                  <c:v>44</c:v>
                </c:pt>
                <c:pt idx="21">
                  <c:v>52</c:v>
                </c:pt>
                <c:pt idx="22">
                  <c:v>47</c:v>
                </c:pt>
                <c:pt idx="23">
                  <c:v>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6</c:v>
                </c:pt>
                <c:pt idx="34">
                  <c:v>11</c:v>
                </c:pt>
                <c:pt idx="35">
                  <c:v>13</c:v>
                </c:pt>
                <c:pt idx="3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69-4B0F-A7DD-E21FFE4749DF}"/>
            </c:ext>
          </c:extLst>
        </c:ser>
        <c:ser>
          <c:idx val="4"/>
          <c:order val="4"/>
          <c:tx>
            <c:strRef>
              <c:f>'Totals Baseline'!$Y$1</c:f>
              <c:strCache>
                <c:ptCount val="1"/>
                <c:pt idx="0">
                  <c:v>Avg ubc Producer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Baseline'!$Y$2:$Y$38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11</c:v>
                </c:pt>
                <c:pt idx="11">
                  <c:v>20</c:v>
                </c:pt>
                <c:pt idx="12">
                  <c:v>22</c:v>
                </c:pt>
                <c:pt idx="13">
                  <c:v>20</c:v>
                </c:pt>
                <c:pt idx="14">
                  <c:v>29</c:v>
                </c:pt>
                <c:pt idx="15">
                  <c:v>39</c:v>
                </c:pt>
                <c:pt idx="16">
                  <c:v>45</c:v>
                </c:pt>
                <c:pt idx="17">
                  <c:v>40</c:v>
                </c:pt>
                <c:pt idx="18">
                  <c:v>49</c:v>
                </c:pt>
                <c:pt idx="19">
                  <c:v>59</c:v>
                </c:pt>
                <c:pt idx="20">
                  <c:v>55</c:v>
                </c:pt>
                <c:pt idx="21">
                  <c:v>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</c:v>
                </c:pt>
                <c:pt idx="32">
                  <c:v>10</c:v>
                </c:pt>
                <c:pt idx="33">
                  <c:v>13</c:v>
                </c:pt>
                <c:pt idx="34">
                  <c:v>11</c:v>
                </c:pt>
                <c:pt idx="35">
                  <c:v>16</c:v>
                </c:pt>
                <c:pt idx="3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69-4B0F-A7DD-E21FFE4749D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'Totals Baseline'!$U$1</c15:sqref>
                        </c15:formulaRef>
                      </c:ext>
                    </c:extLst>
                    <c:strCache>
                      <c:ptCount val="1"/>
                      <c:pt idx="0">
                        <c:v>t  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L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'Totals Baseline'!$U$2:$U$38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'Totals Baseline'!$U$2:$U$38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969-4B0F-A7DD-E21FFE4749DF}"/>
                  </c:ext>
                </c:extLst>
              </c15:ser>
            </c15:filteredLineSeries>
          </c:ext>
        </c:extLst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</a:t>
            </a:r>
            <a:r>
              <a:rPr lang="en-US" baseline="0"/>
              <a:t>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'Totals Baseline'!$AA$1</c:f>
              <c:strCache>
                <c:ptCount val="1"/>
                <c:pt idx="0">
                  <c:v>Avg TC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Baseline'!$Z$2:$Z$38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Baseline'!$AA$2:$AA$38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44</c:v>
                </c:pt>
                <c:pt idx="8">
                  <c:v>54</c:v>
                </c:pt>
                <c:pt idx="9">
                  <c:v>63.5</c:v>
                </c:pt>
                <c:pt idx="10">
                  <c:v>69</c:v>
                </c:pt>
                <c:pt idx="11">
                  <c:v>70</c:v>
                </c:pt>
                <c:pt idx="12">
                  <c:v>86</c:v>
                </c:pt>
                <c:pt idx="13">
                  <c:v>118</c:v>
                </c:pt>
                <c:pt idx="14">
                  <c:v>161</c:v>
                </c:pt>
                <c:pt idx="15">
                  <c:v>203</c:v>
                </c:pt>
                <c:pt idx="16">
                  <c:v>256</c:v>
                </c:pt>
                <c:pt idx="17">
                  <c:v>322</c:v>
                </c:pt>
                <c:pt idx="18">
                  <c:v>386</c:v>
                </c:pt>
                <c:pt idx="19">
                  <c:v>427</c:v>
                </c:pt>
                <c:pt idx="20">
                  <c:v>436</c:v>
                </c:pt>
                <c:pt idx="21">
                  <c:v>445.5</c:v>
                </c:pt>
                <c:pt idx="22">
                  <c:v>456.5</c:v>
                </c:pt>
                <c:pt idx="23">
                  <c:v>467</c:v>
                </c:pt>
                <c:pt idx="24">
                  <c:v>477.5</c:v>
                </c:pt>
                <c:pt idx="25">
                  <c:v>488</c:v>
                </c:pt>
                <c:pt idx="26">
                  <c:v>498.5</c:v>
                </c:pt>
                <c:pt idx="27">
                  <c:v>508.5</c:v>
                </c:pt>
                <c:pt idx="28">
                  <c:v>518.5</c:v>
                </c:pt>
                <c:pt idx="29">
                  <c:v>529</c:v>
                </c:pt>
                <c:pt idx="30">
                  <c:v>539</c:v>
                </c:pt>
                <c:pt idx="31">
                  <c:v>546</c:v>
                </c:pt>
                <c:pt idx="32">
                  <c:v>548</c:v>
                </c:pt>
                <c:pt idx="33">
                  <c:v>556</c:v>
                </c:pt>
                <c:pt idx="34">
                  <c:v>575</c:v>
                </c:pt>
                <c:pt idx="35">
                  <c:v>605</c:v>
                </c:pt>
                <c:pt idx="36">
                  <c:v>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6-497C-BAD9-86E65D5B9DE3}"/>
            </c:ext>
          </c:extLst>
        </c:ser>
        <c:ser>
          <c:idx val="2"/>
          <c:order val="2"/>
          <c:tx>
            <c:strRef>
              <c:f>'Totals Baseline'!$AB$1</c:f>
              <c:strCache>
                <c:ptCount val="1"/>
                <c:pt idx="0">
                  <c:v>Avg TC Wholesaler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Baseline'!$Z$2:$Z$38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Baseline'!$AB$2:$AB$38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44</c:v>
                </c:pt>
                <c:pt idx="8">
                  <c:v>52</c:v>
                </c:pt>
                <c:pt idx="9">
                  <c:v>60</c:v>
                </c:pt>
                <c:pt idx="10">
                  <c:v>68</c:v>
                </c:pt>
                <c:pt idx="11">
                  <c:v>76</c:v>
                </c:pt>
                <c:pt idx="12">
                  <c:v>82.5</c:v>
                </c:pt>
                <c:pt idx="13">
                  <c:v>84.5</c:v>
                </c:pt>
                <c:pt idx="14">
                  <c:v>109.5</c:v>
                </c:pt>
                <c:pt idx="15">
                  <c:v>161.5</c:v>
                </c:pt>
                <c:pt idx="16">
                  <c:v>224.5</c:v>
                </c:pt>
                <c:pt idx="17">
                  <c:v>275.5</c:v>
                </c:pt>
                <c:pt idx="18">
                  <c:v>299.5</c:v>
                </c:pt>
                <c:pt idx="19">
                  <c:v>299.5</c:v>
                </c:pt>
                <c:pt idx="20">
                  <c:v>307.5</c:v>
                </c:pt>
                <c:pt idx="21">
                  <c:v>321.5</c:v>
                </c:pt>
                <c:pt idx="22">
                  <c:v>340</c:v>
                </c:pt>
                <c:pt idx="23">
                  <c:v>359.5</c:v>
                </c:pt>
                <c:pt idx="24">
                  <c:v>376</c:v>
                </c:pt>
                <c:pt idx="25">
                  <c:v>391.5</c:v>
                </c:pt>
                <c:pt idx="26">
                  <c:v>407</c:v>
                </c:pt>
                <c:pt idx="27">
                  <c:v>422</c:v>
                </c:pt>
                <c:pt idx="28">
                  <c:v>436</c:v>
                </c:pt>
                <c:pt idx="29">
                  <c:v>450</c:v>
                </c:pt>
                <c:pt idx="30">
                  <c:v>464</c:v>
                </c:pt>
                <c:pt idx="31">
                  <c:v>478</c:v>
                </c:pt>
                <c:pt idx="32">
                  <c:v>492</c:v>
                </c:pt>
                <c:pt idx="33">
                  <c:v>505.5</c:v>
                </c:pt>
                <c:pt idx="34">
                  <c:v>513.5</c:v>
                </c:pt>
                <c:pt idx="35">
                  <c:v>515.5</c:v>
                </c:pt>
                <c:pt idx="36">
                  <c:v>535.5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C6-497C-BAD9-86E65D5B9DE3}"/>
            </c:ext>
          </c:extLst>
        </c:ser>
        <c:ser>
          <c:idx val="3"/>
          <c:order val="3"/>
          <c:tx>
            <c:strRef>
              <c:f>'Totals Baseline'!$AC$1</c:f>
              <c:strCache>
                <c:ptCount val="1"/>
                <c:pt idx="0">
                  <c:v>Avg TC Distributor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Baseline'!$Z$2:$Z$38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Baseline'!$AC$2:$AC$38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28</c:v>
                </c:pt>
                <c:pt idx="6">
                  <c:v>30</c:v>
                </c:pt>
                <c:pt idx="7">
                  <c:v>30</c:v>
                </c:pt>
                <c:pt idx="8">
                  <c:v>34</c:v>
                </c:pt>
                <c:pt idx="9">
                  <c:v>42</c:v>
                </c:pt>
                <c:pt idx="10">
                  <c:v>50</c:v>
                </c:pt>
                <c:pt idx="11">
                  <c:v>58</c:v>
                </c:pt>
                <c:pt idx="12">
                  <c:v>74</c:v>
                </c:pt>
                <c:pt idx="13">
                  <c:v>97</c:v>
                </c:pt>
                <c:pt idx="14">
                  <c:v>120</c:v>
                </c:pt>
                <c:pt idx="15">
                  <c:v>140</c:v>
                </c:pt>
                <c:pt idx="16">
                  <c:v>168</c:v>
                </c:pt>
                <c:pt idx="17">
                  <c:v>204</c:v>
                </c:pt>
                <c:pt idx="18">
                  <c:v>245</c:v>
                </c:pt>
                <c:pt idx="19">
                  <c:v>281</c:v>
                </c:pt>
                <c:pt idx="20">
                  <c:v>325</c:v>
                </c:pt>
                <c:pt idx="21">
                  <c:v>377</c:v>
                </c:pt>
                <c:pt idx="22">
                  <c:v>424</c:v>
                </c:pt>
                <c:pt idx="23">
                  <c:v>448</c:v>
                </c:pt>
                <c:pt idx="24">
                  <c:v>452.5</c:v>
                </c:pt>
                <c:pt idx="25">
                  <c:v>458</c:v>
                </c:pt>
                <c:pt idx="26">
                  <c:v>463.5</c:v>
                </c:pt>
                <c:pt idx="27">
                  <c:v>468</c:v>
                </c:pt>
                <c:pt idx="28">
                  <c:v>470</c:v>
                </c:pt>
                <c:pt idx="29">
                  <c:v>470.5</c:v>
                </c:pt>
                <c:pt idx="30">
                  <c:v>471.5</c:v>
                </c:pt>
                <c:pt idx="31">
                  <c:v>473.5</c:v>
                </c:pt>
                <c:pt idx="32">
                  <c:v>475.5</c:v>
                </c:pt>
                <c:pt idx="33">
                  <c:v>481.5</c:v>
                </c:pt>
                <c:pt idx="34">
                  <c:v>492.5</c:v>
                </c:pt>
                <c:pt idx="35">
                  <c:v>505.5</c:v>
                </c:pt>
                <c:pt idx="36">
                  <c:v>516.5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C6-497C-BAD9-86E65D5B9DE3}"/>
            </c:ext>
          </c:extLst>
        </c:ser>
        <c:ser>
          <c:idx val="4"/>
          <c:order val="4"/>
          <c:tx>
            <c:strRef>
              <c:f>'Totals Baseline'!$AD$1</c:f>
              <c:strCache>
                <c:ptCount val="1"/>
                <c:pt idx="0">
                  <c:v>Avg TC Producer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Baseline'!$Z$2:$Z$38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Baseline'!$AD$2:$AD$38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46</c:v>
                </c:pt>
                <c:pt idx="9">
                  <c:v>47</c:v>
                </c:pt>
                <c:pt idx="10">
                  <c:v>58</c:v>
                </c:pt>
                <c:pt idx="11">
                  <c:v>78</c:v>
                </c:pt>
                <c:pt idx="12">
                  <c:v>100</c:v>
                </c:pt>
                <c:pt idx="13">
                  <c:v>120</c:v>
                </c:pt>
                <c:pt idx="14">
                  <c:v>149</c:v>
                </c:pt>
                <c:pt idx="15">
                  <c:v>188</c:v>
                </c:pt>
                <c:pt idx="16">
                  <c:v>233</c:v>
                </c:pt>
                <c:pt idx="17">
                  <c:v>273</c:v>
                </c:pt>
                <c:pt idx="18">
                  <c:v>322</c:v>
                </c:pt>
                <c:pt idx="19">
                  <c:v>381</c:v>
                </c:pt>
                <c:pt idx="20">
                  <c:v>436</c:v>
                </c:pt>
                <c:pt idx="21">
                  <c:v>468</c:v>
                </c:pt>
                <c:pt idx="22">
                  <c:v>468.5</c:v>
                </c:pt>
                <c:pt idx="23">
                  <c:v>474.5</c:v>
                </c:pt>
                <c:pt idx="24">
                  <c:v>481.5</c:v>
                </c:pt>
                <c:pt idx="25">
                  <c:v>488.5</c:v>
                </c:pt>
                <c:pt idx="26">
                  <c:v>496</c:v>
                </c:pt>
                <c:pt idx="27">
                  <c:v>504</c:v>
                </c:pt>
                <c:pt idx="28">
                  <c:v>512</c:v>
                </c:pt>
                <c:pt idx="29">
                  <c:v>518</c:v>
                </c:pt>
                <c:pt idx="30">
                  <c:v>520</c:v>
                </c:pt>
                <c:pt idx="31">
                  <c:v>525</c:v>
                </c:pt>
                <c:pt idx="32">
                  <c:v>535</c:v>
                </c:pt>
                <c:pt idx="33">
                  <c:v>548</c:v>
                </c:pt>
                <c:pt idx="34">
                  <c:v>559</c:v>
                </c:pt>
                <c:pt idx="35">
                  <c:v>575</c:v>
                </c:pt>
                <c:pt idx="36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C6-497C-BAD9-86E65D5B9D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'Totals Baseline'!$Z$1</c15:sqref>
                        </c15:formulaRef>
                      </c:ext>
                    </c:extLst>
                    <c:strCache>
                      <c:ptCount val="1"/>
                      <c:pt idx="0">
                        <c:v>t6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L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'Totals Baseline'!$Z$2:$Z$38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'Totals Baseline'!$Z$2:$Z$38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0C6-497C-BAD9-86E65D5B9DE3}"/>
                  </c:ext>
                </c:extLst>
              </c15:ser>
            </c15:filteredLineSeries>
          </c:ext>
        </c:extLst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(crates)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'Totals Baseline'!$B$1</c:f>
              <c:strCache>
                <c:ptCount val="1"/>
                <c:pt idx="0">
                  <c:v>Avg I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Baseline'!$B$2:$B$38</c:f>
              <c:numCache>
                <c:formatCode>0.00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19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19</c:v>
                </c:pt>
                <c:pt idx="22">
                  <c:v>22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20</c:v>
                </c:pt>
                <c:pt idx="28">
                  <c:v>20</c:v>
                </c:pt>
                <c:pt idx="29">
                  <c:v>21</c:v>
                </c:pt>
                <c:pt idx="30">
                  <c:v>20</c:v>
                </c:pt>
                <c:pt idx="31">
                  <c:v>14</c:v>
                </c:pt>
                <c:pt idx="32">
                  <c:v>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BB-44F2-9BF1-91C0FF5057AA}"/>
            </c:ext>
          </c:extLst>
        </c:ser>
        <c:ser>
          <c:idx val="2"/>
          <c:order val="2"/>
          <c:tx>
            <c:strRef>
              <c:f>'Totals Baseline'!$C$1</c:f>
              <c:strCache>
                <c:ptCount val="1"/>
                <c:pt idx="0">
                  <c:v>Avg I Wholesaler</c:v>
                </c:pt>
              </c:strCache>
            </c:strRef>
          </c:tx>
          <c:spPr>
            <a:ln w="28575" cap="rnd">
              <a:solidFill>
                <a:srgbClr val="80C47E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Baseline'!$C$2:$C$38</c:f>
              <c:numCache>
                <c:formatCode>0.00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16</c:v>
                </c:pt>
                <c:pt idx="21">
                  <c:v>28</c:v>
                </c:pt>
                <c:pt idx="22">
                  <c:v>37</c:v>
                </c:pt>
                <c:pt idx="23">
                  <c:v>39</c:v>
                </c:pt>
                <c:pt idx="24">
                  <c:v>33</c:v>
                </c:pt>
                <c:pt idx="25">
                  <c:v>31</c:v>
                </c:pt>
                <c:pt idx="26">
                  <c:v>31</c:v>
                </c:pt>
                <c:pt idx="27">
                  <c:v>30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27</c:v>
                </c:pt>
                <c:pt idx="34">
                  <c:v>16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BB-44F2-9BF1-91C0FF5057AA}"/>
            </c:ext>
          </c:extLst>
        </c:ser>
        <c:ser>
          <c:idx val="3"/>
          <c:order val="3"/>
          <c:tx>
            <c:strRef>
              <c:f>'Totals Baseline'!$D$1</c:f>
              <c:strCache>
                <c:ptCount val="1"/>
                <c:pt idx="0">
                  <c:v>Avg I Distributor</c:v>
                </c:pt>
              </c:strCache>
            </c:strRef>
          </c:tx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Baseline'!$D$2:$D$38</c:f>
              <c:numCache>
                <c:formatCode>0.00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8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</c:v>
                </c:pt>
                <c:pt idx="25">
                  <c:v>11</c:v>
                </c:pt>
                <c:pt idx="26">
                  <c:v>11</c:v>
                </c:pt>
                <c:pt idx="27">
                  <c:v>9</c:v>
                </c:pt>
                <c:pt idx="28">
                  <c:v>4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BB-44F2-9BF1-91C0FF5057AA}"/>
            </c:ext>
          </c:extLst>
        </c:ser>
        <c:ser>
          <c:idx val="4"/>
          <c:order val="4"/>
          <c:tx>
            <c:strRef>
              <c:f>'Totals Baseline'!$E$1</c:f>
              <c:strCache>
                <c:ptCount val="1"/>
                <c:pt idx="0">
                  <c:v>Avg I Producer</c:v>
                </c:pt>
              </c:strCache>
            </c:strRef>
          </c:tx>
          <c:spPr>
            <a:ln w="28575" cap="rnd">
              <a:solidFill>
                <a:srgbClr val="9900CC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Baseline'!$E$2:$E$38</c:f>
              <c:numCache>
                <c:formatCode>0.00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12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12</c:v>
                </c:pt>
                <c:pt idx="30">
                  <c:v>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BB-44F2-9BF1-91C0FF5057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'Totals ELV'!$A$1</c15:sqref>
                        </c15:formulaRef>
                      </c:ext>
                    </c:extLst>
                    <c:strCache>
                      <c:ptCount val="1"/>
                      <c:pt idx="0">
                        <c:v>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ormulaRef>
                          <c15:sqref>'Totals ELV'!$A$2:$A$38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'Totals ELV'!$A$2:$A$38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6BB-44F2-9BF1-91C0FF5057AA}"/>
                  </c:ext>
                </c:extLst>
              </c15:ser>
            </c15:filteredLineSeries>
          </c:ext>
        </c:extLst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Backlog (crates)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'Totals ELV'!$G$1</c:f>
              <c:strCache>
                <c:ptCount val="1"/>
                <c:pt idx="0">
                  <c:v>Avg B Retailer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ELV'!$F$2:$F$38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ELV'!$G$2:$G$38</c:f>
              <c:numCache>
                <c:formatCode>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6E-481F-89FB-459BD6194B51}"/>
            </c:ext>
          </c:extLst>
        </c:ser>
        <c:ser>
          <c:idx val="1"/>
          <c:order val="1"/>
          <c:tx>
            <c:strRef>
              <c:f>'Totals Baseline'!$G$1</c:f>
              <c:strCache>
                <c:ptCount val="1"/>
                <c:pt idx="0">
                  <c:v>Avg B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ELV'!$F$2:$F$38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Baseline'!$G$2:$G$38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16</c:v>
                </c:pt>
                <c:pt idx="13">
                  <c:v>32</c:v>
                </c:pt>
                <c:pt idx="14">
                  <c:v>43</c:v>
                </c:pt>
                <c:pt idx="15">
                  <c:v>42</c:v>
                </c:pt>
                <c:pt idx="16">
                  <c:v>53</c:v>
                </c:pt>
                <c:pt idx="17">
                  <c:v>66</c:v>
                </c:pt>
                <c:pt idx="18">
                  <c:v>64</c:v>
                </c:pt>
                <c:pt idx="19">
                  <c:v>41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</c:v>
                </c:pt>
                <c:pt idx="34">
                  <c:v>19</c:v>
                </c:pt>
                <c:pt idx="35">
                  <c:v>30</c:v>
                </c:pt>
                <c:pt idx="36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E-481F-89FB-459BD6194B51}"/>
            </c:ext>
          </c:extLst>
        </c:ser>
        <c:ser>
          <c:idx val="2"/>
          <c:order val="2"/>
          <c:tx>
            <c:strRef>
              <c:f>'Totals Baseline'!$H$1</c:f>
              <c:strCache>
                <c:ptCount val="1"/>
                <c:pt idx="0">
                  <c:v>Avg B Wholesaler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ELV'!$F$2:$F$38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Baseline'!$H$2:$H$38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25</c:v>
                </c:pt>
                <c:pt idx="15">
                  <c:v>52</c:v>
                </c:pt>
                <c:pt idx="16">
                  <c:v>63</c:v>
                </c:pt>
                <c:pt idx="17">
                  <c:v>51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6E-481F-89FB-459BD6194B51}"/>
            </c:ext>
          </c:extLst>
        </c:ser>
        <c:ser>
          <c:idx val="3"/>
          <c:order val="3"/>
          <c:tx>
            <c:strRef>
              <c:f>'Totals Baseline'!$I$1</c:f>
              <c:strCache>
                <c:ptCount val="1"/>
                <c:pt idx="0">
                  <c:v>Avg B Distributor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ELV'!$F$2:$F$38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Baseline'!$I$2:$I$38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16</c:v>
                </c:pt>
                <c:pt idx="13">
                  <c:v>23</c:v>
                </c:pt>
                <c:pt idx="14">
                  <c:v>23</c:v>
                </c:pt>
                <c:pt idx="15">
                  <c:v>20</c:v>
                </c:pt>
                <c:pt idx="16">
                  <c:v>28</c:v>
                </c:pt>
                <c:pt idx="17">
                  <c:v>36</c:v>
                </c:pt>
                <c:pt idx="18">
                  <c:v>41</c:v>
                </c:pt>
                <c:pt idx="19">
                  <c:v>36</c:v>
                </c:pt>
                <c:pt idx="20">
                  <c:v>44</c:v>
                </c:pt>
                <c:pt idx="21">
                  <c:v>52</c:v>
                </c:pt>
                <c:pt idx="22">
                  <c:v>47</c:v>
                </c:pt>
                <c:pt idx="23">
                  <c:v>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6</c:v>
                </c:pt>
                <c:pt idx="34">
                  <c:v>11</c:v>
                </c:pt>
                <c:pt idx="35">
                  <c:v>13</c:v>
                </c:pt>
                <c:pt idx="3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6E-481F-89FB-459BD6194B51}"/>
            </c:ext>
          </c:extLst>
        </c:ser>
        <c:ser>
          <c:idx val="4"/>
          <c:order val="4"/>
          <c:tx>
            <c:strRef>
              <c:f>'Totals Baseline'!$J$1</c:f>
              <c:strCache>
                <c:ptCount val="1"/>
                <c:pt idx="0">
                  <c:v>Avg B Producer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ELV'!$F$2:$F$38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Baseline'!$J$2:$J$38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11</c:v>
                </c:pt>
                <c:pt idx="11">
                  <c:v>20</c:v>
                </c:pt>
                <c:pt idx="12">
                  <c:v>22</c:v>
                </c:pt>
                <c:pt idx="13">
                  <c:v>20</c:v>
                </c:pt>
                <c:pt idx="14">
                  <c:v>29</c:v>
                </c:pt>
                <c:pt idx="15">
                  <c:v>39</c:v>
                </c:pt>
                <c:pt idx="16">
                  <c:v>45</c:v>
                </c:pt>
                <c:pt idx="17">
                  <c:v>40</c:v>
                </c:pt>
                <c:pt idx="18">
                  <c:v>49</c:v>
                </c:pt>
                <c:pt idx="19">
                  <c:v>59</c:v>
                </c:pt>
                <c:pt idx="20">
                  <c:v>55</c:v>
                </c:pt>
                <c:pt idx="21">
                  <c:v>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</c:v>
                </c:pt>
                <c:pt idx="32">
                  <c:v>10</c:v>
                </c:pt>
                <c:pt idx="33">
                  <c:v>13</c:v>
                </c:pt>
                <c:pt idx="34">
                  <c:v>11</c:v>
                </c:pt>
                <c:pt idx="35">
                  <c:v>16</c:v>
                </c:pt>
                <c:pt idx="3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6E-481F-89FB-459BD6194B5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/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(crates)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'Totals ELV'!$M$1</c:f>
              <c:strCache>
                <c:ptCount val="1"/>
                <c:pt idx="0">
                  <c:v>Avg O Wholesaler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ELV'!$K$2:$K$38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ELV'!$M$2:$M$38</c:f>
              <c:numCache>
                <c:formatCode>0</c:formatCode>
                <c:ptCount val="37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0</c:v>
                </c:pt>
                <c:pt idx="7">
                  <c:v>0.4</c:v>
                </c:pt>
                <c:pt idx="8">
                  <c:v>8.8000000000000007</c:v>
                </c:pt>
                <c:pt idx="9">
                  <c:v>12.8</c:v>
                </c:pt>
                <c:pt idx="10">
                  <c:v>10.1</c:v>
                </c:pt>
                <c:pt idx="11">
                  <c:v>4.7</c:v>
                </c:pt>
                <c:pt idx="12">
                  <c:v>0.9</c:v>
                </c:pt>
                <c:pt idx="13">
                  <c:v>3.7</c:v>
                </c:pt>
                <c:pt idx="14">
                  <c:v>10.3</c:v>
                </c:pt>
                <c:pt idx="15">
                  <c:v>12</c:v>
                </c:pt>
                <c:pt idx="16">
                  <c:v>9</c:v>
                </c:pt>
                <c:pt idx="17">
                  <c:v>3.6</c:v>
                </c:pt>
                <c:pt idx="18">
                  <c:v>2.8</c:v>
                </c:pt>
                <c:pt idx="19">
                  <c:v>5.5</c:v>
                </c:pt>
                <c:pt idx="20">
                  <c:v>10</c:v>
                </c:pt>
                <c:pt idx="21">
                  <c:v>10.6</c:v>
                </c:pt>
                <c:pt idx="22">
                  <c:v>6.4</c:v>
                </c:pt>
                <c:pt idx="23">
                  <c:v>3.8</c:v>
                </c:pt>
                <c:pt idx="24">
                  <c:v>4</c:v>
                </c:pt>
                <c:pt idx="25">
                  <c:v>7.4</c:v>
                </c:pt>
                <c:pt idx="26">
                  <c:v>10.4</c:v>
                </c:pt>
                <c:pt idx="27">
                  <c:v>7.2</c:v>
                </c:pt>
                <c:pt idx="28">
                  <c:v>6</c:v>
                </c:pt>
                <c:pt idx="29">
                  <c:v>5.0999999999999996</c:v>
                </c:pt>
                <c:pt idx="30">
                  <c:v>6.1</c:v>
                </c:pt>
                <c:pt idx="31">
                  <c:v>8.1</c:v>
                </c:pt>
                <c:pt idx="32">
                  <c:v>7</c:v>
                </c:pt>
                <c:pt idx="33">
                  <c:v>7.6</c:v>
                </c:pt>
                <c:pt idx="34">
                  <c:v>6.7</c:v>
                </c:pt>
                <c:pt idx="35">
                  <c:v>6.4</c:v>
                </c:pt>
                <c:pt idx="36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51-468D-B5BC-466DD7255818}"/>
            </c:ext>
          </c:extLst>
        </c:ser>
        <c:ser>
          <c:idx val="1"/>
          <c:order val="1"/>
          <c:tx>
            <c:strRef>
              <c:f>'Totals Baseline'!$L$1</c:f>
              <c:strCache>
                <c:ptCount val="1"/>
                <c:pt idx="0">
                  <c:v>Avg O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ELV'!$K$2:$K$38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Baseline'!$L$2:$L$38</c:f>
              <c:numCache>
                <c:formatCode>0.00</c:formatCode>
                <c:ptCount val="37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51-468D-B5BC-466DD7255818}"/>
            </c:ext>
          </c:extLst>
        </c:ser>
        <c:ser>
          <c:idx val="2"/>
          <c:order val="2"/>
          <c:tx>
            <c:strRef>
              <c:f>'Totals Baseline'!$M$1</c:f>
              <c:strCache>
                <c:ptCount val="1"/>
                <c:pt idx="0">
                  <c:v>Avg O Wholesaler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ELV'!$K$2:$K$38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Baseline'!$M$2:$M$38</c:f>
              <c:numCache>
                <c:formatCode>0.00</c:formatCode>
                <c:ptCount val="37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15</c:v>
                </c:pt>
                <c:pt idx="13">
                  <c:v>23</c:v>
                </c:pt>
                <c:pt idx="14">
                  <c:v>27</c:v>
                </c:pt>
                <c:pt idx="15">
                  <c:v>24</c:v>
                </c:pt>
                <c:pt idx="16">
                  <c:v>19</c:v>
                </c:pt>
                <c:pt idx="17">
                  <c:v>15</c:v>
                </c:pt>
                <c:pt idx="18">
                  <c:v>16</c:v>
                </c:pt>
                <c:pt idx="19">
                  <c:v>13</c:v>
                </c:pt>
                <c:pt idx="20">
                  <c:v>5</c:v>
                </c:pt>
                <c:pt idx="21">
                  <c:v>4</c:v>
                </c:pt>
                <c:pt idx="22">
                  <c:v>6</c:v>
                </c:pt>
                <c:pt idx="23">
                  <c:v>6</c:v>
                </c:pt>
                <c:pt idx="24">
                  <c:v>2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11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51-468D-B5BC-466DD7255818}"/>
            </c:ext>
          </c:extLst>
        </c:ser>
        <c:ser>
          <c:idx val="3"/>
          <c:order val="3"/>
          <c:tx>
            <c:strRef>
              <c:f>'Totals Baseline'!$N$1</c:f>
              <c:strCache>
                <c:ptCount val="1"/>
                <c:pt idx="0">
                  <c:v>Avg O Distributor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ELV'!$K$2:$K$38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Baseline'!$N$2:$N$38</c:f>
              <c:numCache>
                <c:formatCode>0.00</c:formatCode>
                <c:ptCount val="37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9</c:v>
                </c:pt>
                <c:pt idx="13">
                  <c:v>9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9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8</c:v>
                </c:pt>
                <c:pt idx="24">
                  <c:v>6</c:v>
                </c:pt>
                <c:pt idx="25">
                  <c:v>3</c:v>
                </c:pt>
                <c:pt idx="26">
                  <c:v>5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9</c:v>
                </c:pt>
                <c:pt idx="31">
                  <c:v>8</c:v>
                </c:pt>
                <c:pt idx="32">
                  <c:v>9</c:v>
                </c:pt>
                <c:pt idx="33">
                  <c:v>8</c:v>
                </c:pt>
                <c:pt idx="34">
                  <c:v>9</c:v>
                </c:pt>
                <c:pt idx="35">
                  <c:v>9</c:v>
                </c:pt>
                <c:pt idx="3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51-468D-B5BC-466DD7255818}"/>
            </c:ext>
          </c:extLst>
        </c:ser>
        <c:ser>
          <c:idx val="4"/>
          <c:order val="4"/>
          <c:tx>
            <c:strRef>
              <c:f>'Totals Baseline'!$O$1</c:f>
              <c:strCache>
                <c:ptCount val="1"/>
                <c:pt idx="0">
                  <c:v>Avg O Producer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ELV'!$K$2:$K$38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Baseline'!$O$2:$O$38</c:f>
              <c:numCache>
                <c:formatCode>0.00</c:formatCode>
                <c:ptCount val="37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8</c:v>
                </c:pt>
                <c:pt idx="10">
                  <c:v>12</c:v>
                </c:pt>
                <c:pt idx="11">
                  <c:v>15</c:v>
                </c:pt>
                <c:pt idx="12">
                  <c:v>16</c:v>
                </c:pt>
                <c:pt idx="13">
                  <c:v>14</c:v>
                </c:pt>
                <c:pt idx="14">
                  <c:v>12</c:v>
                </c:pt>
                <c:pt idx="15">
                  <c:v>11</c:v>
                </c:pt>
                <c:pt idx="16">
                  <c:v>13</c:v>
                </c:pt>
                <c:pt idx="17">
                  <c:v>11</c:v>
                </c:pt>
                <c:pt idx="18">
                  <c:v>8</c:v>
                </c:pt>
                <c:pt idx="19">
                  <c:v>10</c:v>
                </c:pt>
                <c:pt idx="20">
                  <c:v>12</c:v>
                </c:pt>
                <c:pt idx="21">
                  <c:v>10</c:v>
                </c:pt>
                <c:pt idx="22">
                  <c:v>6</c:v>
                </c:pt>
                <c:pt idx="23">
                  <c:v>4</c:v>
                </c:pt>
                <c:pt idx="24">
                  <c:v>6</c:v>
                </c:pt>
                <c:pt idx="25">
                  <c:v>6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3</c:v>
                </c:pt>
                <c:pt idx="30">
                  <c:v>6</c:v>
                </c:pt>
                <c:pt idx="31">
                  <c:v>10</c:v>
                </c:pt>
                <c:pt idx="32">
                  <c:v>12</c:v>
                </c:pt>
                <c:pt idx="33">
                  <c:v>11</c:v>
                </c:pt>
                <c:pt idx="34">
                  <c:v>12</c:v>
                </c:pt>
                <c:pt idx="35">
                  <c:v>10</c:v>
                </c:pt>
                <c:pt idx="3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51-468D-B5BC-466DD72558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/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Holding Cost </a:t>
            </a:r>
          </a:p>
        </c:rich>
      </c:tx>
      <c:layout>
        <c:manualLayout>
          <c:xMode val="edge"/>
          <c:yMode val="edge"/>
          <c:x val="0.3191734470691163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'Totals ELV'!$S$1</c:f>
              <c:strCache>
                <c:ptCount val="1"/>
                <c:pt idx="0">
                  <c:v>Avg ihc Distributor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ELV'!$S$2:$S$38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4.2</c:v>
                </c:pt>
                <c:pt idx="5">
                  <c:v>5.8</c:v>
                </c:pt>
                <c:pt idx="6">
                  <c:v>6</c:v>
                </c:pt>
                <c:pt idx="7">
                  <c:v>8</c:v>
                </c:pt>
                <c:pt idx="8">
                  <c:v>7.8</c:v>
                </c:pt>
                <c:pt idx="9">
                  <c:v>2.35</c:v>
                </c:pt>
                <c:pt idx="10">
                  <c:v>0.65</c:v>
                </c:pt>
                <c:pt idx="11">
                  <c:v>1.1499999999999999</c:v>
                </c:pt>
                <c:pt idx="12">
                  <c:v>3.65</c:v>
                </c:pt>
                <c:pt idx="13">
                  <c:v>9.25</c:v>
                </c:pt>
                <c:pt idx="14">
                  <c:v>8.5</c:v>
                </c:pt>
                <c:pt idx="15">
                  <c:v>4.7</c:v>
                </c:pt>
                <c:pt idx="16">
                  <c:v>3.4</c:v>
                </c:pt>
                <c:pt idx="17">
                  <c:v>2.85</c:v>
                </c:pt>
                <c:pt idx="18">
                  <c:v>5.3</c:v>
                </c:pt>
                <c:pt idx="19">
                  <c:v>8.15</c:v>
                </c:pt>
                <c:pt idx="20">
                  <c:v>7.85</c:v>
                </c:pt>
                <c:pt idx="21">
                  <c:v>3.75</c:v>
                </c:pt>
                <c:pt idx="22">
                  <c:v>1.95</c:v>
                </c:pt>
                <c:pt idx="23">
                  <c:v>4.05</c:v>
                </c:pt>
                <c:pt idx="24">
                  <c:v>5.8</c:v>
                </c:pt>
                <c:pt idx="25">
                  <c:v>8.65</c:v>
                </c:pt>
                <c:pt idx="26">
                  <c:v>7.3</c:v>
                </c:pt>
                <c:pt idx="27">
                  <c:v>2.6</c:v>
                </c:pt>
                <c:pt idx="28">
                  <c:v>4.2</c:v>
                </c:pt>
                <c:pt idx="29">
                  <c:v>4.45</c:v>
                </c:pt>
                <c:pt idx="30">
                  <c:v>5.75</c:v>
                </c:pt>
                <c:pt idx="31">
                  <c:v>8</c:v>
                </c:pt>
                <c:pt idx="32">
                  <c:v>5.4</c:v>
                </c:pt>
                <c:pt idx="33">
                  <c:v>4.05</c:v>
                </c:pt>
                <c:pt idx="34">
                  <c:v>3.55</c:v>
                </c:pt>
                <c:pt idx="35">
                  <c:v>4.5999999999999996</c:v>
                </c:pt>
                <c:pt idx="36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96-445F-A020-C4912BF3CFBA}"/>
            </c:ext>
          </c:extLst>
        </c:ser>
        <c:ser>
          <c:idx val="1"/>
          <c:order val="1"/>
          <c:tx>
            <c:strRef>
              <c:f>'Totals Baseline'!$Q$1</c:f>
              <c:strCache>
                <c:ptCount val="1"/>
                <c:pt idx="0">
                  <c:v>Avg ihc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Baseline'!$Q$2:$Q$38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9.5</c:v>
                </c:pt>
                <c:pt idx="10">
                  <c:v>5.5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9.5</c:v>
                </c:pt>
                <c:pt idx="22">
                  <c:v>11</c:v>
                </c:pt>
                <c:pt idx="23">
                  <c:v>10.5</c:v>
                </c:pt>
                <c:pt idx="24">
                  <c:v>10.5</c:v>
                </c:pt>
                <c:pt idx="25">
                  <c:v>10.5</c:v>
                </c:pt>
                <c:pt idx="26">
                  <c:v>10.5</c:v>
                </c:pt>
                <c:pt idx="27">
                  <c:v>10</c:v>
                </c:pt>
                <c:pt idx="28">
                  <c:v>10</c:v>
                </c:pt>
                <c:pt idx="29">
                  <c:v>10.5</c:v>
                </c:pt>
                <c:pt idx="30">
                  <c:v>10</c:v>
                </c:pt>
                <c:pt idx="31">
                  <c:v>7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96-445F-A020-C4912BF3CFBA}"/>
            </c:ext>
          </c:extLst>
        </c:ser>
        <c:ser>
          <c:idx val="2"/>
          <c:order val="2"/>
          <c:tx>
            <c:strRef>
              <c:f>'Totals Baseline'!$R$1</c:f>
              <c:strCache>
                <c:ptCount val="1"/>
                <c:pt idx="0">
                  <c:v>Avg ihc Wholesaler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Baseline'!$R$2:$R$38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6.5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</c:v>
                </c:pt>
                <c:pt idx="21">
                  <c:v>14</c:v>
                </c:pt>
                <c:pt idx="22">
                  <c:v>18.5</c:v>
                </c:pt>
                <c:pt idx="23">
                  <c:v>19.5</c:v>
                </c:pt>
                <c:pt idx="24">
                  <c:v>16.5</c:v>
                </c:pt>
                <c:pt idx="25">
                  <c:v>15.5</c:v>
                </c:pt>
                <c:pt idx="26">
                  <c:v>15.5</c:v>
                </c:pt>
                <c:pt idx="27">
                  <c:v>15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13.5</c:v>
                </c:pt>
                <c:pt idx="34">
                  <c:v>8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96-445F-A020-C4912BF3CFBA}"/>
            </c:ext>
          </c:extLst>
        </c:ser>
        <c:ser>
          <c:idx val="3"/>
          <c:order val="3"/>
          <c:tx>
            <c:strRef>
              <c:f>'Totals Baseline'!$S$1</c:f>
              <c:strCache>
                <c:ptCount val="1"/>
                <c:pt idx="0">
                  <c:v>Avg ihc Distributor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Baseline'!$S$2:$S$38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4.5</c:v>
                </c:pt>
                <c:pt idx="25">
                  <c:v>5.5</c:v>
                </c:pt>
                <c:pt idx="26">
                  <c:v>5.5</c:v>
                </c:pt>
                <c:pt idx="27">
                  <c:v>4.5</c:v>
                </c:pt>
                <c:pt idx="28">
                  <c:v>2</c:v>
                </c:pt>
                <c:pt idx="29">
                  <c:v>0.5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96-445F-A020-C4912BF3CFBA}"/>
            </c:ext>
          </c:extLst>
        </c:ser>
        <c:ser>
          <c:idx val="4"/>
          <c:order val="4"/>
          <c:tx>
            <c:strRef>
              <c:f>'Totals Baseline'!$T$1</c:f>
              <c:strCache>
                <c:ptCount val="1"/>
                <c:pt idx="0">
                  <c:v>Avg ihc Producer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Baseline'!$T$2:$T$38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0.5</c:v>
                </c:pt>
                <c:pt idx="23">
                  <c:v>6</c:v>
                </c:pt>
                <c:pt idx="24">
                  <c:v>7</c:v>
                </c:pt>
                <c:pt idx="25">
                  <c:v>7</c:v>
                </c:pt>
                <c:pt idx="26">
                  <c:v>7.5</c:v>
                </c:pt>
                <c:pt idx="27">
                  <c:v>8</c:v>
                </c:pt>
                <c:pt idx="28">
                  <c:v>8</c:v>
                </c:pt>
                <c:pt idx="29">
                  <c:v>6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96-445F-A020-C4912BF3CF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/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</a:t>
            </a:r>
            <a:r>
              <a:rPr lang="en-US" baseline="0"/>
              <a:t> Backlog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'Totals ELV'!$Y$1</c:f>
              <c:strCache>
                <c:ptCount val="1"/>
                <c:pt idx="0">
                  <c:v>Avg ubc Producer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ELV'!$Y$2:$Y$38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7.6</c:v>
                </c:pt>
                <c:pt idx="12">
                  <c:v>13.8</c:v>
                </c:pt>
                <c:pt idx="13">
                  <c:v>7.3</c:v>
                </c:pt>
                <c:pt idx="14">
                  <c:v>0.9</c:v>
                </c:pt>
                <c:pt idx="15">
                  <c:v>0</c:v>
                </c:pt>
                <c:pt idx="16">
                  <c:v>0</c:v>
                </c:pt>
                <c:pt idx="17">
                  <c:v>4.3</c:v>
                </c:pt>
                <c:pt idx="18">
                  <c:v>9.8000000000000007</c:v>
                </c:pt>
                <c:pt idx="19">
                  <c:v>0.9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4.5999999999999996</c:v>
                </c:pt>
                <c:pt idx="24">
                  <c:v>4.8</c:v>
                </c:pt>
                <c:pt idx="25">
                  <c:v>2.7</c:v>
                </c:pt>
                <c:pt idx="26">
                  <c:v>1.3</c:v>
                </c:pt>
                <c:pt idx="27">
                  <c:v>0.1</c:v>
                </c:pt>
                <c:pt idx="28">
                  <c:v>0.9</c:v>
                </c:pt>
                <c:pt idx="29">
                  <c:v>7.4</c:v>
                </c:pt>
                <c:pt idx="30">
                  <c:v>1.9</c:v>
                </c:pt>
                <c:pt idx="31">
                  <c:v>0.3</c:v>
                </c:pt>
                <c:pt idx="32">
                  <c:v>2</c:v>
                </c:pt>
                <c:pt idx="33">
                  <c:v>0.4</c:v>
                </c:pt>
                <c:pt idx="34">
                  <c:v>2.7</c:v>
                </c:pt>
                <c:pt idx="35">
                  <c:v>4.2</c:v>
                </c:pt>
                <c:pt idx="36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6B-4F72-B674-2EF8BCE72829}"/>
            </c:ext>
          </c:extLst>
        </c:ser>
        <c:ser>
          <c:idx val="1"/>
          <c:order val="1"/>
          <c:tx>
            <c:strRef>
              <c:f>'Totals Baseline'!$V$1</c:f>
              <c:strCache>
                <c:ptCount val="1"/>
                <c:pt idx="0">
                  <c:v>Avg ubc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Baseline'!$V$2:$V$38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16</c:v>
                </c:pt>
                <c:pt idx="13">
                  <c:v>32</c:v>
                </c:pt>
                <c:pt idx="14">
                  <c:v>43</c:v>
                </c:pt>
                <c:pt idx="15">
                  <c:v>42</c:v>
                </c:pt>
                <c:pt idx="16">
                  <c:v>53</c:v>
                </c:pt>
                <c:pt idx="17">
                  <c:v>66</c:v>
                </c:pt>
                <c:pt idx="18">
                  <c:v>64</c:v>
                </c:pt>
                <c:pt idx="19">
                  <c:v>41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</c:v>
                </c:pt>
                <c:pt idx="34">
                  <c:v>19</c:v>
                </c:pt>
                <c:pt idx="35">
                  <c:v>30</c:v>
                </c:pt>
                <c:pt idx="36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B-4F72-B674-2EF8BCE72829}"/>
            </c:ext>
          </c:extLst>
        </c:ser>
        <c:ser>
          <c:idx val="2"/>
          <c:order val="2"/>
          <c:tx>
            <c:strRef>
              <c:f>'Totals Baseline'!$W$1</c:f>
              <c:strCache>
                <c:ptCount val="1"/>
                <c:pt idx="0">
                  <c:v>Avg ubc Wholesaler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Baseline'!$W$2:$W$38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25</c:v>
                </c:pt>
                <c:pt idx="15">
                  <c:v>52</c:v>
                </c:pt>
                <c:pt idx="16">
                  <c:v>63</c:v>
                </c:pt>
                <c:pt idx="17">
                  <c:v>51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6B-4F72-B674-2EF8BCE72829}"/>
            </c:ext>
          </c:extLst>
        </c:ser>
        <c:ser>
          <c:idx val="3"/>
          <c:order val="3"/>
          <c:tx>
            <c:strRef>
              <c:f>'Totals Baseline'!$X$1</c:f>
              <c:strCache>
                <c:ptCount val="1"/>
                <c:pt idx="0">
                  <c:v>Avg ubc Distributor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Baseline'!$X$2:$X$38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16</c:v>
                </c:pt>
                <c:pt idx="13">
                  <c:v>23</c:v>
                </c:pt>
                <c:pt idx="14">
                  <c:v>23</c:v>
                </c:pt>
                <c:pt idx="15">
                  <c:v>20</c:v>
                </c:pt>
                <c:pt idx="16">
                  <c:v>28</c:v>
                </c:pt>
                <c:pt idx="17">
                  <c:v>36</c:v>
                </c:pt>
                <c:pt idx="18">
                  <c:v>41</c:v>
                </c:pt>
                <c:pt idx="19">
                  <c:v>36</c:v>
                </c:pt>
                <c:pt idx="20">
                  <c:v>44</c:v>
                </c:pt>
                <c:pt idx="21">
                  <c:v>52</c:v>
                </c:pt>
                <c:pt idx="22">
                  <c:v>47</c:v>
                </c:pt>
                <c:pt idx="23">
                  <c:v>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6</c:v>
                </c:pt>
                <c:pt idx="34">
                  <c:v>11</c:v>
                </c:pt>
                <c:pt idx="35">
                  <c:v>13</c:v>
                </c:pt>
                <c:pt idx="3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6B-4F72-B674-2EF8BCE72829}"/>
            </c:ext>
          </c:extLst>
        </c:ser>
        <c:ser>
          <c:idx val="4"/>
          <c:order val="4"/>
          <c:tx>
            <c:strRef>
              <c:f>'Totals Baseline'!$Y$1</c:f>
              <c:strCache>
                <c:ptCount val="1"/>
                <c:pt idx="0">
                  <c:v>Avg ubc Producer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Baseline'!$Y$2:$Y$38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11</c:v>
                </c:pt>
                <c:pt idx="11">
                  <c:v>20</c:v>
                </c:pt>
                <c:pt idx="12">
                  <c:v>22</c:v>
                </c:pt>
                <c:pt idx="13">
                  <c:v>20</c:v>
                </c:pt>
                <c:pt idx="14">
                  <c:v>29</c:v>
                </c:pt>
                <c:pt idx="15">
                  <c:v>39</c:v>
                </c:pt>
                <c:pt idx="16">
                  <c:v>45</c:v>
                </c:pt>
                <c:pt idx="17">
                  <c:v>40</c:v>
                </c:pt>
                <c:pt idx="18">
                  <c:v>49</c:v>
                </c:pt>
                <c:pt idx="19">
                  <c:v>59</c:v>
                </c:pt>
                <c:pt idx="20">
                  <c:v>55</c:v>
                </c:pt>
                <c:pt idx="21">
                  <c:v>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</c:v>
                </c:pt>
                <c:pt idx="32">
                  <c:v>10</c:v>
                </c:pt>
                <c:pt idx="33">
                  <c:v>13</c:v>
                </c:pt>
                <c:pt idx="34">
                  <c:v>11</c:v>
                </c:pt>
                <c:pt idx="35">
                  <c:v>16</c:v>
                </c:pt>
                <c:pt idx="3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6B-4F72-B674-2EF8BCE728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/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</a:t>
            </a:r>
            <a:r>
              <a:rPr lang="en-US" baseline="0"/>
              <a:t>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'Totals Baseline'!$AA$1</c:f>
              <c:strCache>
                <c:ptCount val="1"/>
                <c:pt idx="0">
                  <c:v>Avg TC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ELV'!$Z$2:$Z$38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Baseline'!$AA$2:$AA$38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44</c:v>
                </c:pt>
                <c:pt idx="8">
                  <c:v>54</c:v>
                </c:pt>
                <c:pt idx="9">
                  <c:v>63.5</c:v>
                </c:pt>
                <c:pt idx="10">
                  <c:v>69</c:v>
                </c:pt>
                <c:pt idx="11">
                  <c:v>70</c:v>
                </c:pt>
                <c:pt idx="12">
                  <c:v>86</c:v>
                </c:pt>
                <c:pt idx="13">
                  <c:v>118</c:v>
                </c:pt>
                <c:pt idx="14">
                  <c:v>161</c:v>
                </c:pt>
                <c:pt idx="15">
                  <c:v>203</c:v>
                </c:pt>
                <c:pt idx="16">
                  <c:v>256</c:v>
                </c:pt>
                <c:pt idx="17">
                  <c:v>322</c:v>
                </c:pt>
                <c:pt idx="18">
                  <c:v>386</c:v>
                </c:pt>
                <c:pt idx="19">
                  <c:v>427</c:v>
                </c:pt>
                <c:pt idx="20">
                  <c:v>436</c:v>
                </c:pt>
                <c:pt idx="21">
                  <c:v>445.5</c:v>
                </c:pt>
                <c:pt idx="22">
                  <c:v>456.5</c:v>
                </c:pt>
                <c:pt idx="23">
                  <c:v>467</c:v>
                </c:pt>
                <c:pt idx="24">
                  <c:v>477.5</c:v>
                </c:pt>
                <c:pt idx="25">
                  <c:v>488</c:v>
                </c:pt>
                <c:pt idx="26">
                  <c:v>498.5</c:v>
                </c:pt>
                <c:pt idx="27">
                  <c:v>508.5</c:v>
                </c:pt>
                <c:pt idx="28">
                  <c:v>518.5</c:v>
                </c:pt>
                <c:pt idx="29">
                  <c:v>529</c:v>
                </c:pt>
                <c:pt idx="30">
                  <c:v>539</c:v>
                </c:pt>
                <c:pt idx="31">
                  <c:v>546</c:v>
                </c:pt>
                <c:pt idx="32">
                  <c:v>548</c:v>
                </c:pt>
                <c:pt idx="33">
                  <c:v>556</c:v>
                </c:pt>
                <c:pt idx="34">
                  <c:v>575</c:v>
                </c:pt>
                <c:pt idx="35">
                  <c:v>605</c:v>
                </c:pt>
                <c:pt idx="36">
                  <c:v>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3D-4027-8CAE-5C8E4C294FA1}"/>
            </c:ext>
          </c:extLst>
        </c:ser>
        <c:ser>
          <c:idx val="2"/>
          <c:order val="2"/>
          <c:tx>
            <c:strRef>
              <c:f>'Totals Baseline'!$AB$1</c:f>
              <c:strCache>
                <c:ptCount val="1"/>
                <c:pt idx="0">
                  <c:v>Avg TC Wholesaler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ELV'!$Z$2:$Z$38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Baseline'!$AB$2:$AB$38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44</c:v>
                </c:pt>
                <c:pt idx="8">
                  <c:v>52</c:v>
                </c:pt>
                <c:pt idx="9">
                  <c:v>60</c:v>
                </c:pt>
                <c:pt idx="10">
                  <c:v>68</c:v>
                </c:pt>
                <c:pt idx="11">
                  <c:v>76</c:v>
                </c:pt>
                <c:pt idx="12">
                  <c:v>82.5</c:v>
                </c:pt>
                <c:pt idx="13">
                  <c:v>84.5</c:v>
                </c:pt>
                <c:pt idx="14">
                  <c:v>109.5</c:v>
                </c:pt>
                <c:pt idx="15">
                  <c:v>161.5</c:v>
                </c:pt>
                <c:pt idx="16">
                  <c:v>224.5</c:v>
                </c:pt>
                <c:pt idx="17">
                  <c:v>275.5</c:v>
                </c:pt>
                <c:pt idx="18">
                  <c:v>299.5</c:v>
                </c:pt>
                <c:pt idx="19">
                  <c:v>299.5</c:v>
                </c:pt>
                <c:pt idx="20">
                  <c:v>307.5</c:v>
                </c:pt>
                <c:pt idx="21">
                  <c:v>321.5</c:v>
                </c:pt>
                <c:pt idx="22">
                  <c:v>340</c:v>
                </c:pt>
                <c:pt idx="23">
                  <c:v>359.5</c:v>
                </c:pt>
                <c:pt idx="24">
                  <c:v>376</c:v>
                </c:pt>
                <c:pt idx="25">
                  <c:v>391.5</c:v>
                </c:pt>
                <c:pt idx="26">
                  <c:v>407</c:v>
                </c:pt>
                <c:pt idx="27">
                  <c:v>422</c:v>
                </c:pt>
                <c:pt idx="28">
                  <c:v>436</c:v>
                </c:pt>
                <c:pt idx="29">
                  <c:v>450</c:v>
                </c:pt>
                <c:pt idx="30">
                  <c:v>464</c:v>
                </c:pt>
                <c:pt idx="31">
                  <c:v>478</c:v>
                </c:pt>
                <c:pt idx="32">
                  <c:v>492</c:v>
                </c:pt>
                <c:pt idx="33">
                  <c:v>505.5</c:v>
                </c:pt>
                <c:pt idx="34">
                  <c:v>513.5</c:v>
                </c:pt>
                <c:pt idx="35">
                  <c:v>515.5</c:v>
                </c:pt>
                <c:pt idx="36">
                  <c:v>535.5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3D-4027-8CAE-5C8E4C294FA1}"/>
            </c:ext>
          </c:extLst>
        </c:ser>
        <c:ser>
          <c:idx val="3"/>
          <c:order val="3"/>
          <c:tx>
            <c:strRef>
              <c:f>'Totals Baseline'!$AC$1</c:f>
              <c:strCache>
                <c:ptCount val="1"/>
                <c:pt idx="0">
                  <c:v>Avg TC Distributor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ELV'!$Z$2:$Z$38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Baseline'!$AC$2:$AC$38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28</c:v>
                </c:pt>
                <c:pt idx="6">
                  <c:v>30</c:v>
                </c:pt>
                <c:pt idx="7">
                  <c:v>30</c:v>
                </c:pt>
                <c:pt idx="8">
                  <c:v>34</c:v>
                </c:pt>
                <c:pt idx="9">
                  <c:v>42</c:v>
                </c:pt>
                <c:pt idx="10">
                  <c:v>50</c:v>
                </c:pt>
                <c:pt idx="11">
                  <c:v>58</c:v>
                </c:pt>
                <c:pt idx="12">
                  <c:v>74</c:v>
                </c:pt>
                <c:pt idx="13">
                  <c:v>97</c:v>
                </c:pt>
                <c:pt idx="14">
                  <c:v>120</c:v>
                </c:pt>
                <c:pt idx="15">
                  <c:v>140</c:v>
                </c:pt>
                <c:pt idx="16">
                  <c:v>168</c:v>
                </c:pt>
                <c:pt idx="17">
                  <c:v>204</c:v>
                </c:pt>
                <c:pt idx="18">
                  <c:v>245</c:v>
                </c:pt>
                <c:pt idx="19">
                  <c:v>281</c:v>
                </c:pt>
                <c:pt idx="20">
                  <c:v>325</c:v>
                </c:pt>
                <c:pt idx="21">
                  <c:v>377</c:v>
                </c:pt>
                <c:pt idx="22">
                  <c:v>424</c:v>
                </c:pt>
                <c:pt idx="23">
                  <c:v>448</c:v>
                </c:pt>
                <c:pt idx="24">
                  <c:v>452.5</c:v>
                </c:pt>
                <c:pt idx="25">
                  <c:v>458</c:v>
                </c:pt>
                <c:pt idx="26">
                  <c:v>463.5</c:v>
                </c:pt>
                <c:pt idx="27">
                  <c:v>468</c:v>
                </c:pt>
                <c:pt idx="28">
                  <c:v>470</c:v>
                </c:pt>
                <c:pt idx="29">
                  <c:v>470.5</c:v>
                </c:pt>
                <c:pt idx="30">
                  <c:v>471.5</c:v>
                </c:pt>
                <c:pt idx="31">
                  <c:v>473.5</c:v>
                </c:pt>
                <c:pt idx="32">
                  <c:v>475.5</c:v>
                </c:pt>
                <c:pt idx="33">
                  <c:v>481.5</c:v>
                </c:pt>
                <c:pt idx="34">
                  <c:v>492.5</c:v>
                </c:pt>
                <c:pt idx="35">
                  <c:v>505.5</c:v>
                </c:pt>
                <c:pt idx="36">
                  <c:v>516.5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3D-4027-8CAE-5C8E4C294FA1}"/>
            </c:ext>
          </c:extLst>
        </c:ser>
        <c:ser>
          <c:idx val="4"/>
          <c:order val="4"/>
          <c:tx>
            <c:strRef>
              <c:f>'Totals Baseline'!$AD$1</c:f>
              <c:strCache>
                <c:ptCount val="1"/>
                <c:pt idx="0">
                  <c:v>Avg TC Producer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ELV'!$Z$2:$Z$38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Baseline'!$AD$2:$AD$38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46</c:v>
                </c:pt>
                <c:pt idx="9">
                  <c:v>47</c:v>
                </c:pt>
                <c:pt idx="10">
                  <c:v>58</c:v>
                </c:pt>
                <c:pt idx="11">
                  <c:v>78</c:v>
                </c:pt>
                <c:pt idx="12">
                  <c:v>100</c:v>
                </c:pt>
                <c:pt idx="13">
                  <c:v>120</c:v>
                </c:pt>
                <c:pt idx="14">
                  <c:v>149</c:v>
                </c:pt>
                <c:pt idx="15">
                  <c:v>188</c:v>
                </c:pt>
                <c:pt idx="16">
                  <c:v>233</c:v>
                </c:pt>
                <c:pt idx="17">
                  <c:v>273</c:v>
                </c:pt>
                <c:pt idx="18">
                  <c:v>322</c:v>
                </c:pt>
                <c:pt idx="19">
                  <c:v>381</c:v>
                </c:pt>
                <c:pt idx="20">
                  <c:v>436</c:v>
                </c:pt>
                <c:pt idx="21">
                  <c:v>468</c:v>
                </c:pt>
                <c:pt idx="22">
                  <c:v>468.5</c:v>
                </c:pt>
                <c:pt idx="23">
                  <c:v>474.5</c:v>
                </c:pt>
                <c:pt idx="24">
                  <c:v>481.5</c:v>
                </c:pt>
                <c:pt idx="25">
                  <c:v>488.5</c:v>
                </c:pt>
                <c:pt idx="26">
                  <c:v>496</c:v>
                </c:pt>
                <c:pt idx="27">
                  <c:v>504</c:v>
                </c:pt>
                <c:pt idx="28">
                  <c:v>512</c:v>
                </c:pt>
                <c:pt idx="29">
                  <c:v>518</c:v>
                </c:pt>
                <c:pt idx="30">
                  <c:v>520</c:v>
                </c:pt>
                <c:pt idx="31">
                  <c:v>525</c:v>
                </c:pt>
                <c:pt idx="32">
                  <c:v>535</c:v>
                </c:pt>
                <c:pt idx="33">
                  <c:v>548</c:v>
                </c:pt>
                <c:pt idx="34">
                  <c:v>559</c:v>
                </c:pt>
                <c:pt idx="35">
                  <c:v>575</c:v>
                </c:pt>
                <c:pt idx="36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3D-4027-8CAE-5C8E4C294F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'Totals ELV'!$Z$1</c15:sqref>
                        </c15:formulaRef>
                      </c:ext>
                    </c:extLst>
                    <c:strCache>
                      <c:ptCount val="1"/>
                      <c:pt idx="0">
                        <c:v>t6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L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'Totals ELV'!$Z$2:$Z$38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'Totals ELV'!$Z$2:$Z$38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43D-4027-8CAE-5C8E4C294FA1}"/>
                  </c:ext>
                </c:extLst>
              </c15:ser>
            </c15:filteredLineSeries>
          </c:ext>
        </c:extLst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(crates)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'Totals Baseline'!$B$1</c:f>
              <c:strCache>
                <c:ptCount val="1"/>
                <c:pt idx="0">
                  <c:v>Avg I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Baseline'!$B$2:$B$38</c:f>
              <c:numCache>
                <c:formatCode>0.00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19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19</c:v>
                </c:pt>
                <c:pt idx="22">
                  <c:v>22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20</c:v>
                </c:pt>
                <c:pt idx="28">
                  <c:v>20</c:v>
                </c:pt>
                <c:pt idx="29">
                  <c:v>21</c:v>
                </c:pt>
                <c:pt idx="30">
                  <c:v>20</c:v>
                </c:pt>
                <c:pt idx="31">
                  <c:v>14</c:v>
                </c:pt>
                <c:pt idx="32">
                  <c:v>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78-400E-9770-38A4223EECFD}"/>
            </c:ext>
          </c:extLst>
        </c:ser>
        <c:ser>
          <c:idx val="2"/>
          <c:order val="2"/>
          <c:tx>
            <c:strRef>
              <c:f>'Totals Baseline'!$C$1</c:f>
              <c:strCache>
                <c:ptCount val="1"/>
                <c:pt idx="0">
                  <c:v>Avg I Wholesaler</c:v>
                </c:pt>
              </c:strCache>
            </c:strRef>
          </c:tx>
          <c:spPr>
            <a:ln w="28575" cap="rnd">
              <a:solidFill>
                <a:srgbClr val="80C47E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Baseline'!$C$2:$C$38</c:f>
              <c:numCache>
                <c:formatCode>0.00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16</c:v>
                </c:pt>
                <c:pt idx="21">
                  <c:v>28</c:v>
                </c:pt>
                <c:pt idx="22">
                  <c:v>37</c:v>
                </c:pt>
                <c:pt idx="23">
                  <c:v>39</c:v>
                </c:pt>
                <c:pt idx="24">
                  <c:v>33</c:v>
                </c:pt>
                <c:pt idx="25">
                  <c:v>31</c:v>
                </c:pt>
                <c:pt idx="26">
                  <c:v>31</c:v>
                </c:pt>
                <c:pt idx="27">
                  <c:v>30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27</c:v>
                </c:pt>
                <c:pt idx="34">
                  <c:v>16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78-400E-9770-38A4223EECFD}"/>
            </c:ext>
          </c:extLst>
        </c:ser>
        <c:ser>
          <c:idx val="3"/>
          <c:order val="3"/>
          <c:tx>
            <c:strRef>
              <c:f>'Totals Baseline'!$D$1</c:f>
              <c:strCache>
                <c:ptCount val="1"/>
                <c:pt idx="0">
                  <c:v>Avg I Distributor</c:v>
                </c:pt>
              </c:strCache>
            </c:strRef>
          </c:tx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Baseline'!$D$2:$D$38</c:f>
              <c:numCache>
                <c:formatCode>0.00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8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</c:v>
                </c:pt>
                <c:pt idx="25">
                  <c:v>11</c:v>
                </c:pt>
                <c:pt idx="26">
                  <c:v>11</c:v>
                </c:pt>
                <c:pt idx="27">
                  <c:v>9</c:v>
                </c:pt>
                <c:pt idx="28">
                  <c:v>4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78-400E-9770-38A4223EECFD}"/>
            </c:ext>
          </c:extLst>
        </c:ser>
        <c:ser>
          <c:idx val="4"/>
          <c:order val="4"/>
          <c:tx>
            <c:strRef>
              <c:f>'Totals Baseline'!$E$1</c:f>
              <c:strCache>
                <c:ptCount val="1"/>
                <c:pt idx="0">
                  <c:v>Avg I Producer</c:v>
                </c:pt>
              </c:strCache>
            </c:strRef>
          </c:tx>
          <c:spPr>
            <a:ln w="28575" cap="rnd">
              <a:solidFill>
                <a:srgbClr val="9900CC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Baseline'!$E$2:$E$38</c:f>
              <c:numCache>
                <c:formatCode>0.00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12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12</c:v>
                </c:pt>
                <c:pt idx="30">
                  <c:v>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78-400E-9770-38A4223EEC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'Totals CRP'!$A$1</c15:sqref>
                        </c15:formulaRef>
                      </c:ext>
                    </c:extLst>
                    <c:strCache>
                      <c:ptCount val="1"/>
                      <c:pt idx="0">
                        <c:v>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ormulaRef>
                          <c15:sqref>'Totals CRP'!$A$2:$A$38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'Totals CRP'!$A$2:$A$38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D78-400E-9770-38A4223EECFD}"/>
                  </c:ext>
                </c:extLst>
              </c15:ser>
            </c15:filteredLineSeries>
          </c:ext>
        </c:extLst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33CCC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Backlog (crates)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'Totals CRP'!$G$1</c:f>
              <c:strCache>
                <c:ptCount val="1"/>
                <c:pt idx="0">
                  <c:v>Avg B Retailer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CRP'!$F$2:$F$38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CRP'!$G$2:$G$38</c:f>
              <c:numCache>
                <c:formatCode>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00-44F2-A5FF-610789E11537}"/>
            </c:ext>
          </c:extLst>
        </c:ser>
        <c:ser>
          <c:idx val="1"/>
          <c:order val="1"/>
          <c:tx>
            <c:strRef>
              <c:f>'Totals Baseline'!$G$1</c:f>
              <c:strCache>
                <c:ptCount val="1"/>
                <c:pt idx="0">
                  <c:v>Avg B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CRP'!$F$2:$F$38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Baseline'!$G$2:$G$38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16</c:v>
                </c:pt>
                <c:pt idx="13">
                  <c:v>32</c:v>
                </c:pt>
                <c:pt idx="14">
                  <c:v>43</c:v>
                </c:pt>
                <c:pt idx="15">
                  <c:v>42</c:v>
                </c:pt>
                <c:pt idx="16">
                  <c:v>53</c:v>
                </c:pt>
                <c:pt idx="17">
                  <c:v>66</c:v>
                </c:pt>
                <c:pt idx="18">
                  <c:v>64</c:v>
                </c:pt>
                <c:pt idx="19">
                  <c:v>41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</c:v>
                </c:pt>
                <c:pt idx="34">
                  <c:v>19</c:v>
                </c:pt>
                <c:pt idx="35">
                  <c:v>30</c:v>
                </c:pt>
                <c:pt idx="36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00-44F2-A5FF-610789E11537}"/>
            </c:ext>
          </c:extLst>
        </c:ser>
        <c:ser>
          <c:idx val="2"/>
          <c:order val="2"/>
          <c:tx>
            <c:strRef>
              <c:f>'Totals Baseline'!$H$1</c:f>
              <c:strCache>
                <c:ptCount val="1"/>
                <c:pt idx="0">
                  <c:v>Avg B Wholesaler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CRP'!$F$2:$F$38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Baseline'!$H$2:$H$38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25</c:v>
                </c:pt>
                <c:pt idx="15">
                  <c:v>52</c:v>
                </c:pt>
                <c:pt idx="16">
                  <c:v>63</c:v>
                </c:pt>
                <c:pt idx="17">
                  <c:v>51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00-44F2-A5FF-610789E11537}"/>
            </c:ext>
          </c:extLst>
        </c:ser>
        <c:ser>
          <c:idx val="3"/>
          <c:order val="3"/>
          <c:tx>
            <c:strRef>
              <c:f>'Totals Baseline'!$I$1</c:f>
              <c:strCache>
                <c:ptCount val="1"/>
                <c:pt idx="0">
                  <c:v>Avg B Distributor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CRP'!$F$2:$F$38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Baseline'!$I$2:$I$38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16</c:v>
                </c:pt>
                <c:pt idx="13">
                  <c:v>23</c:v>
                </c:pt>
                <c:pt idx="14">
                  <c:v>23</c:v>
                </c:pt>
                <c:pt idx="15">
                  <c:v>20</c:v>
                </c:pt>
                <c:pt idx="16">
                  <c:v>28</c:v>
                </c:pt>
                <c:pt idx="17">
                  <c:v>36</c:v>
                </c:pt>
                <c:pt idx="18">
                  <c:v>41</c:v>
                </c:pt>
                <c:pt idx="19">
                  <c:v>36</c:v>
                </c:pt>
                <c:pt idx="20">
                  <c:v>44</c:v>
                </c:pt>
                <c:pt idx="21">
                  <c:v>52</c:v>
                </c:pt>
                <c:pt idx="22">
                  <c:v>47</c:v>
                </c:pt>
                <c:pt idx="23">
                  <c:v>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6</c:v>
                </c:pt>
                <c:pt idx="34">
                  <c:v>11</c:v>
                </c:pt>
                <c:pt idx="35">
                  <c:v>13</c:v>
                </c:pt>
                <c:pt idx="3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00-44F2-A5FF-610789E11537}"/>
            </c:ext>
          </c:extLst>
        </c:ser>
        <c:ser>
          <c:idx val="4"/>
          <c:order val="4"/>
          <c:tx>
            <c:strRef>
              <c:f>'Totals Baseline'!$J$1</c:f>
              <c:strCache>
                <c:ptCount val="1"/>
                <c:pt idx="0">
                  <c:v>Avg B Producer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CRP'!$F$2:$F$38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Baseline'!$J$2:$J$38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11</c:v>
                </c:pt>
                <c:pt idx="11">
                  <c:v>20</c:v>
                </c:pt>
                <c:pt idx="12">
                  <c:v>22</c:v>
                </c:pt>
                <c:pt idx="13">
                  <c:v>20</c:v>
                </c:pt>
                <c:pt idx="14">
                  <c:v>29</c:v>
                </c:pt>
                <c:pt idx="15">
                  <c:v>39</c:v>
                </c:pt>
                <c:pt idx="16">
                  <c:v>45</c:v>
                </c:pt>
                <c:pt idx="17">
                  <c:v>40</c:v>
                </c:pt>
                <c:pt idx="18">
                  <c:v>49</c:v>
                </c:pt>
                <c:pt idx="19">
                  <c:v>59</c:v>
                </c:pt>
                <c:pt idx="20">
                  <c:v>55</c:v>
                </c:pt>
                <c:pt idx="21">
                  <c:v>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</c:v>
                </c:pt>
                <c:pt idx="32">
                  <c:v>10</c:v>
                </c:pt>
                <c:pt idx="33">
                  <c:v>13</c:v>
                </c:pt>
                <c:pt idx="34">
                  <c:v>11</c:v>
                </c:pt>
                <c:pt idx="35">
                  <c:v>16</c:v>
                </c:pt>
                <c:pt idx="3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00-44F2-A5FF-610789E1153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/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(crates)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'Totals CRP'!$M$1</c:f>
              <c:strCache>
                <c:ptCount val="1"/>
                <c:pt idx="0">
                  <c:v>Avg O Wholesaler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CRP'!$K$2:$K$38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CRP'!$M$2:$M$38</c:f>
              <c:numCache>
                <c:formatCode>0</c:formatCode>
                <c:ptCount val="37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0</c:v>
                </c:pt>
                <c:pt idx="7">
                  <c:v>0.1</c:v>
                </c:pt>
                <c:pt idx="8">
                  <c:v>8.5</c:v>
                </c:pt>
                <c:pt idx="9">
                  <c:v>12.6</c:v>
                </c:pt>
                <c:pt idx="10">
                  <c:v>11.8</c:v>
                </c:pt>
                <c:pt idx="11">
                  <c:v>5.5</c:v>
                </c:pt>
                <c:pt idx="12">
                  <c:v>0.2</c:v>
                </c:pt>
                <c:pt idx="13">
                  <c:v>3.2</c:v>
                </c:pt>
                <c:pt idx="14">
                  <c:v>10.1</c:v>
                </c:pt>
                <c:pt idx="15">
                  <c:v>13.9</c:v>
                </c:pt>
                <c:pt idx="16">
                  <c:v>11</c:v>
                </c:pt>
                <c:pt idx="17">
                  <c:v>3.9</c:v>
                </c:pt>
                <c:pt idx="18">
                  <c:v>1.4</c:v>
                </c:pt>
                <c:pt idx="19">
                  <c:v>5.3</c:v>
                </c:pt>
                <c:pt idx="20">
                  <c:v>10.6</c:v>
                </c:pt>
                <c:pt idx="21">
                  <c:v>12.8</c:v>
                </c:pt>
                <c:pt idx="22">
                  <c:v>8.1999999999999993</c:v>
                </c:pt>
                <c:pt idx="23">
                  <c:v>3.3</c:v>
                </c:pt>
                <c:pt idx="24">
                  <c:v>4.2</c:v>
                </c:pt>
                <c:pt idx="25">
                  <c:v>7.1</c:v>
                </c:pt>
                <c:pt idx="26">
                  <c:v>10.5</c:v>
                </c:pt>
                <c:pt idx="27">
                  <c:v>10.6</c:v>
                </c:pt>
                <c:pt idx="28">
                  <c:v>5.8</c:v>
                </c:pt>
                <c:pt idx="29">
                  <c:v>4.7</c:v>
                </c:pt>
                <c:pt idx="30">
                  <c:v>5.4</c:v>
                </c:pt>
                <c:pt idx="31">
                  <c:v>8</c:v>
                </c:pt>
                <c:pt idx="32">
                  <c:v>10.4</c:v>
                </c:pt>
                <c:pt idx="33">
                  <c:v>8.5</c:v>
                </c:pt>
                <c:pt idx="34">
                  <c:v>5.9</c:v>
                </c:pt>
                <c:pt idx="35">
                  <c:v>5.3</c:v>
                </c:pt>
                <c:pt idx="36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6-467E-99A9-E79F5EE5A415}"/>
            </c:ext>
          </c:extLst>
        </c:ser>
        <c:ser>
          <c:idx val="1"/>
          <c:order val="1"/>
          <c:tx>
            <c:strRef>
              <c:f>'Totals Baseline'!$L$1</c:f>
              <c:strCache>
                <c:ptCount val="1"/>
                <c:pt idx="0">
                  <c:v>Avg O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CRP'!$K$2:$K$38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Baseline'!$L$2:$L$38</c:f>
              <c:numCache>
                <c:formatCode>0.00</c:formatCode>
                <c:ptCount val="37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6-467E-99A9-E79F5EE5A415}"/>
            </c:ext>
          </c:extLst>
        </c:ser>
        <c:ser>
          <c:idx val="2"/>
          <c:order val="2"/>
          <c:tx>
            <c:strRef>
              <c:f>'Totals Baseline'!$M$1</c:f>
              <c:strCache>
                <c:ptCount val="1"/>
                <c:pt idx="0">
                  <c:v>Avg O Wholesaler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CRP'!$K$2:$K$38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Baseline'!$M$2:$M$38</c:f>
              <c:numCache>
                <c:formatCode>0.00</c:formatCode>
                <c:ptCount val="37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15</c:v>
                </c:pt>
                <c:pt idx="13">
                  <c:v>23</c:v>
                </c:pt>
                <c:pt idx="14">
                  <c:v>27</c:v>
                </c:pt>
                <c:pt idx="15">
                  <c:v>24</c:v>
                </c:pt>
                <c:pt idx="16">
                  <c:v>19</c:v>
                </c:pt>
                <c:pt idx="17">
                  <c:v>15</c:v>
                </c:pt>
                <c:pt idx="18">
                  <c:v>16</c:v>
                </c:pt>
                <c:pt idx="19">
                  <c:v>13</c:v>
                </c:pt>
                <c:pt idx="20">
                  <c:v>5</c:v>
                </c:pt>
                <c:pt idx="21">
                  <c:v>4</c:v>
                </c:pt>
                <c:pt idx="22">
                  <c:v>6</c:v>
                </c:pt>
                <c:pt idx="23">
                  <c:v>6</c:v>
                </c:pt>
                <c:pt idx="24">
                  <c:v>2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11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6-467E-99A9-E79F5EE5A415}"/>
            </c:ext>
          </c:extLst>
        </c:ser>
        <c:ser>
          <c:idx val="3"/>
          <c:order val="3"/>
          <c:tx>
            <c:strRef>
              <c:f>'Totals Baseline'!$N$1</c:f>
              <c:strCache>
                <c:ptCount val="1"/>
                <c:pt idx="0">
                  <c:v>Avg O Distributor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CRP'!$K$2:$K$38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Baseline'!$N$2:$N$38</c:f>
              <c:numCache>
                <c:formatCode>0.00</c:formatCode>
                <c:ptCount val="37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9</c:v>
                </c:pt>
                <c:pt idx="13">
                  <c:v>9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9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8</c:v>
                </c:pt>
                <c:pt idx="24">
                  <c:v>6</c:v>
                </c:pt>
                <c:pt idx="25">
                  <c:v>3</c:v>
                </c:pt>
                <c:pt idx="26">
                  <c:v>5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9</c:v>
                </c:pt>
                <c:pt idx="31">
                  <c:v>8</c:v>
                </c:pt>
                <c:pt idx="32">
                  <c:v>9</c:v>
                </c:pt>
                <c:pt idx="33">
                  <c:v>8</c:v>
                </c:pt>
                <c:pt idx="34">
                  <c:v>9</c:v>
                </c:pt>
                <c:pt idx="35">
                  <c:v>9</c:v>
                </c:pt>
                <c:pt idx="3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36-467E-99A9-E79F5EE5A415}"/>
            </c:ext>
          </c:extLst>
        </c:ser>
        <c:ser>
          <c:idx val="4"/>
          <c:order val="4"/>
          <c:tx>
            <c:strRef>
              <c:f>'Totals Baseline'!$O$1</c:f>
              <c:strCache>
                <c:ptCount val="1"/>
                <c:pt idx="0">
                  <c:v>Avg O Producer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CRP'!$K$2:$K$38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Baseline'!$O$2:$O$38</c:f>
              <c:numCache>
                <c:formatCode>0.00</c:formatCode>
                <c:ptCount val="37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8</c:v>
                </c:pt>
                <c:pt idx="10">
                  <c:v>12</c:v>
                </c:pt>
                <c:pt idx="11">
                  <c:v>15</c:v>
                </c:pt>
                <c:pt idx="12">
                  <c:v>16</c:v>
                </c:pt>
                <c:pt idx="13">
                  <c:v>14</c:v>
                </c:pt>
                <c:pt idx="14">
                  <c:v>12</c:v>
                </c:pt>
                <c:pt idx="15">
                  <c:v>11</c:v>
                </c:pt>
                <c:pt idx="16">
                  <c:v>13</c:v>
                </c:pt>
                <c:pt idx="17">
                  <c:v>11</c:v>
                </c:pt>
                <c:pt idx="18">
                  <c:v>8</c:v>
                </c:pt>
                <c:pt idx="19">
                  <c:v>10</c:v>
                </c:pt>
                <c:pt idx="20">
                  <c:v>12</c:v>
                </c:pt>
                <c:pt idx="21">
                  <c:v>10</c:v>
                </c:pt>
                <c:pt idx="22">
                  <c:v>6</c:v>
                </c:pt>
                <c:pt idx="23">
                  <c:v>4</c:v>
                </c:pt>
                <c:pt idx="24">
                  <c:v>6</c:v>
                </c:pt>
                <c:pt idx="25">
                  <c:v>6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3</c:v>
                </c:pt>
                <c:pt idx="30">
                  <c:v>6</c:v>
                </c:pt>
                <c:pt idx="31">
                  <c:v>10</c:v>
                </c:pt>
                <c:pt idx="32">
                  <c:v>12</c:v>
                </c:pt>
                <c:pt idx="33">
                  <c:v>11</c:v>
                </c:pt>
                <c:pt idx="34">
                  <c:v>12</c:v>
                </c:pt>
                <c:pt idx="35">
                  <c:v>10</c:v>
                </c:pt>
                <c:pt idx="3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36-467E-99A9-E79F5EE5A41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/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Holding Cost </a:t>
            </a:r>
          </a:p>
        </c:rich>
      </c:tx>
      <c:layout>
        <c:manualLayout>
          <c:xMode val="edge"/>
          <c:yMode val="edge"/>
          <c:x val="0.3191734470691163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'Totals CRP'!$S$1</c:f>
              <c:strCache>
                <c:ptCount val="1"/>
                <c:pt idx="0">
                  <c:v>Avg ihc Distributor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CRP'!$S$2:$S$38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6.4</c:v>
                </c:pt>
                <c:pt idx="3">
                  <c:v>6</c:v>
                </c:pt>
                <c:pt idx="4">
                  <c:v>4.4000000000000004</c:v>
                </c:pt>
                <c:pt idx="5">
                  <c:v>5.4</c:v>
                </c:pt>
                <c:pt idx="6">
                  <c:v>5.8</c:v>
                </c:pt>
                <c:pt idx="7">
                  <c:v>7.8</c:v>
                </c:pt>
                <c:pt idx="8">
                  <c:v>7.9</c:v>
                </c:pt>
                <c:pt idx="9">
                  <c:v>2.65</c:v>
                </c:pt>
                <c:pt idx="10">
                  <c:v>0.7</c:v>
                </c:pt>
                <c:pt idx="11">
                  <c:v>0.6</c:v>
                </c:pt>
                <c:pt idx="12">
                  <c:v>3.35</c:v>
                </c:pt>
                <c:pt idx="13">
                  <c:v>9.3000000000000007</c:v>
                </c:pt>
                <c:pt idx="14">
                  <c:v>9.5</c:v>
                </c:pt>
                <c:pt idx="15">
                  <c:v>5.75</c:v>
                </c:pt>
                <c:pt idx="16">
                  <c:v>0.4</c:v>
                </c:pt>
                <c:pt idx="17">
                  <c:v>0.85</c:v>
                </c:pt>
                <c:pt idx="18">
                  <c:v>4.5999999999999996</c:v>
                </c:pt>
                <c:pt idx="19">
                  <c:v>9.1</c:v>
                </c:pt>
                <c:pt idx="20">
                  <c:v>9.4</c:v>
                </c:pt>
                <c:pt idx="21">
                  <c:v>4.5</c:v>
                </c:pt>
                <c:pt idx="22">
                  <c:v>0.75</c:v>
                </c:pt>
                <c:pt idx="23">
                  <c:v>2.1</c:v>
                </c:pt>
                <c:pt idx="24">
                  <c:v>5.95</c:v>
                </c:pt>
                <c:pt idx="25">
                  <c:v>9.15</c:v>
                </c:pt>
                <c:pt idx="26">
                  <c:v>7.65</c:v>
                </c:pt>
                <c:pt idx="27">
                  <c:v>3.75</c:v>
                </c:pt>
                <c:pt idx="28">
                  <c:v>1.05</c:v>
                </c:pt>
                <c:pt idx="29">
                  <c:v>4.3</c:v>
                </c:pt>
                <c:pt idx="30">
                  <c:v>5.7</c:v>
                </c:pt>
                <c:pt idx="31">
                  <c:v>8.6</c:v>
                </c:pt>
                <c:pt idx="32">
                  <c:v>7.15</c:v>
                </c:pt>
                <c:pt idx="33">
                  <c:v>2.35</c:v>
                </c:pt>
                <c:pt idx="34">
                  <c:v>2.7</c:v>
                </c:pt>
                <c:pt idx="35">
                  <c:v>4.45</c:v>
                </c:pt>
                <c:pt idx="36">
                  <c:v>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E7-4BC3-AE2F-576830DF4484}"/>
            </c:ext>
          </c:extLst>
        </c:ser>
        <c:ser>
          <c:idx val="1"/>
          <c:order val="1"/>
          <c:tx>
            <c:strRef>
              <c:f>'Totals Baseline'!$Q$1</c:f>
              <c:strCache>
                <c:ptCount val="1"/>
                <c:pt idx="0">
                  <c:v>Avg ihc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Baseline'!$Q$2:$Q$38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9.5</c:v>
                </c:pt>
                <c:pt idx="10">
                  <c:v>5.5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9.5</c:v>
                </c:pt>
                <c:pt idx="22">
                  <c:v>11</c:v>
                </c:pt>
                <c:pt idx="23">
                  <c:v>10.5</c:v>
                </c:pt>
                <c:pt idx="24">
                  <c:v>10.5</c:v>
                </c:pt>
                <c:pt idx="25">
                  <c:v>10.5</c:v>
                </c:pt>
                <c:pt idx="26">
                  <c:v>10.5</c:v>
                </c:pt>
                <c:pt idx="27">
                  <c:v>10</c:v>
                </c:pt>
                <c:pt idx="28">
                  <c:v>10</c:v>
                </c:pt>
                <c:pt idx="29">
                  <c:v>10.5</c:v>
                </c:pt>
                <c:pt idx="30">
                  <c:v>10</c:v>
                </c:pt>
                <c:pt idx="31">
                  <c:v>7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E7-4BC3-AE2F-576830DF4484}"/>
            </c:ext>
          </c:extLst>
        </c:ser>
        <c:ser>
          <c:idx val="2"/>
          <c:order val="2"/>
          <c:tx>
            <c:strRef>
              <c:f>'Totals Baseline'!$R$1</c:f>
              <c:strCache>
                <c:ptCount val="1"/>
                <c:pt idx="0">
                  <c:v>Avg ihc Wholesaler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Baseline'!$R$2:$R$38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6.5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</c:v>
                </c:pt>
                <c:pt idx="21">
                  <c:v>14</c:v>
                </c:pt>
                <c:pt idx="22">
                  <c:v>18.5</c:v>
                </c:pt>
                <c:pt idx="23">
                  <c:v>19.5</c:v>
                </c:pt>
                <c:pt idx="24">
                  <c:v>16.5</c:v>
                </c:pt>
                <c:pt idx="25">
                  <c:v>15.5</c:v>
                </c:pt>
                <c:pt idx="26">
                  <c:v>15.5</c:v>
                </c:pt>
                <c:pt idx="27">
                  <c:v>15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13.5</c:v>
                </c:pt>
                <c:pt idx="34">
                  <c:v>8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E7-4BC3-AE2F-576830DF4484}"/>
            </c:ext>
          </c:extLst>
        </c:ser>
        <c:ser>
          <c:idx val="3"/>
          <c:order val="3"/>
          <c:tx>
            <c:strRef>
              <c:f>'Totals Baseline'!$S$1</c:f>
              <c:strCache>
                <c:ptCount val="1"/>
                <c:pt idx="0">
                  <c:v>Avg ihc Distributor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Baseline'!$S$2:$S$38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4.5</c:v>
                </c:pt>
                <c:pt idx="25">
                  <c:v>5.5</c:v>
                </c:pt>
                <c:pt idx="26">
                  <c:v>5.5</c:v>
                </c:pt>
                <c:pt idx="27">
                  <c:v>4.5</c:v>
                </c:pt>
                <c:pt idx="28">
                  <c:v>2</c:v>
                </c:pt>
                <c:pt idx="29">
                  <c:v>0.5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E7-4BC3-AE2F-576830DF4484}"/>
            </c:ext>
          </c:extLst>
        </c:ser>
        <c:ser>
          <c:idx val="4"/>
          <c:order val="4"/>
          <c:tx>
            <c:strRef>
              <c:f>'Totals Baseline'!$T$1</c:f>
              <c:strCache>
                <c:ptCount val="1"/>
                <c:pt idx="0">
                  <c:v>Avg ihc Producer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Baseline'!$T$2:$T$38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0.5</c:v>
                </c:pt>
                <c:pt idx="23">
                  <c:v>6</c:v>
                </c:pt>
                <c:pt idx="24">
                  <c:v>7</c:v>
                </c:pt>
                <c:pt idx="25">
                  <c:v>7</c:v>
                </c:pt>
                <c:pt idx="26">
                  <c:v>7.5</c:v>
                </c:pt>
                <c:pt idx="27">
                  <c:v>8</c:v>
                </c:pt>
                <c:pt idx="28">
                  <c:v>8</c:v>
                </c:pt>
                <c:pt idx="29">
                  <c:v>6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E7-4BC3-AE2F-576830DF44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/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</a:t>
            </a:r>
            <a:r>
              <a:rPr lang="en-US" baseline="0"/>
              <a:t> Backlog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'Totals CRP'!$Y$1</c:f>
              <c:strCache>
                <c:ptCount val="1"/>
                <c:pt idx="0">
                  <c:v>Avg ubc Producer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CRP'!$Y$2:$Y$38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5.8</c:v>
                </c:pt>
                <c:pt idx="12">
                  <c:v>6.6</c:v>
                </c:pt>
                <c:pt idx="13">
                  <c:v>1.6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6.8</c:v>
                </c:pt>
                <c:pt idx="18">
                  <c:v>8.9</c:v>
                </c:pt>
                <c:pt idx="19">
                  <c:v>1.8</c:v>
                </c:pt>
                <c:pt idx="20">
                  <c:v>0</c:v>
                </c:pt>
                <c:pt idx="21">
                  <c:v>0</c:v>
                </c:pt>
                <c:pt idx="22">
                  <c:v>1.2</c:v>
                </c:pt>
                <c:pt idx="23">
                  <c:v>3.7</c:v>
                </c:pt>
                <c:pt idx="24">
                  <c:v>5.9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1.2</c:v>
                </c:pt>
                <c:pt idx="29">
                  <c:v>6.4</c:v>
                </c:pt>
                <c:pt idx="30">
                  <c:v>3</c:v>
                </c:pt>
                <c:pt idx="31">
                  <c:v>0</c:v>
                </c:pt>
                <c:pt idx="32">
                  <c:v>0</c:v>
                </c:pt>
                <c:pt idx="33">
                  <c:v>0.9</c:v>
                </c:pt>
                <c:pt idx="34">
                  <c:v>5.0999999999999996</c:v>
                </c:pt>
                <c:pt idx="35">
                  <c:v>3.8</c:v>
                </c:pt>
                <c:pt idx="3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C-45C1-94BC-D1D747D18480}"/>
            </c:ext>
          </c:extLst>
        </c:ser>
        <c:ser>
          <c:idx val="1"/>
          <c:order val="1"/>
          <c:tx>
            <c:strRef>
              <c:f>'Totals Baseline'!$V$1</c:f>
              <c:strCache>
                <c:ptCount val="1"/>
                <c:pt idx="0">
                  <c:v>Avg ubc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Baseline'!$V$2:$V$38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16</c:v>
                </c:pt>
                <c:pt idx="13">
                  <c:v>32</c:v>
                </c:pt>
                <c:pt idx="14">
                  <c:v>43</c:v>
                </c:pt>
                <c:pt idx="15">
                  <c:v>42</c:v>
                </c:pt>
                <c:pt idx="16">
                  <c:v>53</c:v>
                </c:pt>
                <c:pt idx="17">
                  <c:v>66</c:v>
                </c:pt>
                <c:pt idx="18">
                  <c:v>64</c:v>
                </c:pt>
                <c:pt idx="19">
                  <c:v>41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</c:v>
                </c:pt>
                <c:pt idx="34">
                  <c:v>19</c:v>
                </c:pt>
                <c:pt idx="35">
                  <c:v>30</c:v>
                </c:pt>
                <c:pt idx="36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DC-45C1-94BC-D1D747D18480}"/>
            </c:ext>
          </c:extLst>
        </c:ser>
        <c:ser>
          <c:idx val="2"/>
          <c:order val="2"/>
          <c:tx>
            <c:strRef>
              <c:f>'Totals Baseline'!$W$1</c:f>
              <c:strCache>
                <c:ptCount val="1"/>
                <c:pt idx="0">
                  <c:v>Avg ubc Wholesaler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Baseline'!$W$2:$W$38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25</c:v>
                </c:pt>
                <c:pt idx="15">
                  <c:v>52</c:v>
                </c:pt>
                <c:pt idx="16">
                  <c:v>63</c:v>
                </c:pt>
                <c:pt idx="17">
                  <c:v>51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DC-45C1-94BC-D1D747D18480}"/>
            </c:ext>
          </c:extLst>
        </c:ser>
        <c:ser>
          <c:idx val="3"/>
          <c:order val="3"/>
          <c:tx>
            <c:strRef>
              <c:f>'Totals Baseline'!$X$1</c:f>
              <c:strCache>
                <c:ptCount val="1"/>
                <c:pt idx="0">
                  <c:v>Avg ubc Distributor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Baseline'!$X$2:$X$38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16</c:v>
                </c:pt>
                <c:pt idx="13">
                  <c:v>23</c:v>
                </c:pt>
                <c:pt idx="14">
                  <c:v>23</c:v>
                </c:pt>
                <c:pt idx="15">
                  <c:v>20</c:v>
                </c:pt>
                <c:pt idx="16">
                  <c:v>28</c:v>
                </c:pt>
                <c:pt idx="17">
                  <c:v>36</c:v>
                </c:pt>
                <c:pt idx="18">
                  <c:v>41</c:v>
                </c:pt>
                <c:pt idx="19">
                  <c:v>36</c:v>
                </c:pt>
                <c:pt idx="20">
                  <c:v>44</c:v>
                </c:pt>
                <c:pt idx="21">
                  <c:v>52</c:v>
                </c:pt>
                <c:pt idx="22">
                  <c:v>47</c:v>
                </c:pt>
                <c:pt idx="23">
                  <c:v>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6</c:v>
                </c:pt>
                <c:pt idx="34">
                  <c:v>11</c:v>
                </c:pt>
                <c:pt idx="35">
                  <c:v>13</c:v>
                </c:pt>
                <c:pt idx="3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DC-45C1-94BC-D1D747D18480}"/>
            </c:ext>
          </c:extLst>
        </c:ser>
        <c:ser>
          <c:idx val="4"/>
          <c:order val="4"/>
          <c:tx>
            <c:strRef>
              <c:f>'Totals Baseline'!$Y$1</c:f>
              <c:strCache>
                <c:ptCount val="1"/>
                <c:pt idx="0">
                  <c:v>Avg ubc Producer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Baseline'!$Y$2:$Y$38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11</c:v>
                </c:pt>
                <c:pt idx="11">
                  <c:v>20</c:v>
                </c:pt>
                <c:pt idx="12">
                  <c:v>22</c:v>
                </c:pt>
                <c:pt idx="13">
                  <c:v>20</c:v>
                </c:pt>
                <c:pt idx="14">
                  <c:v>29</c:v>
                </c:pt>
                <c:pt idx="15">
                  <c:v>39</c:v>
                </c:pt>
                <c:pt idx="16">
                  <c:v>45</c:v>
                </c:pt>
                <c:pt idx="17">
                  <c:v>40</c:v>
                </c:pt>
                <c:pt idx="18">
                  <c:v>49</c:v>
                </c:pt>
                <c:pt idx="19">
                  <c:v>59</c:v>
                </c:pt>
                <c:pt idx="20">
                  <c:v>55</c:v>
                </c:pt>
                <c:pt idx="21">
                  <c:v>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</c:v>
                </c:pt>
                <c:pt idx="32">
                  <c:v>10</c:v>
                </c:pt>
                <c:pt idx="33">
                  <c:v>13</c:v>
                </c:pt>
                <c:pt idx="34">
                  <c:v>11</c:v>
                </c:pt>
                <c:pt idx="35">
                  <c:v>16</c:v>
                </c:pt>
                <c:pt idx="3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DC-45C1-94BC-D1D747D184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/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</a:t>
            </a:r>
            <a:r>
              <a:rPr lang="en-US" baseline="0"/>
              <a:t>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'Totals Baseline'!$AA$1</c:f>
              <c:strCache>
                <c:ptCount val="1"/>
                <c:pt idx="0">
                  <c:v>Avg TC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CRP'!$Z$2:$Z$38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Baseline'!$AA$2:$AA$38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44</c:v>
                </c:pt>
                <c:pt idx="8">
                  <c:v>54</c:v>
                </c:pt>
                <c:pt idx="9">
                  <c:v>63.5</c:v>
                </c:pt>
                <c:pt idx="10">
                  <c:v>69</c:v>
                </c:pt>
                <c:pt idx="11">
                  <c:v>70</c:v>
                </c:pt>
                <c:pt idx="12">
                  <c:v>86</c:v>
                </c:pt>
                <c:pt idx="13">
                  <c:v>118</c:v>
                </c:pt>
                <c:pt idx="14">
                  <c:v>161</c:v>
                </c:pt>
                <c:pt idx="15">
                  <c:v>203</c:v>
                </c:pt>
                <c:pt idx="16">
                  <c:v>256</c:v>
                </c:pt>
                <c:pt idx="17">
                  <c:v>322</c:v>
                </c:pt>
                <c:pt idx="18">
                  <c:v>386</c:v>
                </c:pt>
                <c:pt idx="19">
                  <c:v>427</c:v>
                </c:pt>
                <c:pt idx="20">
                  <c:v>436</c:v>
                </c:pt>
                <c:pt idx="21">
                  <c:v>445.5</c:v>
                </c:pt>
                <c:pt idx="22">
                  <c:v>456.5</c:v>
                </c:pt>
                <c:pt idx="23">
                  <c:v>467</c:v>
                </c:pt>
                <c:pt idx="24">
                  <c:v>477.5</c:v>
                </c:pt>
                <c:pt idx="25">
                  <c:v>488</c:v>
                </c:pt>
                <c:pt idx="26">
                  <c:v>498.5</c:v>
                </c:pt>
                <c:pt idx="27">
                  <c:v>508.5</c:v>
                </c:pt>
                <c:pt idx="28">
                  <c:v>518.5</c:v>
                </c:pt>
                <c:pt idx="29">
                  <c:v>529</c:v>
                </c:pt>
                <c:pt idx="30">
                  <c:v>539</c:v>
                </c:pt>
                <c:pt idx="31">
                  <c:v>546</c:v>
                </c:pt>
                <c:pt idx="32">
                  <c:v>548</c:v>
                </c:pt>
                <c:pt idx="33">
                  <c:v>556</c:v>
                </c:pt>
                <c:pt idx="34">
                  <c:v>575</c:v>
                </c:pt>
                <c:pt idx="35">
                  <c:v>605</c:v>
                </c:pt>
                <c:pt idx="36">
                  <c:v>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98-4993-AD61-5D9A3DC8268D}"/>
            </c:ext>
          </c:extLst>
        </c:ser>
        <c:ser>
          <c:idx val="2"/>
          <c:order val="2"/>
          <c:tx>
            <c:strRef>
              <c:f>'Totals Baseline'!$AB$1</c:f>
              <c:strCache>
                <c:ptCount val="1"/>
                <c:pt idx="0">
                  <c:v>Avg TC Wholesaler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CRP'!$Z$2:$Z$38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Baseline'!$AB$2:$AB$38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44</c:v>
                </c:pt>
                <c:pt idx="8">
                  <c:v>52</c:v>
                </c:pt>
                <c:pt idx="9">
                  <c:v>60</c:v>
                </c:pt>
                <c:pt idx="10">
                  <c:v>68</c:v>
                </c:pt>
                <c:pt idx="11">
                  <c:v>76</c:v>
                </c:pt>
                <c:pt idx="12">
                  <c:v>82.5</c:v>
                </c:pt>
                <c:pt idx="13">
                  <c:v>84.5</c:v>
                </c:pt>
                <c:pt idx="14">
                  <c:v>109.5</c:v>
                </c:pt>
                <c:pt idx="15">
                  <c:v>161.5</c:v>
                </c:pt>
                <c:pt idx="16">
                  <c:v>224.5</c:v>
                </c:pt>
                <c:pt idx="17">
                  <c:v>275.5</c:v>
                </c:pt>
                <c:pt idx="18">
                  <c:v>299.5</c:v>
                </c:pt>
                <c:pt idx="19">
                  <c:v>299.5</c:v>
                </c:pt>
                <c:pt idx="20">
                  <c:v>307.5</c:v>
                </c:pt>
                <c:pt idx="21">
                  <c:v>321.5</c:v>
                </c:pt>
                <c:pt idx="22">
                  <c:v>340</c:v>
                </c:pt>
                <c:pt idx="23">
                  <c:v>359.5</c:v>
                </c:pt>
                <c:pt idx="24">
                  <c:v>376</c:v>
                </c:pt>
                <c:pt idx="25">
                  <c:v>391.5</c:v>
                </c:pt>
                <c:pt idx="26">
                  <c:v>407</c:v>
                </c:pt>
                <c:pt idx="27">
                  <c:v>422</c:v>
                </c:pt>
                <c:pt idx="28">
                  <c:v>436</c:v>
                </c:pt>
                <c:pt idx="29">
                  <c:v>450</c:v>
                </c:pt>
                <c:pt idx="30">
                  <c:v>464</c:v>
                </c:pt>
                <c:pt idx="31">
                  <c:v>478</c:v>
                </c:pt>
                <c:pt idx="32">
                  <c:v>492</c:v>
                </c:pt>
                <c:pt idx="33">
                  <c:v>505.5</c:v>
                </c:pt>
                <c:pt idx="34">
                  <c:v>513.5</c:v>
                </c:pt>
                <c:pt idx="35">
                  <c:v>515.5</c:v>
                </c:pt>
                <c:pt idx="36">
                  <c:v>535.5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98-4993-AD61-5D9A3DC8268D}"/>
            </c:ext>
          </c:extLst>
        </c:ser>
        <c:ser>
          <c:idx val="3"/>
          <c:order val="3"/>
          <c:tx>
            <c:strRef>
              <c:f>'Totals Baseline'!$AC$1</c:f>
              <c:strCache>
                <c:ptCount val="1"/>
                <c:pt idx="0">
                  <c:v>Avg TC Distributor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CRP'!$Z$2:$Z$38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Baseline'!$AC$2:$AC$38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28</c:v>
                </c:pt>
                <c:pt idx="6">
                  <c:v>30</c:v>
                </c:pt>
                <c:pt idx="7">
                  <c:v>30</c:v>
                </c:pt>
                <c:pt idx="8">
                  <c:v>34</c:v>
                </c:pt>
                <c:pt idx="9">
                  <c:v>42</c:v>
                </c:pt>
                <c:pt idx="10">
                  <c:v>50</c:v>
                </c:pt>
                <c:pt idx="11">
                  <c:v>58</c:v>
                </c:pt>
                <c:pt idx="12">
                  <c:v>74</c:v>
                </c:pt>
                <c:pt idx="13">
                  <c:v>97</c:v>
                </c:pt>
                <c:pt idx="14">
                  <c:v>120</c:v>
                </c:pt>
                <c:pt idx="15">
                  <c:v>140</c:v>
                </c:pt>
                <c:pt idx="16">
                  <c:v>168</c:v>
                </c:pt>
                <c:pt idx="17">
                  <c:v>204</c:v>
                </c:pt>
                <c:pt idx="18">
                  <c:v>245</c:v>
                </c:pt>
                <c:pt idx="19">
                  <c:v>281</c:v>
                </c:pt>
                <c:pt idx="20">
                  <c:v>325</c:v>
                </c:pt>
                <c:pt idx="21">
                  <c:v>377</c:v>
                </c:pt>
                <c:pt idx="22">
                  <c:v>424</c:v>
                </c:pt>
                <c:pt idx="23">
                  <c:v>448</c:v>
                </c:pt>
                <c:pt idx="24">
                  <c:v>452.5</c:v>
                </c:pt>
                <c:pt idx="25">
                  <c:v>458</c:v>
                </c:pt>
                <c:pt idx="26">
                  <c:v>463.5</c:v>
                </c:pt>
                <c:pt idx="27">
                  <c:v>468</c:v>
                </c:pt>
                <c:pt idx="28">
                  <c:v>470</c:v>
                </c:pt>
                <c:pt idx="29">
                  <c:v>470.5</c:v>
                </c:pt>
                <c:pt idx="30">
                  <c:v>471.5</c:v>
                </c:pt>
                <c:pt idx="31">
                  <c:v>473.5</c:v>
                </c:pt>
                <c:pt idx="32">
                  <c:v>475.5</c:v>
                </c:pt>
                <c:pt idx="33">
                  <c:v>481.5</c:v>
                </c:pt>
                <c:pt idx="34">
                  <c:v>492.5</c:v>
                </c:pt>
                <c:pt idx="35">
                  <c:v>505.5</c:v>
                </c:pt>
                <c:pt idx="36">
                  <c:v>516.5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98-4993-AD61-5D9A3DC8268D}"/>
            </c:ext>
          </c:extLst>
        </c:ser>
        <c:ser>
          <c:idx val="4"/>
          <c:order val="4"/>
          <c:tx>
            <c:strRef>
              <c:f>'Totals Baseline'!$AD$1</c:f>
              <c:strCache>
                <c:ptCount val="1"/>
                <c:pt idx="0">
                  <c:v>Avg TC Producer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CRP'!$Z$2:$Z$38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Baseline'!$AD$2:$AD$38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46</c:v>
                </c:pt>
                <c:pt idx="9">
                  <c:v>47</c:v>
                </c:pt>
                <c:pt idx="10">
                  <c:v>58</c:v>
                </c:pt>
                <c:pt idx="11">
                  <c:v>78</c:v>
                </c:pt>
                <c:pt idx="12">
                  <c:v>100</c:v>
                </c:pt>
                <c:pt idx="13">
                  <c:v>120</c:v>
                </c:pt>
                <c:pt idx="14">
                  <c:v>149</c:v>
                </c:pt>
                <c:pt idx="15">
                  <c:v>188</c:v>
                </c:pt>
                <c:pt idx="16">
                  <c:v>233</c:v>
                </c:pt>
                <c:pt idx="17">
                  <c:v>273</c:v>
                </c:pt>
                <c:pt idx="18">
                  <c:v>322</c:v>
                </c:pt>
                <c:pt idx="19">
                  <c:v>381</c:v>
                </c:pt>
                <c:pt idx="20">
                  <c:v>436</c:v>
                </c:pt>
                <c:pt idx="21">
                  <c:v>468</c:v>
                </c:pt>
                <c:pt idx="22">
                  <c:v>468.5</c:v>
                </c:pt>
                <c:pt idx="23">
                  <c:v>474.5</c:v>
                </c:pt>
                <c:pt idx="24">
                  <c:v>481.5</c:v>
                </c:pt>
                <c:pt idx="25">
                  <c:v>488.5</c:v>
                </c:pt>
                <c:pt idx="26">
                  <c:v>496</c:v>
                </c:pt>
                <c:pt idx="27">
                  <c:v>504</c:v>
                </c:pt>
                <c:pt idx="28">
                  <c:v>512</c:v>
                </c:pt>
                <c:pt idx="29">
                  <c:v>518</c:v>
                </c:pt>
                <c:pt idx="30">
                  <c:v>520</c:v>
                </c:pt>
                <c:pt idx="31">
                  <c:v>525</c:v>
                </c:pt>
                <c:pt idx="32">
                  <c:v>535</c:v>
                </c:pt>
                <c:pt idx="33">
                  <c:v>548</c:v>
                </c:pt>
                <c:pt idx="34">
                  <c:v>559</c:v>
                </c:pt>
                <c:pt idx="35">
                  <c:v>575</c:v>
                </c:pt>
                <c:pt idx="36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98-4993-AD61-5D9A3DC826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'Totals CRP'!$Z$1</c15:sqref>
                        </c15:formulaRef>
                      </c:ext>
                    </c:extLst>
                    <c:strCache>
                      <c:ptCount val="1"/>
                      <c:pt idx="0">
                        <c:v>t6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L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'Totals CRP'!$Z$2:$Z$38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'Totals CRP'!$Z$2:$Z$38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E98-4993-AD61-5D9A3DC8268D}"/>
                  </c:ext>
                </c:extLst>
              </c15:ser>
            </c15:filteredLineSeries>
          </c:ext>
        </c:extLst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(crates)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'Totals DQN'!$B$1</c:f>
              <c:strCache>
                <c:ptCount val="1"/>
                <c:pt idx="0">
                  <c:v>Avg I Retailer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DQN'!$B$2:$B$38</c:f>
              <c:numCache>
                <c:formatCode>0.00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8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8</c:v>
                </c:pt>
                <c:pt idx="14">
                  <c:v>11</c:v>
                </c:pt>
                <c:pt idx="15">
                  <c:v>12</c:v>
                </c:pt>
                <c:pt idx="16">
                  <c:v>12</c:v>
                </c:pt>
                <c:pt idx="17">
                  <c:v>10</c:v>
                </c:pt>
                <c:pt idx="18">
                  <c:v>8</c:v>
                </c:pt>
                <c:pt idx="19">
                  <c:v>6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11</c:v>
                </c:pt>
                <c:pt idx="32">
                  <c:v>13</c:v>
                </c:pt>
                <c:pt idx="33">
                  <c:v>14</c:v>
                </c:pt>
                <c:pt idx="34">
                  <c:v>14</c:v>
                </c:pt>
                <c:pt idx="35">
                  <c:v>11</c:v>
                </c:pt>
                <c:pt idx="36">
                  <c:v>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860-49FC-B0E5-6C261E904E0A}"/>
            </c:ext>
          </c:extLst>
        </c:ser>
        <c:ser>
          <c:idx val="1"/>
          <c:order val="1"/>
          <c:tx>
            <c:strRef>
              <c:f>'Totals DQN'!$C$1</c:f>
              <c:strCache>
                <c:ptCount val="1"/>
                <c:pt idx="0">
                  <c:v>Avg I Wholesaler</c:v>
                </c:pt>
              </c:strCache>
            </c:strRef>
          </c:tx>
          <c:spPr>
            <a:ln w="28575" cap="rnd">
              <a:solidFill>
                <a:srgbClr val="80C47E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DQN'!$C$2:$C$38</c:f>
              <c:numCache>
                <c:formatCode>0.00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7</c:v>
                </c:pt>
                <c:pt idx="14">
                  <c:v>13</c:v>
                </c:pt>
                <c:pt idx="15">
                  <c:v>17</c:v>
                </c:pt>
                <c:pt idx="16">
                  <c:v>19</c:v>
                </c:pt>
                <c:pt idx="17">
                  <c:v>19</c:v>
                </c:pt>
                <c:pt idx="18">
                  <c:v>15</c:v>
                </c:pt>
                <c:pt idx="19">
                  <c:v>10</c:v>
                </c:pt>
                <c:pt idx="20">
                  <c:v>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13</c:v>
                </c:pt>
                <c:pt idx="31">
                  <c:v>17</c:v>
                </c:pt>
                <c:pt idx="32">
                  <c:v>20</c:v>
                </c:pt>
                <c:pt idx="33">
                  <c:v>23</c:v>
                </c:pt>
                <c:pt idx="34">
                  <c:v>22</c:v>
                </c:pt>
                <c:pt idx="35">
                  <c:v>19</c:v>
                </c:pt>
                <c:pt idx="36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0-49FC-B0E5-6C261E904E0A}"/>
            </c:ext>
          </c:extLst>
        </c:ser>
        <c:ser>
          <c:idx val="2"/>
          <c:order val="2"/>
          <c:tx>
            <c:strRef>
              <c:f>'Totals DQN'!$D$1</c:f>
              <c:strCache>
                <c:ptCount val="1"/>
                <c:pt idx="0">
                  <c:v>Avg I Distributor</c:v>
                </c:pt>
              </c:strCache>
            </c:strRef>
          </c:tx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DQN'!$D$2:$D$38</c:f>
              <c:numCache>
                <c:formatCode>0.00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8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5</c:v>
                </c:pt>
                <c:pt idx="14">
                  <c:v>10</c:v>
                </c:pt>
                <c:pt idx="15">
                  <c:v>16</c:v>
                </c:pt>
                <c:pt idx="16">
                  <c:v>23</c:v>
                </c:pt>
                <c:pt idx="17">
                  <c:v>27</c:v>
                </c:pt>
                <c:pt idx="18">
                  <c:v>28</c:v>
                </c:pt>
                <c:pt idx="19">
                  <c:v>25</c:v>
                </c:pt>
                <c:pt idx="20">
                  <c:v>19</c:v>
                </c:pt>
                <c:pt idx="21">
                  <c:v>11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11</c:v>
                </c:pt>
                <c:pt idx="31">
                  <c:v>18</c:v>
                </c:pt>
                <c:pt idx="32">
                  <c:v>24</c:v>
                </c:pt>
                <c:pt idx="33">
                  <c:v>30</c:v>
                </c:pt>
                <c:pt idx="34">
                  <c:v>34</c:v>
                </c:pt>
                <c:pt idx="35">
                  <c:v>34</c:v>
                </c:pt>
                <c:pt idx="36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0-49FC-B0E5-6C261E904E0A}"/>
            </c:ext>
          </c:extLst>
        </c:ser>
        <c:ser>
          <c:idx val="3"/>
          <c:order val="3"/>
          <c:tx>
            <c:strRef>
              <c:f>'Totals DQN'!$E$1</c:f>
              <c:strCache>
                <c:ptCount val="1"/>
                <c:pt idx="0">
                  <c:v>Avg I Producer</c:v>
                </c:pt>
              </c:strCache>
            </c:strRef>
          </c:tx>
          <c:spPr>
            <a:ln w="28575" cap="rnd">
              <a:solidFill>
                <a:srgbClr val="9900CC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DQN'!$E$2:$E$38</c:f>
              <c:numCache>
                <c:formatCode>0.00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6</c:v>
                </c:pt>
                <c:pt idx="13">
                  <c:v>7</c:v>
                </c:pt>
                <c:pt idx="14">
                  <c:v>10</c:v>
                </c:pt>
                <c:pt idx="15">
                  <c:v>12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14</c:v>
                </c:pt>
                <c:pt idx="22">
                  <c:v>8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</c:v>
                </c:pt>
                <c:pt idx="28">
                  <c:v>5</c:v>
                </c:pt>
                <c:pt idx="29">
                  <c:v>7</c:v>
                </c:pt>
                <c:pt idx="30">
                  <c:v>11</c:v>
                </c:pt>
                <c:pt idx="31">
                  <c:v>12</c:v>
                </c:pt>
                <c:pt idx="32">
                  <c:v>14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60-49FC-B0E5-6C261E904E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/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Backlog (crates)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'Totals DQN'!$G$1</c:f>
              <c:strCache>
                <c:ptCount val="1"/>
                <c:pt idx="0">
                  <c:v>Avg B Retailer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DQN'!$F$2:$F$38</c:f>
              <c:numCache>
                <c:formatCode>0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DQN'!$G$2:$G$38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</c:v>
                </c:pt>
                <c:pt idx="28">
                  <c:v>6</c:v>
                </c:pt>
                <c:pt idx="29">
                  <c:v>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CB-4C68-9E73-C03B65E91869}"/>
            </c:ext>
          </c:extLst>
        </c:ser>
        <c:ser>
          <c:idx val="2"/>
          <c:order val="1"/>
          <c:tx>
            <c:strRef>
              <c:f>'Totals DQN'!$H$1</c:f>
              <c:strCache>
                <c:ptCount val="1"/>
                <c:pt idx="0">
                  <c:v>Avg B Wholesaler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DQN'!$F$2:$F$38</c:f>
              <c:numCache>
                <c:formatCode>0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DQN'!$H$2:$H$38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4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11</c:v>
                </c:pt>
                <c:pt idx="26">
                  <c:v>14</c:v>
                </c:pt>
                <c:pt idx="27">
                  <c:v>12</c:v>
                </c:pt>
                <c:pt idx="28">
                  <c:v>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CB-4C68-9E73-C03B65E91869}"/>
            </c:ext>
          </c:extLst>
        </c:ser>
        <c:ser>
          <c:idx val="3"/>
          <c:order val="2"/>
          <c:tx>
            <c:strRef>
              <c:f>'Totals DQN'!$I$1</c:f>
              <c:strCache>
                <c:ptCount val="1"/>
                <c:pt idx="0">
                  <c:v>Avg B Distributor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DQN'!$F$2:$F$38</c:f>
              <c:numCache>
                <c:formatCode>0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DQN'!$I$2:$I$38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12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CB-4C68-9E73-C03B65E91869}"/>
            </c:ext>
          </c:extLst>
        </c:ser>
        <c:ser>
          <c:idx val="4"/>
          <c:order val="3"/>
          <c:tx>
            <c:strRef>
              <c:f>'Totals DQN'!$J$1</c:f>
              <c:strCache>
                <c:ptCount val="1"/>
                <c:pt idx="0">
                  <c:v>Avg B Producer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DQN'!$F$2:$F$38</c:f>
              <c:numCache>
                <c:formatCode>0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DQN'!$J$2:$J$38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5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CB-4C68-9E73-C03B65E9186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/>
      </c:lineChart>
      <c:catAx>
        <c:axId val="142561800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(crates)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'Totals DQN'!$L$1</c:f>
              <c:strCache>
                <c:ptCount val="1"/>
                <c:pt idx="0">
                  <c:v>Avg O Retailer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DQN'!$K$2:$K$38</c:f>
              <c:numCache>
                <c:formatCode>0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DQN'!$L$2:$L$38</c:f>
              <c:numCache>
                <c:formatCode>0.00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8</c:v>
                </c:pt>
                <c:pt idx="27">
                  <c:v>10</c:v>
                </c:pt>
                <c:pt idx="28">
                  <c:v>10</c:v>
                </c:pt>
                <c:pt idx="29">
                  <c:v>9</c:v>
                </c:pt>
                <c:pt idx="30">
                  <c:v>8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6</c:v>
                </c:pt>
                <c:pt idx="35">
                  <c:v>7</c:v>
                </c:pt>
                <c:pt idx="3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23-4755-AC17-EBF8F60C5FD3}"/>
            </c:ext>
          </c:extLst>
        </c:ser>
        <c:ser>
          <c:idx val="1"/>
          <c:order val="1"/>
          <c:tx>
            <c:strRef>
              <c:f>'Totals DQN'!$M$1</c:f>
              <c:strCache>
                <c:ptCount val="1"/>
                <c:pt idx="0">
                  <c:v>Avg O Wholesaler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DQN'!$K$2:$K$38</c:f>
              <c:numCache>
                <c:formatCode>0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DQN'!$M$2:$M$38</c:f>
              <c:numCache>
                <c:formatCode>0.00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10</c:v>
                </c:pt>
                <c:pt idx="12">
                  <c:v>8</c:v>
                </c:pt>
                <c:pt idx="13">
                  <c:v>6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6</c:v>
                </c:pt>
                <c:pt idx="19">
                  <c:v>8</c:v>
                </c:pt>
                <c:pt idx="20">
                  <c:v>10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11</c:v>
                </c:pt>
                <c:pt idx="28">
                  <c:v>11</c:v>
                </c:pt>
                <c:pt idx="29">
                  <c:v>8</c:v>
                </c:pt>
                <c:pt idx="30">
                  <c:v>4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4</c:v>
                </c:pt>
                <c:pt idx="3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23-4755-AC17-EBF8F60C5FD3}"/>
            </c:ext>
          </c:extLst>
        </c:ser>
        <c:ser>
          <c:idx val="2"/>
          <c:order val="2"/>
          <c:tx>
            <c:strRef>
              <c:f>'Totals DQN'!$N$1</c:f>
              <c:strCache>
                <c:ptCount val="1"/>
                <c:pt idx="0">
                  <c:v>Avg O Distributor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DQN'!$K$2:$K$38</c:f>
              <c:numCache>
                <c:formatCode>0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DQN'!$N$2:$N$38</c:f>
              <c:numCache>
                <c:formatCode>0.00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9</c:v>
                </c:pt>
                <c:pt idx="13">
                  <c:v>6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6</c:v>
                </c:pt>
                <c:pt idx="21">
                  <c:v>11</c:v>
                </c:pt>
                <c:pt idx="22">
                  <c:v>16</c:v>
                </c:pt>
                <c:pt idx="23">
                  <c:v>19</c:v>
                </c:pt>
                <c:pt idx="24">
                  <c:v>19</c:v>
                </c:pt>
                <c:pt idx="25">
                  <c:v>17</c:v>
                </c:pt>
                <c:pt idx="26">
                  <c:v>17</c:v>
                </c:pt>
                <c:pt idx="27">
                  <c:v>15</c:v>
                </c:pt>
                <c:pt idx="28">
                  <c:v>10</c:v>
                </c:pt>
                <c:pt idx="29">
                  <c:v>8</c:v>
                </c:pt>
                <c:pt idx="30">
                  <c:v>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23-4755-AC17-EBF8F60C5FD3}"/>
            </c:ext>
          </c:extLst>
        </c:ser>
        <c:ser>
          <c:idx val="3"/>
          <c:order val="3"/>
          <c:tx>
            <c:strRef>
              <c:f>'Totals DQN'!$O$1</c:f>
              <c:strCache>
                <c:ptCount val="1"/>
                <c:pt idx="0">
                  <c:v>Avg O Producer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DQN'!$K$2:$K$38</c:f>
              <c:numCache>
                <c:formatCode>0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DQN'!$O$2:$O$38</c:f>
              <c:numCache>
                <c:formatCode>0.00</c:formatCode>
                <c:ptCount val="37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8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15</c:v>
                </c:pt>
                <c:pt idx="10">
                  <c:v>15</c:v>
                </c:pt>
                <c:pt idx="11">
                  <c:v>13</c:v>
                </c:pt>
                <c:pt idx="12">
                  <c:v>12</c:v>
                </c:pt>
                <c:pt idx="13">
                  <c:v>8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11</c:v>
                </c:pt>
                <c:pt idx="23">
                  <c:v>18</c:v>
                </c:pt>
                <c:pt idx="24">
                  <c:v>23</c:v>
                </c:pt>
                <c:pt idx="25">
                  <c:v>22</c:v>
                </c:pt>
                <c:pt idx="26">
                  <c:v>18</c:v>
                </c:pt>
                <c:pt idx="27">
                  <c:v>17</c:v>
                </c:pt>
                <c:pt idx="28">
                  <c:v>14</c:v>
                </c:pt>
                <c:pt idx="29">
                  <c:v>9</c:v>
                </c:pt>
                <c:pt idx="30">
                  <c:v>6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23-4755-AC17-EBF8F60C5F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/>
      </c:lineChart>
      <c:catAx>
        <c:axId val="142561800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Holding Cost </a:t>
            </a:r>
          </a:p>
        </c:rich>
      </c:tx>
      <c:layout>
        <c:manualLayout>
          <c:xMode val="edge"/>
          <c:yMode val="edge"/>
          <c:x val="0.3191734470691163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'Totals DQN'!$Q$1</c:f>
              <c:strCache>
                <c:ptCount val="1"/>
                <c:pt idx="0">
                  <c:v>Avg ihc Retailer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DQN'!$Q$2:$Q$38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  <c:pt idx="6">
                  <c:v>1.5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4</c:v>
                </c:pt>
                <c:pt idx="14">
                  <c:v>5.5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1.5</c:v>
                </c:pt>
                <c:pt idx="22">
                  <c:v>1.5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0.5</c:v>
                </c:pt>
                <c:pt idx="31">
                  <c:v>5.5</c:v>
                </c:pt>
                <c:pt idx="32">
                  <c:v>6.5</c:v>
                </c:pt>
                <c:pt idx="33">
                  <c:v>7</c:v>
                </c:pt>
                <c:pt idx="34">
                  <c:v>7</c:v>
                </c:pt>
                <c:pt idx="35">
                  <c:v>5.5</c:v>
                </c:pt>
                <c:pt idx="3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CE-4EAC-B995-41A34683E735}"/>
            </c:ext>
          </c:extLst>
        </c:ser>
        <c:ser>
          <c:idx val="1"/>
          <c:order val="1"/>
          <c:tx>
            <c:strRef>
              <c:f>'Totals DQN'!$R$1</c:f>
              <c:strCache>
                <c:ptCount val="1"/>
                <c:pt idx="0">
                  <c:v>Avg ihc Wholesaler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DQN'!$R$2:$R$38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4</c:v>
                </c:pt>
                <c:pt idx="3">
                  <c:v>1.5</c:v>
                </c:pt>
                <c:pt idx="4">
                  <c:v>0.5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3.5</c:v>
                </c:pt>
                <c:pt idx="14">
                  <c:v>6.5</c:v>
                </c:pt>
                <c:pt idx="15">
                  <c:v>8.5</c:v>
                </c:pt>
                <c:pt idx="16">
                  <c:v>9.5</c:v>
                </c:pt>
                <c:pt idx="17">
                  <c:v>9.5</c:v>
                </c:pt>
                <c:pt idx="18">
                  <c:v>7.5</c:v>
                </c:pt>
                <c:pt idx="19">
                  <c:v>5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6.5</c:v>
                </c:pt>
                <c:pt idx="31">
                  <c:v>8.5</c:v>
                </c:pt>
                <c:pt idx="32">
                  <c:v>10</c:v>
                </c:pt>
                <c:pt idx="33">
                  <c:v>11.5</c:v>
                </c:pt>
                <c:pt idx="34">
                  <c:v>11</c:v>
                </c:pt>
                <c:pt idx="35">
                  <c:v>9.5</c:v>
                </c:pt>
                <c:pt idx="36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CE-4EAC-B995-41A34683E735}"/>
            </c:ext>
          </c:extLst>
        </c:ser>
        <c:ser>
          <c:idx val="2"/>
          <c:order val="2"/>
          <c:tx>
            <c:strRef>
              <c:f>'Totals DQN'!$S$1</c:f>
              <c:strCache>
                <c:ptCount val="1"/>
                <c:pt idx="0">
                  <c:v>Avg ihc Distributor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DQN'!$S$2:$S$38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4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</c:v>
                </c:pt>
                <c:pt idx="13">
                  <c:v>2.5</c:v>
                </c:pt>
                <c:pt idx="14">
                  <c:v>5</c:v>
                </c:pt>
                <c:pt idx="15">
                  <c:v>8</c:v>
                </c:pt>
                <c:pt idx="16">
                  <c:v>11.5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9.5</c:v>
                </c:pt>
                <c:pt idx="21">
                  <c:v>5.5</c:v>
                </c:pt>
                <c:pt idx="22">
                  <c:v>0.5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2.5</c:v>
                </c:pt>
                <c:pt idx="30">
                  <c:v>5.5</c:v>
                </c:pt>
                <c:pt idx="31">
                  <c:v>9</c:v>
                </c:pt>
                <c:pt idx="32">
                  <c:v>12</c:v>
                </c:pt>
                <c:pt idx="33">
                  <c:v>15</c:v>
                </c:pt>
                <c:pt idx="34">
                  <c:v>17</c:v>
                </c:pt>
                <c:pt idx="35">
                  <c:v>17</c:v>
                </c:pt>
                <c:pt idx="36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CE-4EAC-B995-41A34683E735}"/>
            </c:ext>
          </c:extLst>
        </c:ser>
        <c:ser>
          <c:idx val="3"/>
          <c:order val="3"/>
          <c:tx>
            <c:strRef>
              <c:f>'Totals DQN'!$T$1</c:f>
              <c:strCache>
                <c:ptCount val="1"/>
                <c:pt idx="0">
                  <c:v>Avg ihc Producer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DQN'!$P$2:$P$38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DQN'!$T$2:$T$38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2.5</c:v>
                </c:pt>
                <c:pt idx="5">
                  <c:v>1.5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1.5</c:v>
                </c:pt>
                <c:pt idx="11">
                  <c:v>2</c:v>
                </c:pt>
                <c:pt idx="12">
                  <c:v>3</c:v>
                </c:pt>
                <c:pt idx="13">
                  <c:v>3.5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</c:v>
                </c:pt>
                <c:pt idx="22">
                  <c:v>4</c:v>
                </c:pt>
                <c:pt idx="23">
                  <c:v>0.5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2.5</c:v>
                </c:pt>
                <c:pt idx="29">
                  <c:v>3.5</c:v>
                </c:pt>
                <c:pt idx="30">
                  <c:v>5.5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CE-4EAC-B995-41A34683E7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/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</a:t>
            </a:r>
            <a:r>
              <a:rPr lang="en-US" baseline="0"/>
              <a:t> Backlog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'Totals DQN'!$V$1</c:f>
              <c:strCache>
                <c:ptCount val="1"/>
                <c:pt idx="0">
                  <c:v>Avg ubc Retailer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DQN'!$V$2:$V$38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</c:v>
                </c:pt>
                <c:pt idx="28">
                  <c:v>6</c:v>
                </c:pt>
                <c:pt idx="29">
                  <c:v>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76-42BD-8076-20FCCD743FCC}"/>
            </c:ext>
          </c:extLst>
        </c:ser>
        <c:ser>
          <c:idx val="1"/>
          <c:order val="1"/>
          <c:tx>
            <c:strRef>
              <c:f>'Totals DQN'!$W$1</c:f>
              <c:strCache>
                <c:ptCount val="1"/>
                <c:pt idx="0">
                  <c:v>Avg ubc Wholesaler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DQN'!$W$2:$W$38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4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11</c:v>
                </c:pt>
                <c:pt idx="26">
                  <c:v>14</c:v>
                </c:pt>
                <c:pt idx="27">
                  <c:v>12</c:v>
                </c:pt>
                <c:pt idx="28">
                  <c:v>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76-42BD-8076-20FCCD743FCC}"/>
            </c:ext>
          </c:extLst>
        </c:ser>
        <c:ser>
          <c:idx val="2"/>
          <c:order val="2"/>
          <c:tx>
            <c:strRef>
              <c:f>'Totals DQN'!$X$1</c:f>
              <c:strCache>
                <c:ptCount val="1"/>
                <c:pt idx="0">
                  <c:v>Avg ubc Distributor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DQN'!$X$2:$X$38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12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76-42BD-8076-20FCCD743FCC}"/>
            </c:ext>
          </c:extLst>
        </c:ser>
        <c:ser>
          <c:idx val="3"/>
          <c:order val="3"/>
          <c:tx>
            <c:strRef>
              <c:f>'Totals DQN'!$Y$1</c:f>
              <c:strCache>
                <c:ptCount val="1"/>
                <c:pt idx="0">
                  <c:v>Avg ubc Producer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DQN'!$U$2:$U$38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DQN'!$Y$2:$Y$38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5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76-42BD-8076-20FCCD743FC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/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</a:t>
            </a:r>
            <a:r>
              <a:rPr lang="en-US" baseline="0"/>
              <a:t>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'Totals DQN'!$AA$1</c:f>
              <c:strCache>
                <c:ptCount val="1"/>
                <c:pt idx="0">
                  <c:v>Avg TC Retailer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DQN'!$Z$2:$Z$38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DQN'!$AA$2:$AA$38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16.5</c:v>
                </c:pt>
                <c:pt idx="6">
                  <c:v>18</c:v>
                </c:pt>
                <c:pt idx="7">
                  <c:v>18.5</c:v>
                </c:pt>
                <c:pt idx="8">
                  <c:v>18.5</c:v>
                </c:pt>
                <c:pt idx="9">
                  <c:v>21.5</c:v>
                </c:pt>
                <c:pt idx="10">
                  <c:v>25.5</c:v>
                </c:pt>
                <c:pt idx="11">
                  <c:v>27.5</c:v>
                </c:pt>
                <c:pt idx="12">
                  <c:v>28.5</c:v>
                </c:pt>
                <c:pt idx="13">
                  <c:v>32.5</c:v>
                </c:pt>
                <c:pt idx="14">
                  <c:v>38</c:v>
                </c:pt>
                <c:pt idx="15">
                  <c:v>44</c:v>
                </c:pt>
                <c:pt idx="16">
                  <c:v>50</c:v>
                </c:pt>
                <c:pt idx="17">
                  <c:v>55</c:v>
                </c:pt>
                <c:pt idx="18">
                  <c:v>59</c:v>
                </c:pt>
                <c:pt idx="19">
                  <c:v>62</c:v>
                </c:pt>
                <c:pt idx="20">
                  <c:v>64</c:v>
                </c:pt>
                <c:pt idx="21">
                  <c:v>65.5</c:v>
                </c:pt>
                <c:pt idx="22">
                  <c:v>67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69</c:v>
                </c:pt>
                <c:pt idx="27">
                  <c:v>73</c:v>
                </c:pt>
                <c:pt idx="28">
                  <c:v>79</c:v>
                </c:pt>
                <c:pt idx="29">
                  <c:v>82</c:v>
                </c:pt>
                <c:pt idx="30">
                  <c:v>82.5</c:v>
                </c:pt>
                <c:pt idx="31">
                  <c:v>88</c:v>
                </c:pt>
                <c:pt idx="32">
                  <c:v>94.5</c:v>
                </c:pt>
                <c:pt idx="33">
                  <c:v>101.5</c:v>
                </c:pt>
                <c:pt idx="34">
                  <c:v>108.5</c:v>
                </c:pt>
                <c:pt idx="35">
                  <c:v>114</c:v>
                </c:pt>
                <c:pt idx="36">
                  <c:v>118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C6A-449C-B340-394A0B7CAF06}"/>
            </c:ext>
          </c:extLst>
        </c:ser>
        <c:ser>
          <c:idx val="1"/>
          <c:order val="1"/>
          <c:tx>
            <c:strRef>
              <c:f>'Totals DQN'!$AB$1</c:f>
              <c:strCache>
                <c:ptCount val="1"/>
                <c:pt idx="0">
                  <c:v>Avg TC Wholesaler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DQN'!$Z$2:$Z$38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DQN'!$AB$2:$AB$38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10</c:v>
                </c:pt>
                <c:pt idx="3">
                  <c:v>11.5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17</c:v>
                </c:pt>
                <c:pt idx="8">
                  <c:v>24</c:v>
                </c:pt>
                <c:pt idx="9">
                  <c:v>31</c:v>
                </c:pt>
                <c:pt idx="10">
                  <c:v>36</c:v>
                </c:pt>
                <c:pt idx="11">
                  <c:v>37</c:v>
                </c:pt>
                <c:pt idx="12">
                  <c:v>38</c:v>
                </c:pt>
                <c:pt idx="13">
                  <c:v>41.5</c:v>
                </c:pt>
                <c:pt idx="14">
                  <c:v>48</c:v>
                </c:pt>
                <c:pt idx="15">
                  <c:v>56.5</c:v>
                </c:pt>
                <c:pt idx="16">
                  <c:v>66</c:v>
                </c:pt>
                <c:pt idx="17">
                  <c:v>75.5</c:v>
                </c:pt>
                <c:pt idx="18">
                  <c:v>83</c:v>
                </c:pt>
                <c:pt idx="19">
                  <c:v>88</c:v>
                </c:pt>
                <c:pt idx="20">
                  <c:v>90</c:v>
                </c:pt>
                <c:pt idx="21">
                  <c:v>91</c:v>
                </c:pt>
                <c:pt idx="22">
                  <c:v>95</c:v>
                </c:pt>
                <c:pt idx="23">
                  <c:v>100</c:v>
                </c:pt>
                <c:pt idx="24">
                  <c:v>104</c:v>
                </c:pt>
                <c:pt idx="25">
                  <c:v>115</c:v>
                </c:pt>
                <c:pt idx="26">
                  <c:v>129</c:v>
                </c:pt>
                <c:pt idx="27">
                  <c:v>141</c:v>
                </c:pt>
                <c:pt idx="28">
                  <c:v>149</c:v>
                </c:pt>
                <c:pt idx="29">
                  <c:v>149</c:v>
                </c:pt>
                <c:pt idx="30">
                  <c:v>155.5</c:v>
                </c:pt>
                <c:pt idx="31">
                  <c:v>164</c:v>
                </c:pt>
                <c:pt idx="32">
                  <c:v>174</c:v>
                </c:pt>
                <c:pt idx="33">
                  <c:v>185.5</c:v>
                </c:pt>
                <c:pt idx="34">
                  <c:v>196.5</c:v>
                </c:pt>
                <c:pt idx="35">
                  <c:v>206</c:v>
                </c:pt>
                <c:pt idx="36">
                  <c:v>212.5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6A-449C-B340-394A0B7CAF06}"/>
            </c:ext>
          </c:extLst>
        </c:ser>
        <c:ser>
          <c:idx val="2"/>
          <c:order val="2"/>
          <c:tx>
            <c:strRef>
              <c:f>'Totals DQN'!$AC$1</c:f>
              <c:strCache>
                <c:ptCount val="1"/>
                <c:pt idx="0">
                  <c:v>Avg TC Distributor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DQN'!$Z$2:$Z$38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DQN'!$AC$2:$AC$38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10</c:v>
                </c:pt>
                <c:pt idx="3">
                  <c:v>11.5</c:v>
                </c:pt>
                <c:pt idx="4">
                  <c:v>11.5</c:v>
                </c:pt>
                <c:pt idx="5">
                  <c:v>15.5</c:v>
                </c:pt>
                <c:pt idx="6">
                  <c:v>22.5</c:v>
                </c:pt>
                <c:pt idx="7">
                  <c:v>28.5</c:v>
                </c:pt>
                <c:pt idx="8">
                  <c:v>33.5</c:v>
                </c:pt>
                <c:pt idx="9">
                  <c:v>37.5</c:v>
                </c:pt>
                <c:pt idx="10">
                  <c:v>41.5</c:v>
                </c:pt>
                <c:pt idx="11">
                  <c:v>43.5</c:v>
                </c:pt>
                <c:pt idx="12">
                  <c:v>44</c:v>
                </c:pt>
                <c:pt idx="13">
                  <c:v>46.5</c:v>
                </c:pt>
                <c:pt idx="14">
                  <c:v>51.5</c:v>
                </c:pt>
                <c:pt idx="15">
                  <c:v>59.5</c:v>
                </c:pt>
                <c:pt idx="16">
                  <c:v>71</c:v>
                </c:pt>
                <c:pt idx="17">
                  <c:v>84.5</c:v>
                </c:pt>
                <c:pt idx="18">
                  <c:v>98.5</c:v>
                </c:pt>
                <c:pt idx="19">
                  <c:v>111</c:v>
                </c:pt>
                <c:pt idx="20">
                  <c:v>120.5</c:v>
                </c:pt>
                <c:pt idx="21">
                  <c:v>126</c:v>
                </c:pt>
                <c:pt idx="22">
                  <c:v>126.5</c:v>
                </c:pt>
                <c:pt idx="23">
                  <c:v>136.5</c:v>
                </c:pt>
                <c:pt idx="24">
                  <c:v>153.5</c:v>
                </c:pt>
                <c:pt idx="25">
                  <c:v>171.5</c:v>
                </c:pt>
                <c:pt idx="26">
                  <c:v>188.5</c:v>
                </c:pt>
                <c:pt idx="27">
                  <c:v>200.5</c:v>
                </c:pt>
                <c:pt idx="28">
                  <c:v>202.5</c:v>
                </c:pt>
                <c:pt idx="29">
                  <c:v>205</c:v>
                </c:pt>
                <c:pt idx="30">
                  <c:v>210.5</c:v>
                </c:pt>
                <c:pt idx="31">
                  <c:v>219.5</c:v>
                </c:pt>
                <c:pt idx="32">
                  <c:v>231.5</c:v>
                </c:pt>
                <c:pt idx="33">
                  <c:v>246.5</c:v>
                </c:pt>
                <c:pt idx="34">
                  <c:v>263.5</c:v>
                </c:pt>
                <c:pt idx="35">
                  <c:v>280.5</c:v>
                </c:pt>
                <c:pt idx="36">
                  <c:v>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6A-449C-B340-394A0B7CAF06}"/>
            </c:ext>
          </c:extLst>
        </c:ser>
        <c:ser>
          <c:idx val="3"/>
          <c:order val="3"/>
          <c:tx>
            <c:strRef>
              <c:f>'Totals DQN'!$AD$1</c:f>
              <c:strCache>
                <c:ptCount val="1"/>
                <c:pt idx="0">
                  <c:v>Avg TC Producer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'Totals DQN'!$Z$2:$Z$38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'Totals DQN'!$AD$2:$AD$38</c:f>
              <c:numCache>
                <c:formatCode>_("€"* #,##0.00_);_("€"* \(#,##0.00\);_("€"* "-"??_);_(@_)</c:formatCode>
                <c:ptCount val="37"/>
                <c:pt idx="0">
                  <c:v>0</c:v>
                </c:pt>
                <c:pt idx="1">
                  <c:v>6</c:v>
                </c:pt>
                <c:pt idx="2">
                  <c:v>10</c:v>
                </c:pt>
                <c:pt idx="3">
                  <c:v>13</c:v>
                </c:pt>
                <c:pt idx="4">
                  <c:v>15.5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24.5</c:v>
                </c:pt>
                <c:pt idx="11">
                  <c:v>26.5</c:v>
                </c:pt>
                <c:pt idx="12">
                  <c:v>29.5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51</c:v>
                </c:pt>
                <c:pt idx="17">
                  <c:v>58.5</c:v>
                </c:pt>
                <c:pt idx="18">
                  <c:v>66</c:v>
                </c:pt>
                <c:pt idx="19">
                  <c:v>73.5</c:v>
                </c:pt>
                <c:pt idx="20">
                  <c:v>81</c:v>
                </c:pt>
                <c:pt idx="21">
                  <c:v>88</c:v>
                </c:pt>
                <c:pt idx="22">
                  <c:v>92</c:v>
                </c:pt>
                <c:pt idx="23">
                  <c:v>92.5</c:v>
                </c:pt>
                <c:pt idx="24">
                  <c:v>96.5</c:v>
                </c:pt>
                <c:pt idx="25">
                  <c:v>101.5</c:v>
                </c:pt>
                <c:pt idx="26">
                  <c:v>102.5</c:v>
                </c:pt>
                <c:pt idx="27">
                  <c:v>104.5</c:v>
                </c:pt>
                <c:pt idx="28">
                  <c:v>107</c:v>
                </c:pt>
                <c:pt idx="29">
                  <c:v>110.5</c:v>
                </c:pt>
                <c:pt idx="30">
                  <c:v>116</c:v>
                </c:pt>
                <c:pt idx="31">
                  <c:v>122</c:v>
                </c:pt>
                <c:pt idx="32">
                  <c:v>129</c:v>
                </c:pt>
                <c:pt idx="33">
                  <c:v>137</c:v>
                </c:pt>
                <c:pt idx="34">
                  <c:v>145</c:v>
                </c:pt>
                <c:pt idx="35">
                  <c:v>153</c:v>
                </c:pt>
                <c:pt idx="36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6A-449C-B340-394A0B7CAF0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618000"/>
        <c:axId val="1425621360"/>
        <c:extLst/>
      </c:lineChart>
      <c:catAx>
        <c:axId val="1425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21360"/>
        <c:crosses val="autoZero"/>
        <c:auto val="1"/>
        <c:lblAlgn val="ctr"/>
        <c:lblOffset val="100"/>
        <c:noMultiLvlLbl val="0"/>
      </c:catAx>
      <c:valAx>
        <c:axId val="14256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5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593725</xdr:colOff>
      <xdr:row>2</xdr:row>
      <xdr:rowOff>25400</xdr:rowOff>
    </xdr:from>
    <xdr:ext cx="11041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63BFEA9-A3C7-05CA-3CB1-EF6D033F4888}"/>
                </a:ext>
              </a:extLst>
            </xdr:cNvPr>
            <xdr:cNvSpPr txBox="1"/>
          </xdr:nvSpPr>
          <xdr:spPr>
            <a:xfrm>
              <a:off x="9998075" y="393700"/>
              <a:ext cx="11041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>
                        <a:solidFill>
                          <a:schemeClr val="bg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</m:oMath>
                </m:oMathPara>
              </a14:m>
              <a:endParaRPr lang="en-NL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63BFEA9-A3C7-05CA-3CB1-EF6D033F4888}"/>
                </a:ext>
              </a:extLst>
            </xdr:cNvPr>
            <xdr:cNvSpPr txBox="1"/>
          </xdr:nvSpPr>
          <xdr:spPr>
            <a:xfrm>
              <a:off x="9998075" y="393700"/>
              <a:ext cx="11041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>
                  <a:solidFill>
                    <a:schemeClr val="bg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endParaRPr lang="en-NL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17</xdr:col>
      <xdr:colOff>136525</xdr:colOff>
      <xdr:row>2</xdr:row>
      <xdr:rowOff>177800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68928FE-6F2D-494C-A9B2-E53985BC1398}"/>
            </a:ext>
          </a:extLst>
        </xdr:cNvPr>
        <xdr:cNvSpPr txBox="1"/>
      </xdr:nvSpPr>
      <xdr:spPr>
        <a:xfrm>
          <a:off x="10150475" y="546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NL" sz="1100">
            <a:solidFill>
              <a:schemeClr val="bg1"/>
            </a:solidFill>
          </a:endParaRPr>
        </a:p>
      </xdr:txBody>
    </xdr:sp>
    <xdr:clientData/>
  </xdr:oneCellAnchor>
  <xdr:oneCellAnchor>
    <xdr:from>
      <xdr:col>19</xdr:col>
      <xdr:colOff>600075</xdr:colOff>
      <xdr:row>2</xdr:row>
      <xdr:rowOff>19050</xdr:rowOff>
    </xdr:from>
    <xdr:ext cx="11041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BE00881-4402-42E3-B2B3-653D6BB18233}"/>
                </a:ext>
              </a:extLst>
            </xdr:cNvPr>
            <xdr:cNvSpPr txBox="1"/>
          </xdr:nvSpPr>
          <xdr:spPr>
            <a:xfrm>
              <a:off x="11833225" y="387350"/>
              <a:ext cx="11041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>
                        <a:solidFill>
                          <a:schemeClr val="bg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</m:oMath>
                </m:oMathPara>
              </a14:m>
              <a:endParaRPr lang="en-NL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BE00881-4402-42E3-B2B3-653D6BB18233}"/>
                </a:ext>
              </a:extLst>
            </xdr:cNvPr>
            <xdr:cNvSpPr txBox="1"/>
          </xdr:nvSpPr>
          <xdr:spPr>
            <a:xfrm>
              <a:off x="11833225" y="387350"/>
              <a:ext cx="11041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>
                  <a:solidFill>
                    <a:schemeClr val="bg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endParaRPr lang="en-NL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104775</xdr:colOff>
      <xdr:row>2</xdr:row>
      <xdr:rowOff>25400</xdr:rowOff>
    </xdr:from>
    <xdr:ext cx="11041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6BA00BA-D5CC-406B-AB64-F6DC684CDA12}"/>
                </a:ext>
              </a:extLst>
            </xdr:cNvPr>
            <xdr:cNvSpPr txBox="1"/>
          </xdr:nvSpPr>
          <xdr:spPr>
            <a:xfrm>
              <a:off x="13166725" y="393700"/>
              <a:ext cx="11041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>
                        <a:solidFill>
                          <a:schemeClr val="bg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</m:oMath>
                </m:oMathPara>
              </a14:m>
              <a:endParaRPr lang="en-NL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6BA00BA-D5CC-406B-AB64-F6DC684CDA12}"/>
                </a:ext>
              </a:extLst>
            </xdr:cNvPr>
            <xdr:cNvSpPr txBox="1"/>
          </xdr:nvSpPr>
          <xdr:spPr>
            <a:xfrm>
              <a:off x="13166725" y="393700"/>
              <a:ext cx="11041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>
                  <a:solidFill>
                    <a:schemeClr val="bg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endParaRPr lang="en-NL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136525</xdr:colOff>
      <xdr:row>2</xdr:row>
      <xdr:rowOff>12700</xdr:rowOff>
    </xdr:from>
    <xdr:ext cx="415926" cy="177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8BF42AA-1E1B-458E-9D4C-C5EF58BC2B6F}"/>
                </a:ext>
              </a:extLst>
            </xdr:cNvPr>
            <xdr:cNvSpPr txBox="1"/>
          </xdr:nvSpPr>
          <xdr:spPr>
            <a:xfrm>
              <a:off x="12804775" y="381000"/>
              <a:ext cx="415926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>
                        <a:solidFill>
                          <a:schemeClr val="bg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</m:oMath>
                </m:oMathPara>
              </a14:m>
              <a:endParaRPr lang="en-NL" sz="1100">
                <a:solidFill>
                  <a:schemeClr val="bg1"/>
                </a:solidFill>
              </a:endParaRP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8BF42AA-1E1B-458E-9D4C-C5EF58BC2B6F}"/>
                </a:ext>
              </a:extLst>
            </xdr:cNvPr>
            <xdr:cNvSpPr txBox="1"/>
          </xdr:nvSpPr>
          <xdr:spPr>
            <a:xfrm>
              <a:off x="12804775" y="381000"/>
              <a:ext cx="415926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l-GR" sz="1100" i="0">
                  <a:solidFill>
                    <a:schemeClr val="bg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endParaRPr lang="en-NL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136525</xdr:colOff>
      <xdr:row>2</xdr:row>
      <xdr:rowOff>177800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0B3B6FC-1DB8-4589-9521-A84D3CC615BA}"/>
            </a:ext>
          </a:extLst>
        </xdr:cNvPr>
        <xdr:cNvSpPr txBox="1"/>
      </xdr:nvSpPr>
      <xdr:spPr>
        <a:xfrm>
          <a:off x="11817350" y="5429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NL" sz="1100">
            <a:solidFill>
              <a:schemeClr val="bg1"/>
            </a:solidFill>
          </a:endParaRPr>
        </a:p>
      </xdr:txBody>
    </xdr:sp>
    <xdr:clientData/>
  </xdr:oneCellAnchor>
  <xdr:oneCellAnchor>
    <xdr:from>
      <xdr:col>25</xdr:col>
      <xdr:colOff>34925</xdr:colOff>
      <xdr:row>2</xdr:row>
      <xdr:rowOff>0</xdr:rowOff>
    </xdr:from>
    <xdr:ext cx="110415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5E635C0-793E-4DF4-B4E0-596BFEC834AB}"/>
                </a:ext>
              </a:extLst>
            </xdr:cNvPr>
            <xdr:cNvSpPr txBox="1"/>
          </xdr:nvSpPr>
          <xdr:spPr>
            <a:xfrm>
              <a:off x="18138775" y="368300"/>
              <a:ext cx="11041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>
                        <a:solidFill>
                          <a:schemeClr val="bg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</m:oMath>
                </m:oMathPara>
              </a14:m>
              <a:endParaRPr lang="en-NL" sz="1100">
                <a:solidFill>
                  <a:schemeClr val="bg1"/>
                </a:solidFill>
              </a:endParaRPr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5E635C0-793E-4DF4-B4E0-596BFEC834AB}"/>
                </a:ext>
              </a:extLst>
            </xdr:cNvPr>
            <xdr:cNvSpPr txBox="1"/>
          </xdr:nvSpPr>
          <xdr:spPr>
            <a:xfrm>
              <a:off x="18138775" y="368300"/>
              <a:ext cx="11041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solidFill>
                    <a:schemeClr val="bg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endParaRPr lang="en-NL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92075</xdr:colOff>
      <xdr:row>2</xdr:row>
      <xdr:rowOff>6350</xdr:rowOff>
    </xdr:from>
    <xdr:ext cx="110415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D22AF1D-924D-4AF4-8796-DE0ACC2162E8}"/>
                </a:ext>
              </a:extLst>
            </xdr:cNvPr>
            <xdr:cNvSpPr txBox="1"/>
          </xdr:nvSpPr>
          <xdr:spPr>
            <a:xfrm>
              <a:off x="20145375" y="374650"/>
              <a:ext cx="11041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>
                        <a:solidFill>
                          <a:schemeClr val="bg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</m:oMath>
                </m:oMathPara>
              </a14:m>
              <a:endParaRPr lang="en-NL" sz="1100">
                <a:solidFill>
                  <a:schemeClr val="bg1"/>
                </a:solidFill>
              </a:endParaRPr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D22AF1D-924D-4AF4-8796-DE0ACC2162E8}"/>
                </a:ext>
              </a:extLst>
            </xdr:cNvPr>
            <xdr:cNvSpPr txBox="1"/>
          </xdr:nvSpPr>
          <xdr:spPr>
            <a:xfrm>
              <a:off x="20145375" y="374650"/>
              <a:ext cx="11041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solidFill>
                    <a:schemeClr val="bg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endParaRPr lang="en-NL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19</xdr:col>
      <xdr:colOff>107950</xdr:colOff>
      <xdr:row>2</xdr:row>
      <xdr:rowOff>12700</xdr:rowOff>
    </xdr:from>
    <xdr:ext cx="110415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2BBB267-0079-47F9-98AD-98A2EFE8F6C9}"/>
                </a:ext>
              </a:extLst>
            </xdr:cNvPr>
            <xdr:cNvSpPr txBox="1"/>
          </xdr:nvSpPr>
          <xdr:spPr>
            <a:xfrm>
              <a:off x="14611350" y="381000"/>
              <a:ext cx="11041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>
                        <a:solidFill>
                          <a:schemeClr val="bg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</m:oMath>
                </m:oMathPara>
              </a14:m>
              <a:endParaRPr lang="en-NL" sz="1100">
                <a:solidFill>
                  <a:schemeClr val="bg1"/>
                </a:solidFill>
              </a:endParaRPr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2BBB267-0079-47F9-98AD-98A2EFE8F6C9}"/>
                </a:ext>
              </a:extLst>
            </xdr:cNvPr>
            <xdr:cNvSpPr txBox="1"/>
          </xdr:nvSpPr>
          <xdr:spPr>
            <a:xfrm>
              <a:off x="14611350" y="381000"/>
              <a:ext cx="11041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solidFill>
                    <a:schemeClr val="bg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endParaRPr lang="en-NL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24</xdr:col>
      <xdr:colOff>209550</xdr:colOff>
      <xdr:row>2</xdr:row>
      <xdr:rowOff>0</xdr:rowOff>
    </xdr:from>
    <xdr:ext cx="23812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8768FCF-88C2-4CC8-8285-9A4405C3A3A5}"/>
                </a:ext>
              </a:extLst>
            </xdr:cNvPr>
            <xdr:cNvSpPr txBox="1"/>
          </xdr:nvSpPr>
          <xdr:spPr>
            <a:xfrm>
              <a:off x="17646650" y="368300"/>
              <a:ext cx="23812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>
                        <a:solidFill>
                          <a:schemeClr val="bg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</m:oMath>
                </m:oMathPara>
              </a14:m>
              <a:endParaRPr lang="en-NL" sz="1100">
                <a:solidFill>
                  <a:schemeClr val="bg1"/>
                </a:solidFill>
              </a:endParaRPr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8768FCF-88C2-4CC8-8285-9A4405C3A3A5}"/>
                </a:ext>
              </a:extLst>
            </xdr:cNvPr>
            <xdr:cNvSpPr txBox="1"/>
          </xdr:nvSpPr>
          <xdr:spPr>
            <a:xfrm>
              <a:off x="17646650" y="368300"/>
              <a:ext cx="23812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l-GR" sz="1100" i="0">
                  <a:solidFill>
                    <a:schemeClr val="bg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endParaRPr lang="en-NL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962025</xdr:colOff>
      <xdr:row>2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F70501-48F8-493D-A9C4-9FB566BB26BC}"/>
            </a:ext>
          </a:extLst>
        </xdr:cNvPr>
        <xdr:cNvSpPr txBox="1"/>
      </xdr:nvSpPr>
      <xdr:spPr>
        <a:xfrm>
          <a:off x="21015325" y="36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NL" sz="1100">
            <a:solidFill>
              <a:schemeClr val="bg1"/>
            </a:solidFill>
          </a:endParaRPr>
        </a:p>
      </xdr:txBody>
    </xdr:sp>
    <xdr:clientData/>
  </xdr:oneCellAnchor>
  <xdr:oneCellAnchor>
    <xdr:from>
      <xdr:col>22</xdr:col>
      <xdr:colOff>0</xdr:colOff>
      <xdr:row>2</xdr:row>
      <xdr:rowOff>6350</xdr:rowOff>
    </xdr:from>
    <xdr:ext cx="110415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598CF5C-C4E1-4BB7-B079-BC15009FAE44}"/>
                </a:ext>
              </a:extLst>
            </xdr:cNvPr>
            <xdr:cNvSpPr txBox="1"/>
          </xdr:nvSpPr>
          <xdr:spPr>
            <a:xfrm>
              <a:off x="16135350" y="374650"/>
              <a:ext cx="11041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>
                        <a:solidFill>
                          <a:schemeClr val="bg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</m:oMath>
                </m:oMathPara>
              </a14:m>
              <a:endParaRPr lang="en-NL" sz="1100">
                <a:solidFill>
                  <a:schemeClr val="bg1"/>
                </a:solidFill>
              </a:endParaRPr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598CF5C-C4E1-4BB7-B079-BC15009FAE44}"/>
                </a:ext>
              </a:extLst>
            </xdr:cNvPr>
            <xdr:cNvSpPr txBox="1"/>
          </xdr:nvSpPr>
          <xdr:spPr>
            <a:xfrm>
              <a:off x="16135350" y="374650"/>
              <a:ext cx="11041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solidFill>
                    <a:schemeClr val="bg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endParaRPr lang="en-NL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19</xdr:col>
      <xdr:colOff>596900</xdr:colOff>
      <xdr:row>3</xdr:row>
      <xdr:rowOff>12700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DEDA727-FA9F-4D24-B092-F8A773F18BF8}"/>
            </a:ext>
          </a:extLst>
        </xdr:cNvPr>
        <xdr:cNvSpPr txBox="1"/>
      </xdr:nvSpPr>
      <xdr:spPr>
        <a:xfrm>
          <a:off x="12649200" y="56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NL" sz="1100">
            <a:solidFill>
              <a:schemeClr val="bg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606425</xdr:colOff>
      <xdr:row>1</xdr:row>
      <xdr:rowOff>57150</xdr:rowOff>
    </xdr:from>
    <xdr:to>
      <xdr:col>8</xdr:col>
      <xdr:colOff>301625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8E244-E943-468A-90C0-85274FFCB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8</xdr:col>
      <xdr:colOff>304800</xdr:colOff>
      <xdr:row>32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677142-5116-43E6-A3FD-FF971DBF4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8</xdr:col>
      <xdr:colOff>304800</xdr:colOff>
      <xdr:row>48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581AB8-3B59-4356-9044-F4C698E17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8</xdr:col>
      <xdr:colOff>304800</xdr:colOff>
      <xdr:row>64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AFC599-CC06-4F3E-9AC2-590689DFD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66</xdr:row>
      <xdr:rowOff>0</xdr:rowOff>
    </xdr:from>
    <xdr:to>
      <xdr:col>8</xdr:col>
      <xdr:colOff>304800</xdr:colOff>
      <xdr:row>80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834935-29D9-4962-9B18-C7B196AA39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82</xdr:row>
      <xdr:rowOff>0</xdr:rowOff>
    </xdr:from>
    <xdr:to>
      <xdr:col>8</xdr:col>
      <xdr:colOff>304800</xdr:colOff>
      <xdr:row>96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4A6F60-02CA-4CB7-A6F5-AA859F4DE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79375</xdr:colOff>
      <xdr:row>13</xdr:row>
      <xdr:rowOff>127000</xdr:rowOff>
    </xdr:from>
    <xdr:to>
      <xdr:col>47</xdr:col>
      <xdr:colOff>384175</xdr:colOff>
      <xdr:row>28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1DEF06-8DC1-1497-0E6F-04A2870E0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606425</xdr:colOff>
      <xdr:row>1</xdr:row>
      <xdr:rowOff>57150</xdr:rowOff>
    </xdr:from>
    <xdr:to>
      <xdr:col>8</xdr:col>
      <xdr:colOff>301625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38CB9F-521A-B2EA-427C-F0E1D2FA0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8</xdr:col>
      <xdr:colOff>304800</xdr:colOff>
      <xdr:row>32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077C88-F8C6-492B-8697-7639E2133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8</xdr:col>
      <xdr:colOff>304800</xdr:colOff>
      <xdr:row>48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2F58B3-CE83-42BC-93CA-132E63AAB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8</xdr:col>
      <xdr:colOff>304800</xdr:colOff>
      <xdr:row>64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727EB0-5565-4100-BD63-7744A8236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66</xdr:row>
      <xdr:rowOff>0</xdr:rowOff>
    </xdr:from>
    <xdr:to>
      <xdr:col>8</xdr:col>
      <xdr:colOff>304800</xdr:colOff>
      <xdr:row>80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99ECBC-8A38-4118-837B-4B108D1D8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82</xdr:row>
      <xdr:rowOff>0</xdr:rowOff>
    </xdr:from>
    <xdr:to>
      <xdr:col>8</xdr:col>
      <xdr:colOff>304800</xdr:colOff>
      <xdr:row>96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B1A42A7-4B67-4D83-9864-1EB1C28EE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606425</xdr:colOff>
      <xdr:row>1</xdr:row>
      <xdr:rowOff>57150</xdr:rowOff>
    </xdr:from>
    <xdr:to>
      <xdr:col>8</xdr:col>
      <xdr:colOff>301625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D1F88F-BDF8-4E03-8EC3-C970CF0A2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8</xdr:col>
      <xdr:colOff>304800</xdr:colOff>
      <xdr:row>32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3ECCE1-1E4A-4F3F-81F8-3B3899A6D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8</xdr:col>
      <xdr:colOff>304800</xdr:colOff>
      <xdr:row>48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DF6D2C-546B-4466-A5B6-DAD192AD1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8</xdr:col>
      <xdr:colOff>304800</xdr:colOff>
      <xdr:row>64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C830FF-3D5B-4998-B7C6-41ECC3CAC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66</xdr:row>
      <xdr:rowOff>0</xdr:rowOff>
    </xdr:from>
    <xdr:to>
      <xdr:col>8</xdr:col>
      <xdr:colOff>304800</xdr:colOff>
      <xdr:row>80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CDB328-4582-4ED8-AF72-DE97320D5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82</xdr:row>
      <xdr:rowOff>0</xdr:rowOff>
    </xdr:from>
    <xdr:to>
      <xdr:col>8</xdr:col>
      <xdr:colOff>304800</xdr:colOff>
      <xdr:row>96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DA7F97-740D-45EC-832C-567D1AA92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606425</xdr:colOff>
      <xdr:row>1</xdr:row>
      <xdr:rowOff>57150</xdr:rowOff>
    </xdr:from>
    <xdr:to>
      <xdr:col>8</xdr:col>
      <xdr:colOff>301625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5BFA2A-53FF-470A-85A7-55D9C3FA4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8</xdr:col>
      <xdr:colOff>304800</xdr:colOff>
      <xdr:row>32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4A89ED-4C8A-415B-8CE8-17D588019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8</xdr:col>
      <xdr:colOff>304800</xdr:colOff>
      <xdr:row>48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D6FFE4-BC3F-4AAB-8BDC-76D8FECDD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8</xdr:col>
      <xdr:colOff>304800</xdr:colOff>
      <xdr:row>64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7C13BE-1C38-4B77-B117-084E2072D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66</xdr:row>
      <xdr:rowOff>0</xdr:rowOff>
    </xdr:from>
    <xdr:to>
      <xdr:col>8</xdr:col>
      <xdr:colOff>304800</xdr:colOff>
      <xdr:row>80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601E25-D210-427B-A35D-D2D117ED4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82</xdr:row>
      <xdr:rowOff>0</xdr:rowOff>
    </xdr:from>
    <xdr:to>
      <xdr:col>8</xdr:col>
      <xdr:colOff>304800</xdr:colOff>
      <xdr:row>96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45CAA1-79B6-4740-954E-450D76726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606425</xdr:colOff>
      <xdr:row>1</xdr:row>
      <xdr:rowOff>57150</xdr:rowOff>
    </xdr:from>
    <xdr:to>
      <xdr:col>8</xdr:col>
      <xdr:colOff>301625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03279-9CA7-4C5E-B1FB-7B513AF0B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8</xdr:col>
      <xdr:colOff>304800</xdr:colOff>
      <xdr:row>32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7FE109-E0D0-4696-B150-3C88798E5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8</xdr:col>
      <xdr:colOff>304800</xdr:colOff>
      <xdr:row>48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7B992E-D820-453C-88AA-CA2B4A260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8</xdr:col>
      <xdr:colOff>304800</xdr:colOff>
      <xdr:row>64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08DB02-FFBC-46A3-8AD3-FD5E1E48E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66</xdr:row>
      <xdr:rowOff>0</xdr:rowOff>
    </xdr:from>
    <xdr:to>
      <xdr:col>8</xdr:col>
      <xdr:colOff>304800</xdr:colOff>
      <xdr:row>80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54C903-4EF9-44C2-8305-7478809F0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82</xdr:row>
      <xdr:rowOff>0</xdr:rowOff>
    </xdr:from>
    <xdr:to>
      <xdr:col>8</xdr:col>
      <xdr:colOff>304800</xdr:colOff>
      <xdr:row>96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3B7D95-6A22-48CB-9C76-4638385BC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scteiul365-my.sharepoint.com/personal/gwnou_iscte-iul_pt/Documents/CRP%20Model/Anylogic/OutcomeBeerGame1.xlsx" TargetMode="External"/><Relationship Id="rId1" Type="http://schemas.openxmlformats.org/officeDocument/2006/relationships/externalLinkPath" Target="OutcomeBeerGame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scteiul365-my.sharepoint.com/personal/gwnou_iscte-iul_pt/Documents/CRP%20Model/Anylogic/OutcomeBeerGame2.xlsx" TargetMode="External"/><Relationship Id="rId1" Type="http://schemas.openxmlformats.org/officeDocument/2006/relationships/externalLinkPath" Target="OutcomeBeerGame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scteiul365-my.sharepoint.com/personal/gwnou_iscte-iul_pt/Documents/CRP%20Model/Anylogic/OutcomeBeerGame3.xlsx" TargetMode="External"/><Relationship Id="rId1" Type="http://schemas.openxmlformats.org/officeDocument/2006/relationships/externalLinkPath" Target="OutcomeBeerGame3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scteiul365-my.sharepoint.com/personal/gwnou_iscte-iul_pt/Documents/CRP%20Model/Anylogic/OutcomeBeerGame4.xlsx" TargetMode="External"/><Relationship Id="rId1" Type="http://schemas.openxmlformats.org/officeDocument/2006/relationships/externalLinkPath" Target="OutcomeBeerGame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scteiul365-my.sharepoint.com/personal/gwnou_iscte-iul_pt/Documents/CRP%20Model/Anylogic/OutcomeBeerGame5.xlsx" TargetMode="External"/><Relationship Id="rId1" Type="http://schemas.openxmlformats.org/officeDocument/2006/relationships/externalLinkPath" Target="OutcomeBeerGame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scteiul365-my.sharepoint.com/personal/gwnou_iscte-iul_pt/Documents/CRP%20Model/Anylogic/OutcomeBeerGame6.xlsx" TargetMode="External"/><Relationship Id="rId1" Type="http://schemas.openxmlformats.org/officeDocument/2006/relationships/externalLinkPath" Target="OutcomeBeerGame6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scteiul365-my.sharepoint.com/personal/gwnou_iscte-iul_pt/Documents/CRP%20Model/Anylogic/OutcomeBeerGame7.xlsx" TargetMode="External"/><Relationship Id="rId1" Type="http://schemas.openxmlformats.org/officeDocument/2006/relationships/externalLinkPath" Target="OutcomeBeerGame7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scteiul365-my.sharepoint.com/personal/gwnou_iscte-iul_pt/Documents/CRP%20Model/Anylogic/OutcomeBeerGame8.xlsx" TargetMode="External"/><Relationship Id="rId1" Type="http://schemas.openxmlformats.org/officeDocument/2006/relationships/externalLinkPath" Target="OutcomeBeerGame8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scteiul365-my.sharepoint.com/personal/gwnou_iscte-iul_pt/Documents/CRP%20Model/Anylogic/OutcomeBeerGame9.xlsx" TargetMode="External"/><Relationship Id="rId1" Type="http://schemas.openxmlformats.org/officeDocument/2006/relationships/externalLinkPath" Target="OutcomeBeerGame9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scteiul365-my.sharepoint.com/personal/gwnou_iscte-iul_pt/Documents/CRP%20Model/Anylogic/OutcomeBeerGame10.xlsx" TargetMode="External"/><Relationship Id="rId1" Type="http://schemas.openxmlformats.org/officeDocument/2006/relationships/externalLinkPath" Target="OutcomeBeerGame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_Outcome"/>
      <sheetName val="CRP_Outcome_Baseline"/>
      <sheetName val="Compare"/>
      <sheetName val="CRP_Outcome_ELV"/>
      <sheetName val="CRP_Outcome_CRP"/>
      <sheetName val="Analysis"/>
      <sheetName val="Graphs ELV"/>
      <sheetName val="Graphs CRP"/>
    </sheetNames>
    <sheetDataSet>
      <sheetData sheetId="0"/>
      <sheetData sheetId="1"/>
      <sheetData sheetId="2"/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16</v>
          </cell>
          <cell r="T4">
            <v>20</v>
          </cell>
          <cell r="U4">
            <v>16</v>
          </cell>
          <cell r="V4">
            <v>16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12</v>
          </cell>
          <cell r="U5">
            <v>16</v>
          </cell>
          <cell r="V5">
            <v>8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8</v>
          </cell>
          <cell r="T6">
            <v>12</v>
          </cell>
          <cell r="U6">
            <v>16</v>
          </cell>
          <cell r="V6">
            <v>12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12</v>
          </cell>
          <cell r="T7">
            <v>12</v>
          </cell>
          <cell r="U7">
            <v>8</v>
          </cell>
          <cell r="V7">
            <v>12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12</v>
          </cell>
          <cell r="U8">
            <v>8</v>
          </cell>
          <cell r="V8">
            <v>12</v>
          </cell>
          <cell r="BF8">
            <v>0</v>
          </cell>
          <cell r="BG8">
            <v>3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13</v>
          </cell>
          <cell r="BF9">
            <v>1</v>
          </cell>
          <cell r="BG9">
            <v>8</v>
          </cell>
          <cell r="BH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16</v>
          </cell>
          <cell r="T10">
            <v>11</v>
          </cell>
          <cell r="U10">
            <v>8</v>
          </cell>
          <cell r="V10">
            <v>8</v>
          </cell>
          <cell r="BF10">
            <v>0</v>
          </cell>
          <cell r="BG10">
            <v>10</v>
          </cell>
          <cell r="BH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12</v>
          </cell>
          <cell r="T11">
            <v>12</v>
          </cell>
          <cell r="U11">
            <v>7</v>
          </cell>
          <cell r="V11">
            <v>2</v>
          </cell>
          <cell r="BF11">
            <v>0</v>
          </cell>
          <cell r="BG11">
            <v>10</v>
          </cell>
          <cell r="BH11">
            <v>13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0</v>
          </cell>
          <cell r="T12">
            <v>12</v>
          </cell>
          <cell r="U12">
            <v>12</v>
          </cell>
          <cell r="V12">
            <v>2</v>
          </cell>
          <cell r="BF12">
            <v>0</v>
          </cell>
          <cell r="BG12">
            <v>9</v>
          </cell>
          <cell r="BH12">
            <v>16</v>
          </cell>
        </row>
        <row r="13">
          <cell r="B13">
            <v>4</v>
          </cell>
          <cell r="C13">
            <v>0</v>
          </cell>
          <cell r="D13">
            <v>0</v>
          </cell>
          <cell r="E13">
            <v>0</v>
          </cell>
          <cell r="O13">
            <v>8</v>
          </cell>
          <cell r="S13">
            <v>0</v>
          </cell>
          <cell r="T13">
            <v>12</v>
          </cell>
          <cell r="U13">
            <v>14</v>
          </cell>
          <cell r="V13">
            <v>3</v>
          </cell>
          <cell r="BF13">
            <v>15</v>
          </cell>
          <cell r="BG13">
            <v>7</v>
          </cell>
          <cell r="BH13">
            <v>9</v>
          </cell>
        </row>
        <row r="14">
          <cell r="B14">
            <v>0</v>
          </cell>
          <cell r="C14">
            <v>3</v>
          </cell>
          <cell r="D14">
            <v>0</v>
          </cell>
          <cell r="E14">
            <v>0</v>
          </cell>
          <cell r="O14">
            <v>8</v>
          </cell>
          <cell r="S14">
            <v>3</v>
          </cell>
          <cell r="T14">
            <v>0</v>
          </cell>
          <cell r="U14">
            <v>14</v>
          </cell>
          <cell r="V14">
            <v>18</v>
          </cell>
          <cell r="BF14">
            <v>22</v>
          </cell>
          <cell r="BG14">
            <v>7</v>
          </cell>
          <cell r="BH14">
            <v>4</v>
          </cell>
        </row>
        <row r="15">
          <cell r="B15">
            <v>0</v>
          </cell>
          <cell r="C15">
            <v>10</v>
          </cell>
          <cell r="D15">
            <v>0</v>
          </cell>
          <cell r="E15">
            <v>0</v>
          </cell>
          <cell r="O15">
            <v>8</v>
          </cell>
          <cell r="S15">
            <v>8</v>
          </cell>
          <cell r="T15">
            <v>0</v>
          </cell>
          <cell r="U15">
            <v>13</v>
          </cell>
          <cell r="V15">
            <v>17</v>
          </cell>
          <cell r="BF15">
            <v>8</v>
          </cell>
          <cell r="BG15">
            <v>9</v>
          </cell>
          <cell r="BH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24</v>
          </cell>
          <cell r="T16">
            <v>4</v>
          </cell>
          <cell r="U16">
            <v>11</v>
          </cell>
          <cell r="V16">
            <v>12</v>
          </cell>
          <cell r="BF16">
            <v>0</v>
          </cell>
          <cell r="BG16">
            <v>9</v>
          </cell>
          <cell r="BH16">
            <v>5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19</v>
          </cell>
          <cell r="T17">
            <v>20</v>
          </cell>
          <cell r="U17">
            <v>11</v>
          </cell>
          <cell r="V17">
            <v>7</v>
          </cell>
          <cell r="BF17">
            <v>0</v>
          </cell>
          <cell r="BG17">
            <v>10</v>
          </cell>
          <cell r="BH17">
            <v>14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6</v>
          </cell>
          <cell r="T18">
            <v>26</v>
          </cell>
          <cell r="U18">
            <v>13</v>
          </cell>
          <cell r="V18">
            <v>2</v>
          </cell>
          <cell r="BF18">
            <v>0</v>
          </cell>
          <cell r="BG18">
            <v>9</v>
          </cell>
          <cell r="BH18">
            <v>12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O19">
            <v>8</v>
          </cell>
          <cell r="S19">
            <v>0</v>
          </cell>
          <cell r="T19">
            <v>12</v>
          </cell>
          <cell r="U19">
            <v>13</v>
          </cell>
          <cell r="V19">
            <v>8</v>
          </cell>
          <cell r="BF19">
            <v>19</v>
          </cell>
          <cell r="BG19">
            <v>8</v>
          </cell>
          <cell r="BH19">
            <v>11</v>
          </cell>
        </row>
        <row r="20">
          <cell r="B20">
            <v>0</v>
          </cell>
          <cell r="C20">
            <v>7</v>
          </cell>
          <cell r="D20">
            <v>0</v>
          </cell>
          <cell r="E20">
            <v>0</v>
          </cell>
          <cell r="O20">
            <v>8</v>
          </cell>
          <cell r="S20">
            <v>1</v>
          </cell>
          <cell r="T20">
            <v>0</v>
          </cell>
          <cell r="U20">
            <v>14</v>
          </cell>
          <cell r="V20">
            <v>18</v>
          </cell>
          <cell r="BF20">
            <v>18</v>
          </cell>
          <cell r="BG20">
            <v>8</v>
          </cell>
          <cell r="BH20">
            <v>2</v>
          </cell>
        </row>
        <row r="21">
          <cell r="B21">
            <v>0</v>
          </cell>
          <cell r="C21">
            <v>6</v>
          </cell>
          <cell r="D21">
            <v>0</v>
          </cell>
          <cell r="E21">
            <v>0</v>
          </cell>
          <cell r="O21">
            <v>8</v>
          </cell>
          <cell r="S21">
            <v>10</v>
          </cell>
          <cell r="T21">
            <v>0</v>
          </cell>
          <cell r="U21">
            <v>13</v>
          </cell>
          <cell r="V21">
            <v>16</v>
          </cell>
          <cell r="BF21">
            <v>11</v>
          </cell>
          <cell r="BG21">
            <v>8</v>
          </cell>
          <cell r="BH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24</v>
          </cell>
          <cell r="T22">
            <v>1</v>
          </cell>
          <cell r="U22">
            <v>12</v>
          </cell>
          <cell r="V22">
            <v>15</v>
          </cell>
          <cell r="BF22">
            <v>0</v>
          </cell>
          <cell r="BG22">
            <v>9</v>
          </cell>
          <cell r="BH22">
            <v>9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15</v>
          </cell>
          <cell r="T23">
            <v>24</v>
          </cell>
          <cell r="U23">
            <v>12</v>
          </cell>
          <cell r="V23">
            <v>5</v>
          </cell>
          <cell r="BF23">
            <v>0</v>
          </cell>
          <cell r="BG23">
            <v>9</v>
          </cell>
          <cell r="BH23">
            <v>10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O24">
            <v>8</v>
          </cell>
          <cell r="S24">
            <v>13</v>
          </cell>
          <cell r="T24">
            <v>23</v>
          </cell>
          <cell r="U24">
            <v>12</v>
          </cell>
          <cell r="V24">
            <v>3</v>
          </cell>
          <cell r="BF24">
            <v>4</v>
          </cell>
          <cell r="BG24">
            <v>9</v>
          </cell>
          <cell r="BH24">
            <v>14</v>
          </cell>
        </row>
        <row r="25">
          <cell r="B25">
            <v>2</v>
          </cell>
          <cell r="C25">
            <v>0</v>
          </cell>
          <cell r="D25">
            <v>0</v>
          </cell>
          <cell r="E25">
            <v>0</v>
          </cell>
          <cell r="O25">
            <v>8</v>
          </cell>
          <cell r="S25">
            <v>0</v>
          </cell>
          <cell r="T25">
            <v>10</v>
          </cell>
          <cell r="U25">
            <v>13</v>
          </cell>
          <cell r="V25">
            <v>12</v>
          </cell>
          <cell r="BF25">
            <v>12</v>
          </cell>
          <cell r="BG25">
            <v>9</v>
          </cell>
          <cell r="BH25">
            <v>8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O26">
            <v>8</v>
          </cell>
          <cell r="S26">
            <v>4</v>
          </cell>
          <cell r="T26">
            <v>0</v>
          </cell>
          <cell r="U26">
            <v>13</v>
          </cell>
          <cell r="V26">
            <v>13</v>
          </cell>
          <cell r="BF26">
            <v>21</v>
          </cell>
          <cell r="BG26">
            <v>8</v>
          </cell>
          <cell r="BH26">
            <v>1</v>
          </cell>
        </row>
        <row r="27">
          <cell r="B27">
            <v>0</v>
          </cell>
          <cell r="C27">
            <v>9</v>
          </cell>
          <cell r="D27">
            <v>0</v>
          </cell>
          <cell r="E27">
            <v>0</v>
          </cell>
          <cell r="O27">
            <v>8</v>
          </cell>
          <cell r="S27">
            <v>15</v>
          </cell>
          <cell r="T27">
            <v>0</v>
          </cell>
          <cell r="U27">
            <v>13</v>
          </cell>
          <cell r="V27">
            <v>16</v>
          </cell>
          <cell r="BF27">
            <v>7</v>
          </cell>
          <cell r="BG27">
            <v>8</v>
          </cell>
          <cell r="BH27">
            <v>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S28">
            <v>16</v>
          </cell>
          <cell r="T28">
            <v>5</v>
          </cell>
          <cell r="U28">
            <v>13</v>
          </cell>
          <cell r="V28">
            <v>12</v>
          </cell>
          <cell r="BF28">
            <v>0</v>
          </cell>
          <cell r="BG28">
            <v>9</v>
          </cell>
          <cell r="BH28">
            <v>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17</v>
          </cell>
          <cell r="T29">
            <v>19</v>
          </cell>
          <cell r="U29">
            <v>12</v>
          </cell>
          <cell r="V29">
            <v>4</v>
          </cell>
          <cell r="BF29">
            <v>2</v>
          </cell>
          <cell r="BG29">
            <v>9</v>
          </cell>
          <cell r="BH29">
            <v>10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O30">
            <v>8</v>
          </cell>
          <cell r="S30">
            <v>9</v>
          </cell>
          <cell r="T30">
            <v>24</v>
          </cell>
          <cell r="U30">
            <v>12</v>
          </cell>
          <cell r="V30">
            <v>11</v>
          </cell>
          <cell r="BF30">
            <v>6</v>
          </cell>
          <cell r="BG30">
            <v>9</v>
          </cell>
          <cell r="BH30">
            <v>11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O31">
            <v>8</v>
          </cell>
          <cell r="S31">
            <v>1</v>
          </cell>
          <cell r="T31">
            <v>6</v>
          </cell>
          <cell r="U31">
            <v>13</v>
          </cell>
          <cell r="V31">
            <v>10</v>
          </cell>
          <cell r="BF31">
            <v>13</v>
          </cell>
          <cell r="BG31">
            <v>9</v>
          </cell>
          <cell r="BH31">
            <v>4</v>
          </cell>
        </row>
        <row r="32">
          <cell r="B32">
            <v>0</v>
          </cell>
          <cell r="C32">
            <v>1</v>
          </cell>
          <cell r="D32">
            <v>0</v>
          </cell>
          <cell r="E32">
            <v>0</v>
          </cell>
          <cell r="O32">
            <v>8</v>
          </cell>
          <cell r="S32">
            <v>10</v>
          </cell>
          <cell r="T32">
            <v>0</v>
          </cell>
          <cell r="U32">
            <v>13</v>
          </cell>
          <cell r="V32">
            <v>13</v>
          </cell>
          <cell r="BF32">
            <v>15</v>
          </cell>
          <cell r="BG32">
            <v>8</v>
          </cell>
          <cell r="BH32">
            <v>8</v>
          </cell>
        </row>
        <row r="33">
          <cell r="B33">
            <v>0</v>
          </cell>
          <cell r="C33">
            <v>3</v>
          </cell>
          <cell r="D33">
            <v>0</v>
          </cell>
          <cell r="E33">
            <v>0</v>
          </cell>
          <cell r="O33">
            <v>8</v>
          </cell>
          <cell r="S33">
            <v>10</v>
          </cell>
          <cell r="T33">
            <v>0</v>
          </cell>
          <cell r="U33">
            <v>13</v>
          </cell>
          <cell r="V33">
            <v>15</v>
          </cell>
          <cell r="BF33">
            <v>0</v>
          </cell>
          <cell r="BG33">
            <v>8</v>
          </cell>
          <cell r="BH33">
            <v>7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17</v>
          </cell>
          <cell r="T34">
            <v>14</v>
          </cell>
          <cell r="U34">
            <v>13</v>
          </cell>
          <cell r="V34">
            <v>8</v>
          </cell>
          <cell r="BF34">
            <v>4</v>
          </cell>
          <cell r="BG34">
            <v>9</v>
          </cell>
          <cell r="BH34">
            <v>6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O35">
            <v>8</v>
          </cell>
          <cell r="S35">
            <v>18</v>
          </cell>
          <cell r="T35">
            <v>16</v>
          </cell>
          <cell r="U35">
            <v>12</v>
          </cell>
          <cell r="V35">
            <v>11</v>
          </cell>
          <cell r="BF35">
            <v>4</v>
          </cell>
          <cell r="BG35">
            <v>9</v>
          </cell>
          <cell r="BH35">
            <v>10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O36">
            <v>8</v>
          </cell>
          <cell r="S36">
            <v>2</v>
          </cell>
          <cell r="T36">
            <v>16</v>
          </cell>
          <cell r="U36">
            <v>12</v>
          </cell>
          <cell r="V36">
            <v>10</v>
          </cell>
          <cell r="BF36">
            <v>5</v>
          </cell>
          <cell r="BG36">
            <v>9</v>
          </cell>
          <cell r="BH36">
            <v>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O37">
            <v>8</v>
          </cell>
          <cell r="S37">
            <v>9</v>
          </cell>
          <cell r="T37">
            <v>7</v>
          </cell>
          <cell r="U37">
            <v>13</v>
          </cell>
          <cell r="V37">
            <v>9</v>
          </cell>
          <cell r="BF37">
            <v>15</v>
          </cell>
          <cell r="BG37">
            <v>9</v>
          </cell>
          <cell r="BH37">
            <v>8</v>
          </cell>
        </row>
        <row r="38">
          <cell r="B38">
            <v>0</v>
          </cell>
          <cell r="C38">
            <v>3</v>
          </cell>
          <cell r="D38">
            <v>0</v>
          </cell>
          <cell r="E38">
            <v>0</v>
          </cell>
          <cell r="O38">
            <v>8</v>
          </cell>
          <cell r="S38">
            <v>8</v>
          </cell>
          <cell r="T38">
            <v>0</v>
          </cell>
          <cell r="U38">
            <v>13</v>
          </cell>
          <cell r="V38">
            <v>13</v>
          </cell>
          <cell r="BF38">
            <v>6</v>
          </cell>
          <cell r="BG38">
            <v>8</v>
          </cell>
          <cell r="BH38">
            <v>8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16</v>
          </cell>
          <cell r="T4">
            <v>12</v>
          </cell>
          <cell r="U4">
            <v>20</v>
          </cell>
          <cell r="V4">
            <v>12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20</v>
          </cell>
          <cell r="U5">
            <v>12</v>
          </cell>
          <cell r="V5">
            <v>12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12</v>
          </cell>
          <cell r="T6">
            <v>12</v>
          </cell>
          <cell r="U6">
            <v>12</v>
          </cell>
          <cell r="V6">
            <v>12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8</v>
          </cell>
          <cell r="T7">
            <v>12</v>
          </cell>
          <cell r="U7">
            <v>8</v>
          </cell>
          <cell r="V7">
            <v>12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12</v>
          </cell>
          <cell r="U8">
            <v>8</v>
          </cell>
          <cell r="V8">
            <v>12</v>
          </cell>
          <cell r="BF8">
            <v>0</v>
          </cell>
          <cell r="BG8">
            <v>8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8</v>
          </cell>
          <cell r="BF9">
            <v>0</v>
          </cell>
          <cell r="BG9">
            <v>10</v>
          </cell>
          <cell r="BH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16</v>
          </cell>
          <cell r="T10">
            <v>12</v>
          </cell>
          <cell r="U10">
            <v>8</v>
          </cell>
          <cell r="V10">
            <v>6</v>
          </cell>
          <cell r="BF10">
            <v>0</v>
          </cell>
          <cell r="BG10">
            <v>10</v>
          </cell>
          <cell r="BH10">
            <v>11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1</v>
          </cell>
          <cell r="T11">
            <v>12</v>
          </cell>
          <cell r="U11">
            <v>12</v>
          </cell>
          <cell r="V11">
            <v>2</v>
          </cell>
          <cell r="BF11">
            <v>0</v>
          </cell>
          <cell r="BG11">
            <v>9</v>
          </cell>
          <cell r="BH11">
            <v>14</v>
          </cell>
        </row>
        <row r="12">
          <cell r="B12">
            <v>2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0</v>
          </cell>
          <cell r="T12">
            <v>12</v>
          </cell>
          <cell r="U12">
            <v>14</v>
          </cell>
          <cell r="V12">
            <v>3</v>
          </cell>
          <cell r="BF12">
            <v>29</v>
          </cell>
          <cell r="BG12">
            <v>8</v>
          </cell>
          <cell r="BH12">
            <v>12</v>
          </cell>
        </row>
        <row r="13">
          <cell r="B13">
            <v>0</v>
          </cell>
          <cell r="C13">
            <v>17</v>
          </cell>
          <cell r="D13">
            <v>0</v>
          </cell>
          <cell r="E13">
            <v>0</v>
          </cell>
          <cell r="O13">
            <v>8</v>
          </cell>
          <cell r="S13">
            <v>0</v>
          </cell>
          <cell r="T13">
            <v>0</v>
          </cell>
          <cell r="U13">
            <v>14</v>
          </cell>
          <cell r="V13">
            <v>15</v>
          </cell>
          <cell r="BF13">
            <v>18</v>
          </cell>
          <cell r="BG13">
            <v>8</v>
          </cell>
          <cell r="BH13">
            <v>5</v>
          </cell>
        </row>
        <row r="14">
          <cell r="B14">
            <v>0</v>
          </cell>
          <cell r="C14">
            <v>6</v>
          </cell>
          <cell r="D14">
            <v>0</v>
          </cell>
          <cell r="E14">
            <v>0</v>
          </cell>
          <cell r="O14">
            <v>8</v>
          </cell>
          <cell r="S14">
            <v>7</v>
          </cell>
          <cell r="T14">
            <v>0</v>
          </cell>
          <cell r="U14">
            <v>13</v>
          </cell>
          <cell r="V14">
            <v>16</v>
          </cell>
          <cell r="BF14">
            <v>2</v>
          </cell>
          <cell r="BG14">
            <v>9</v>
          </cell>
          <cell r="BH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O15">
            <v>8</v>
          </cell>
          <cell r="S15">
            <v>24</v>
          </cell>
          <cell r="T15">
            <v>10</v>
          </cell>
          <cell r="U15">
            <v>12</v>
          </cell>
          <cell r="V15">
            <v>15</v>
          </cell>
          <cell r="BF15">
            <v>0</v>
          </cell>
          <cell r="BG15">
            <v>10</v>
          </cell>
          <cell r="BH15">
            <v>6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18</v>
          </cell>
          <cell r="T16">
            <v>32</v>
          </cell>
          <cell r="U16">
            <v>12</v>
          </cell>
          <cell r="V16">
            <v>7</v>
          </cell>
          <cell r="BF16">
            <v>0</v>
          </cell>
          <cell r="BG16">
            <v>10</v>
          </cell>
          <cell r="BH16">
            <v>11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3</v>
          </cell>
          <cell r="T17">
            <v>21</v>
          </cell>
          <cell r="U17">
            <v>13</v>
          </cell>
          <cell r="V17">
            <v>2</v>
          </cell>
          <cell r="BF17">
            <v>6</v>
          </cell>
          <cell r="BG17">
            <v>9</v>
          </cell>
          <cell r="BH17">
            <v>16</v>
          </cell>
        </row>
        <row r="18">
          <cell r="B18">
            <v>4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0</v>
          </cell>
          <cell r="T18">
            <v>6</v>
          </cell>
          <cell r="U18">
            <v>14</v>
          </cell>
          <cell r="V18">
            <v>9</v>
          </cell>
          <cell r="BF18">
            <v>33</v>
          </cell>
          <cell r="BG18">
            <v>9</v>
          </cell>
          <cell r="BH18">
            <v>11</v>
          </cell>
        </row>
        <row r="19">
          <cell r="B19">
            <v>0</v>
          </cell>
          <cell r="C19">
            <v>21</v>
          </cell>
          <cell r="D19">
            <v>0</v>
          </cell>
          <cell r="E19">
            <v>0</v>
          </cell>
          <cell r="O19">
            <v>8</v>
          </cell>
          <cell r="S19">
            <v>1</v>
          </cell>
          <cell r="T19">
            <v>0</v>
          </cell>
          <cell r="U19">
            <v>14</v>
          </cell>
          <cell r="V19">
            <v>14</v>
          </cell>
          <cell r="BF19">
            <v>22</v>
          </cell>
          <cell r="BG19">
            <v>9</v>
          </cell>
          <cell r="BH19">
            <v>2</v>
          </cell>
        </row>
        <row r="20">
          <cell r="B20">
            <v>0</v>
          </cell>
          <cell r="C20">
            <v>10</v>
          </cell>
          <cell r="D20">
            <v>0</v>
          </cell>
          <cell r="E20">
            <v>0</v>
          </cell>
          <cell r="O20">
            <v>8</v>
          </cell>
          <cell r="S20">
            <v>16</v>
          </cell>
          <cell r="T20">
            <v>0</v>
          </cell>
          <cell r="U20">
            <v>13</v>
          </cell>
          <cell r="V20">
            <v>15</v>
          </cell>
          <cell r="BF20">
            <v>0</v>
          </cell>
          <cell r="BG20">
            <v>9</v>
          </cell>
          <cell r="BH20">
            <v>5</v>
          </cell>
        </row>
        <row r="21">
          <cell r="B21">
            <v>0</v>
          </cell>
          <cell r="C21">
            <v>9</v>
          </cell>
          <cell r="D21">
            <v>0</v>
          </cell>
          <cell r="E21">
            <v>0</v>
          </cell>
          <cell r="O21">
            <v>8</v>
          </cell>
          <cell r="S21">
            <v>19</v>
          </cell>
          <cell r="T21">
            <v>0</v>
          </cell>
          <cell r="U21">
            <v>13</v>
          </cell>
          <cell r="V21">
            <v>14</v>
          </cell>
          <cell r="BF21">
            <v>0</v>
          </cell>
          <cell r="BG21">
            <v>9</v>
          </cell>
          <cell r="BH21">
            <v>9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15</v>
          </cell>
          <cell r="T22">
            <v>38</v>
          </cell>
          <cell r="U22">
            <v>13</v>
          </cell>
          <cell r="V22">
            <v>5</v>
          </cell>
          <cell r="BF22">
            <v>0</v>
          </cell>
          <cell r="BG22">
            <v>9</v>
          </cell>
          <cell r="BH22">
            <v>11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2</v>
          </cell>
          <cell r="T23">
            <v>25</v>
          </cell>
          <cell r="U23">
            <v>13</v>
          </cell>
          <cell r="V23">
            <v>8</v>
          </cell>
          <cell r="BF23">
            <v>23</v>
          </cell>
          <cell r="BG23">
            <v>9</v>
          </cell>
          <cell r="BH23">
            <v>12</v>
          </cell>
        </row>
        <row r="24">
          <cell r="B24">
            <v>0</v>
          </cell>
          <cell r="C24">
            <v>11</v>
          </cell>
          <cell r="D24">
            <v>0</v>
          </cell>
          <cell r="E24">
            <v>0</v>
          </cell>
          <cell r="O24">
            <v>8</v>
          </cell>
          <cell r="S24">
            <v>0</v>
          </cell>
          <cell r="T24">
            <v>0</v>
          </cell>
          <cell r="U24">
            <v>13</v>
          </cell>
          <cell r="V24">
            <v>12</v>
          </cell>
          <cell r="BF24">
            <v>21</v>
          </cell>
          <cell r="BG24">
            <v>9</v>
          </cell>
          <cell r="BH24">
            <v>5</v>
          </cell>
        </row>
        <row r="25">
          <cell r="B25">
            <v>0</v>
          </cell>
          <cell r="C25">
            <v>9</v>
          </cell>
          <cell r="D25">
            <v>0</v>
          </cell>
          <cell r="E25">
            <v>0</v>
          </cell>
          <cell r="O25">
            <v>8</v>
          </cell>
          <cell r="S25">
            <v>7</v>
          </cell>
          <cell r="T25">
            <v>0</v>
          </cell>
          <cell r="U25">
            <v>13</v>
          </cell>
          <cell r="V25">
            <v>14</v>
          </cell>
          <cell r="BF25">
            <v>6</v>
          </cell>
          <cell r="BG25">
            <v>9</v>
          </cell>
          <cell r="BH25">
            <v>5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O26">
            <v>8</v>
          </cell>
          <cell r="S26">
            <v>19</v>
          </cell>
          <cell r="T26">
            <v>6</v>
          </cell>
          <cell r="U26">
            <v>13</v>
          </cell>
          <cell r="V26">
            <v>15</v>
          </cell>
          <cell r="BF26">
            <v>0</v>
          </cell>
          <cell r="BG26">
            <v>9</v>
          </cell>
          <cell r="BH26">
            <v>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O27">
            <v>8</v>
          </cell>
          <cell r="S27">
            <v>17</v>
          </cell>
          <cell r="T27">
            <v>23</v>
          </cell>
          <cell r="U27">
            <v>13</v>
          </cell>
          <cell r="V27">
            <v>8</v>
          </cell>
          <cell r="BF27">
            <v>0</v>
          </cell>
          <cell r="BG27">
            <v>9</v>
          </cell>
          <cell r="BH27">
            <v>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S28">
            <v>9</v>
          </cell>
          <cell r="T28">
            <v>25</v>
          </cell>
          <cell r="U28">
            <v>13</v>
          </cell>
          <cell r="V28">
            <v>8</v>
          </cell>
          <cell r="BF28">
            <v>11</v>
          </cell>
          <cell r="BG28">
            <v>9</v>
          </cell>
          <cell r="BH28">
            <v>12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0</v>
          </cell>
          <cell r="T29">
            <v>1</v>
          </cell>
          <cell r="U29">
            <v>13</v>
          </cell>
          <cell r="V29">
            <v>10</v>
          </cell>
          <cell r="BF29">
            <v>20</v>
          </cell>
          <cell r="BG29">
            <v>9</v>
          </cell>
          <cell r="BH29">
            <v>8</v>
          </cell>
        </row>
        <row r="30">
          <cell r="B30">
            <v>0</v>
          </cell>
          <cell r="C30">
            <v>8</v>
          </cell>
          <cell r="D30">
            <v>0</v>
          </cell>
          <cell r="E30">
            <v>0</v>
          </cell>
          <cell r="O30">
            <v>8</v>
          </cell>
          <cell r="S30">
            <v>4</v>
          </cell>
          <cell r="T30">
            <v>0</v>
          </cell>
          <cell r="U30">
            <v>13</v>
          </cell>
          <cell r="V30">
            <v>12</v>
          </cell>
          <cell r="BF30">
            <v>18</v>
          </cell>
          <cell r="BG30">
            <v>9</v>
          </cell>
          <cell r="BH30">
            <v>5</v>
          </cell>
        </row>
        <row r="31">
          <cell r="B31">
            <v>0</v>
          </cell>
          <cell r="C31">
            <v>6</v>
          </cell>
          <cell r="D31">
            <v>0</v>
          </cell>
          <cell r="E31">
            <v>0</v>
          </cell>
          <cell r="O31">
            <v>8</v>
          </cell>
          <cell r="S31">
            <v>18</v>
          </cell>
          <cell r="T31">
            <v>0</v>
          </cell>
          <cell r="U31">
            <v>13</v>
          </cell>
          <cell r="V31">
            <v>15</v>
          </cell>
          <cell r="BF31">
            <v>0</v>
          </cell>
          <cell r="BG31">
            <v>9</v>
          </cell>
          <cell r="BH31">
            <v>6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O32">
            <v>8</v>
          </cell>
          <cell r="S32">
            <v>18</v>
          </cell>
          <cell r="T32">
            <v>18</v>
          </cell>
          <cell r="U32">
            <v>13</v>
          </cell>
          <cell r="V32">
            <v>11</v>
          </cell>
          <cell r="BF32">
            <v>0</v>
          </cell>
          <cell r="BG32">
            <v>9</v>
          </cell>
          <cell r="BH32">
            <v>8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16</v>
          </cell>
          <cell r="T33">
            <v>26</v>
          </cell>
          <cell r="U33">
            <v>13</v>
          </cell>
          <cell r="V33">
            <v>8</v>
          </cell>
          <cell r="BF33">
            <v>2</v>
          </cell>
          <cell r="BG33">
            <v>9</v>
          </cell>
          <cell r="BH33">
            <v>11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1</v>
          </cell>
          <cell r="T34">
            <v>19</v>
          </cell>
          <cell r="U34">
            <v>13</v>
          </cell>
          <cell r="V34">
            <v>9</v>
          </cell>
          <cell r="BF34">
            <v>19</v>
          </cell>
          <cell r="BG34">
            <v>9</v>
          </cell>
          <cell r="BH34">
            <v>10</v>
          </cell>
        </row>
        <row r="35">
          <cell r="B35">
            <v>0</v>
          </cell>
          <cell r="C35">
            <v>7</v>
          </cell>
          <cell r="D35">
            <v>0</v>
          </cell>
          <cell r="E35">
            <v>0</v>
          </cell>
          <cell r="O35">
            <v>8</v>
          </cell>
          <cell r="S35">
            <v>2</v>
          </cell>
          <cell r="T35">
            <v>0</v>
          </cell>
          <cell r="U35">
            <v>13</v>
          </cell>
          <cell r="V35">
            <v>11</v>
          </cell>
          <cell r="BF35">
            <v>24</v>
          </cell>
          <cell r="BG35">
            <v>9</v>
          </cell>
          <cell r="BH35">
            <v>6</v>
          </cell>
        </row>
        <row r="36">
          <cell r="B36">
            <v>0</v>
          </cell>
          <cell r="C36">
            <v>12</v>
          </cell>
          <cell r="D36">
            <v>0</v>
          </cell>
          <cell r="E36">
            <v>0</v>
          </cell>
          <cell r="O36">
            <v>8</v>
          </cell>
          <cell r="S36">
            <v>8</v>
          </cell>
          <cell r="T36">
            <v>0</v>
          </cell>
          <cell r="U36">
            <v>13</v>
          </cell>
          <cell r="V36">
            <v>14</v>
          </cell>
          <cell r="BF36">
            <v>0</v>
          </cell>
          <cell r="BG36">
            <v>9</v>
          </cell>
          <cell r="BH36">
            <v>6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O37">
            <v>8</v>
          </cell>
          <cell r="S37">
            <v>18</v>
          </cell>
          <cell r="T37">
            <v>12</v>
          </cell>
          <cell r="U37">
            <v>13</v>
          </cell>
          <cell r="V37">
            <v>13</v>
          </cell>
          <cell r="BF37">
            <v>0</v>
          </cell>
          <cell r="BG37">
            <v>9</v>
          </cell>
          <cell r="BH37">
            <v>7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O38">
            <v>8</v>
          </cell>
          <cell r="S38">
            <v>17</v>
          </cell>
          <cell r="T38">
            <v>25</v>
          </cell>
          <cell r="U38">
            <v>13</v>
          </cell>
          <cell r="V38">
            <v>9</v>
          </cell>
          <cell r="BF38">
            <v>4</v>
          </cell>
          <cell r="BG38">
            <v>9</v>
          </cell>
          <cell r="BH38">
            <v>9</v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_Outcome"/>
      <sheetName val="CRP_Outcome_Baseline"/>
      <sheetName val="Compare"/>
      <sheetName val="CRP_Outcome_ELV"/>
      <sheetName val="CRP_Outcome_CRP"/>
      <sheetName val="Analysis"/>
      <sheetName val="Graphs ELV"/>
      <sheetName val="Graphs CRP"/>
    </sheetNames>
    <sheetDataSet>
      <sheetData sheetId="0"/>
      <sheetData sheetId="1"/>
      <sheetData sheetId="2"/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12</v>
          </cell>
          <cell r="T4">
            <v>20</v>
          </cell>
          <cell r="U4">
            <v>16</v>
          </cell>
          <cell r="V4">
            <v>12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20</v>
          </cell>
          <cell r="U5">
            <v>12</v>
          </cell>
          <cell r="V5">
            <v>12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8</v>
          </cell>
          <cell r="T6">
            <v>12</v>
          </cell>
          <cell r="U6">
            <v>12</v>
          </cell>
          <cell r="V6">
            <v>12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8</v>
          </cell>
          <cell r="T7">
            <v>12</v>
          </cell>
          <cell r="U7">
            <v>8</v>
          </cell>
          <cell r="V7">
            <v>12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12</v>
          </cell>
          <cell r="U8">
            <v>8</v>
          </cell>
          <cell r="V8">
            <v>12</v>
          </cell>
          <cell r="BF8">
            <v>0</v>
          </cell>
          <cell r="BG8">
            <v>7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9</v>
          </cell>
          <cell r="BF9">
            <v>0</v>
          </cell>
          <cell r="BG9">
            <v>10</v>
          </cell>
          <cell r="BH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16</v>
          </cell>
          <cell r="T10">
            <v>12</v>
          </cell>
          <cell r="U10">
            <v>8</v>
          </cell>
          <cell r="V10">
            <v>6</v>
          </cell>
          <cell r="BF10">
            <v>0</v>
          </cell>
          <cell r="BG10">
            <v>10</v>
          </cell>
          <cell r="BH10">
            <v>7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5</v>
          </cell>
          <cell r="T11">
            <v>13</v>
          </cell>
          <cell r="U11">
            <v>11</v>
          </cell>
          <cell r="V11">
            <v>2</v>
          </cell>
          <cell r="BF11">
            <v>0</v>
          </cell>
          <cell r="BG11">
            <v>9</v>
          </cell>
          <cell r="BH11">
            <v>13</v>
          </cell>
        </row>
        <row r="12">
          <cell r="B12">
            <v>1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0</v>
          </cell>
          <cell r="T12">
            <v>12</v>
          </cell>
          <cell r="U12">
            <v>14</v>
          </cell>
          <cell r="V12">
            <v>3</v>
          </cell>
          <cell r="BF12">
            <v>12</v>
          </cell>
          <cell r="BG12">
            <v>7</v>
          </cell>
          <cell r="BH12">
            <v>13</v>
          </cell>
        </row>
        <row r="13">
          <cell r="B13">
            <v>1</v>
          </cell>
          <cell r="C13">
            <v>0</v>
          </cell>
          <cell r="D13">
            <v>0</v>
          </cell>
          <cell r="E13">
            <v>0</v>
          </cell>
          <cell r="O13">
            <v>8</v>
          </cell>
          <cell r="S13">
            <v>0</v>
          </cell>
          <cell r="T13">
            <v>0</v>
          </cell>
          <cell r="U13">
            <v>14</v>
          </cell>
          <cell r="V13">
            <v>12</v>
          </cell>
          <cell r="BF13">
            <v>26</v>
          </cell>
          <cell r="BG13">
            <v>7</v>
          </cell>
          <cell r="BH13">
            <v>7</v>
          </cell>
        </row>
        <row r="14">
          <cell r="B14">
            <v>0</v>
          </cell>
          <cell r="C14">
            <v>14</v>
          </cell>
          <cell r="D14">
            <v>0</v>
          </cell>
          <cell r="E14">
            <v>0</v>
          </cell>
          <cell r="O14">
            <v>8</v>
          </cell>
          <cell r="S14">
            <v>5</v>
          </cell>
          <cell r="T14">
            <v>0</v>
          </cell>
          <cell r="U14">
            <v>13</v>
          </cell>
          <cell r="V14">
            <v>17</v>
          </cell>
          <cell r="BF14">
            <v>11</v>
          </cell>
          <cell r="BG14">
            <v>9</v>
          </cell>
          <cell r="BH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O15">
            <v>8</v>
          </cell>
          <cell r="S15">
            <v>24</v>
          </cell>
          <cell r="T15">
            <v>1</v>
          </cell>
          <cell r="U15">
            <v>11</v>
          </cell>
          <cell r="V15">
            <v>15</v>
          </cell>
          <cell r="BF15">
            <v>0</v>
          </cell>
          <cell r="BG15">
            <v>9</v>
          </cell>
          <cell r="BH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24</v>
          </cell>
          <cell r="T16">
            <v>23</v>
          </cell>
          <cell r="U16">
            <v>11</v>
          </cell>
          <cell r="V16">
            <v>10</v>
          </cell>
          <cell r="BF16">
            <v>0</v>
          </cell>
          <cell r="BG16">
            <v>10</v>
          </cell>
          <cell r="BH16">
            <v>9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14</v>
          </cell>
          <cell r="T17">
            <v>44</v>
          </cell>
          <cell r="U17">
            <v>13</v>
          </cell>
          <cell r="V17">
            <v>2</v>
          </cell>
          <cell r="BF17">
            <v>0</v>
          </cell>
          <cell r="BG17">
            <v>9</v>
          </cell>
          <cell r="BH17">
            <v>13</v>
          </cell>
        </row>
        <row r="18">
          <cell r="B18">
            <v>1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0</v>
          </cell>
          <cell r="T18">
            <v>22</v>
          </cell>
          <cell r="U18">
            <v>13</v>
          </cell>
          <cell r="V18">
            <v>3</v>
          </cell>
          <cell r="BF18">
            <v>10</v>
          </cell>
          <cell r="BG18">
            <v>8</v>
          </cell>
          <cell r="BH18">
            <v>15</v>
          </cell>
        </row>
        <row r="19">
          <cell r="B19">
            <v>3</v>
          </cell>
          <cell r="C19">
            <v>0</v>
          </cell>
          <cell r="D19">
            <v>0</v>
          </cell>
          <cell r="E19">
            <v>0</v>
          </cell>
          <cell r="O19">
            <v>8</v>
          </cell>
          <cell r="S19">
            <v>0</v>
          </cell>
          <cell r="T19">
            <v>2</v>
          </cell>
          <cell r="U19">
            <v>14</v>
          </cell>
          <cell r="V19">
            <v>13</v>
          </cell>
          <cell r="BF19">
            <v>34</v>
          </cell>
          <cell r="BG19">
            <v>8</v>
          </cell>
          <cell r="BH19">
            <v>6</v>
          </cell>
        </row>
        <row r="20">
          <cell r="B20">
            <v>0</v>
          </cell>
          <cell r="C20">
            <v>22</v>
          </cell>
          <cell r="D20">
            <v>0</v>
          </cell>
          <cell r="E20">
            <v>0</v>
          </cell>
          <cell r="O20">
            <v>8</v>
          </cell>
          <cell r="S20">
            <v>6</v>
          </cell>
          <cell r="T20">
            <v>0</v>
          </cell>
          <cell r="U20">
            <v>13</v>
          </cell>
          <cell r="V20">
            <v>16</v>
          </cell>
          <cell r="BF20">
            <v>15</v>
          </cell>
          <cell r="BG20">
            <v>8</v>
          </cell>
          <cell r="BH20">
            <v>0</v>
          </cell>
        </row>
        <row r="21">
          <cell r="B21">
            <v>0</v>
          </cell>
          <cell r="C21">
            <v>3</v>
          </cell>
          <cell r="D21">
            <v>0</v>
          </cell>
          <cell r="E21">
            <v>0</v>
          </cell>
          <cell r="O21">
            <v>8</v>
          </cell>
          <cell r="S21">
            <v>22</v>
          </cell>
          <cell r="T21">
            <v>0</v>
          </cell>
          <cell r="U21">
            <v>12</v>
          </cell>
          <cell r="V21">
            <v>16</v>
          </cell>
          <cell r="BF21">
            <v>0</v>
          </cell>
          <cell r="BG21">
            <v>9</v>
          </cell>
          <cell r="BH21">
            <v>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20</v>
          </cell>
          <cell r="T22">
            <v>23</v>
          </cell>
          <cell r="U22">
            <v>12</v>
          </cell>
          <cell r="V22">
            <v>9</v>
          </cell>
          <cell r="BF22">
            <v>0</v>
          </cell>
          <cell r="BG22">
            <v>9</v>
          </cell>
          <cell r="BH22">
            <v>7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17</v>
          </cell>
          <cell r="T23">
            <v>56</v>
          </cell>
          <cell r="U23">
            <v>12</v>
          </cell>
          <cell r="V23">
            <v>3</v>
          </cell>
          <cell r="BF23">
            <v>0</v>
          </cell>
          <cell r="BG23">
            <v>9</v>
          </cell>
          <cell r="BH23">
            <v>13</v>
          </cell>
        </row>
        <row r="24">
          <cell r="B24">
            <v>1</v>
          </cell>
          <cell r="C24">
            <v>0</v>
          </cell>
          <cell r="D24">
            <v>0</v>
          </cell>
          <cell r="E24">
            <v>0</v>
          </cell>
          <cell r="O24">
            <v>8</v>
          </cell>
          <cell r="S24">
            <v>0</v>
          </cell>
          <cell r="T24">
            <v>27</v>
          </cell>
          <cell r="U24">
            <v>13</v>
          </cell>
          <cell r="V24">
            <v>7</v>
          </cell>
          <cell r="BF24">
            <v>7</v>
          </cell>
          <cell r="BG24">
            <v>9</v>
          </cell>
          <cell r="BH24">
            <v>12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O25">
            <v>8</v>
          </cell>
          <cell r="S25">
            <v>0</v>
          </cell>
          <cell r="T25">
            <v>5</v>
          </cell>
          <cell r="U25">
            <v>13</v>
          </cell>
          <cell r="V25">
            <v>10</v>
          </cell>
          <cell r="BF25">
            <v>37</v>
          </cell>
          <cell r="BG25">
            <v>8</v>
          </cell>
          <cell r="BH25">
            <v>5</v>
          </cell>
        </row>
        <row r="26">
          <cell r="B26">
            <v>0</v>
          </cell>
          <cell r="C26">
            <v>25</v>
          </cell>
          <cell r="D26">
            <v>0</v>
          </cell>
          <cell r="E26">
            <v>0</v>
          </cell>
          <cell r="O26">
            <v>8</v>
          </cell>
          <cell r="S26">
            <v>7</v>
          </cell>
          <cell r="T26">
            <v>0</v>
          </cell>
          <cell r="U26">
            <v>13</v>
          </cell>
          <cell r="V26">
            <v>16</v>
          </cell>
          <cell r="BF26">
            <v>6</v>
          </cell>
          <cell r="BG26">
            <v>8</v>
          </cell>
          <cell r="BH26">
            <v>4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O27">
            <v>8</v>
          </cell>
          <cell r="S27">
            <v>15</v>
          </cell>
          <cell r="T27">
            <v>6</v>
          </cell>
          <cell r="U27">
            <v>13</v>
          </cell>
          <cell r="V27">
            <v>16</v>
          </cell>
          <cell r="BF27">
            <v>0</v>
          </cell>
          <cell r="BG27">
            <v>9</v>
          </cell>
          <cell r="BH27">
            <v>3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S28">
            <v>21</v>
          </cell>
          <cell r="T28">
            <v>20</v>
          </cell>
          <cell r="U28">
            <v>12</v>
          </cell>
          <cell r="V28">
            <v>8</v>
          </cell>
          <cell r="BF28">
            <v>0</v>
          </cell>
          <cell r="BG28">
            <v>9</v>
          </cell>
          <cell r="BH28">
            <v>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11</v>
          </cell>
          <cell r="T29">
            <v>60</v>
          </cell>
          <cell r="U29">
            <v>12</v>
          </cell>
          <cell r="V29">
            <v>7</v>
          </cell>
          <cell r="BF29">
            <v>0</v>
          </cell>
          <cell r="BG29">
            <v>9</v>
          </cell>
          <cell r="BH29">
            <v>13</v>
          </cell>
        </row>
        <row r="30">
          <cell r="B30">
            <v>1</v>
          </cell>
          <cell r="C30">
            <v>0</v>
          </cell>
          <cell r="D30">
            <v>0</v>
          </cell>
          <cell r="E30">
            <v>0</v>
          </cell>
          <cell r="O30">
            <v>8</v>
          </cell>
          <cell r="S30">
            <v>0</v>
          </cell>
          <cell r="T30">
            <v>15</v>
          </cell>
          <cell r="U30">
            <v>13</v>
          </cell>
          <cell r="V30">
            <v>6</v>
          </cell>
          <cell r="BF30">
            <v>15</v>
          </cell>
          <cell r="BG30">
            <v>9</v>
          </cell>
          <cell r="BH30">
            <v>9</v>
          </cell>
        </row>
        <row r="31">
          <cell r="B31">
            <v>0</v>
          </cell>
          <cell r="C31">
            <v>3</v>
          </cell>
          <cell r="D31">
            <v>0</v>
          </cell>
          <cell r="E31">
            <v>0</v>
          </cell>
          <cell r="O31">
            <v>8</v>
          </cell>
          <cell r="S31">
            <v>3</v>
          </cell>
          <cell r="T31">
            <v>0</v>
          </cell>
          <cell r="U31">
            <v>13</v>
          </cell>
          <cell r="V31">
            <v>10</v>
          </cell>
          <cell r="BF31">
            <v>30</v>
          </cell>
          <cell r="BG31">
            <v>8</v>
          </cell>
          <cell r="BH31">
            <v>7</v>
          </cell>
        </row>
        <row r="32">
          <cell r="B32">
            <v>0</v>
          </cell>
          <cell r="C32">
            <v>18</v>
          </cell>
          <cell r="D32">
            <v>0</v>
          </cell>
          <cell r="E32">
            <v>0</v>
          </cell>
          <cell r="O32">
            <v>8</v>
          </cell>
          <cell r="S32">
            <v>5</v>
          </cell>
          <cell r="T32">
            <v>0</v>
          </cell>
          <cell r="U32">
            <v>13</v>
          </cell>
          <cell r="V32">
            <v>16</v>
          </cell>
          <cell r="BF32">
            <v>0</v>
          </cell>
          <cell r="BG32">
            <v>8</v>
          </cell>
          <cell r="BH32">
            <v>5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19</v>
          </cell>
          <cell r="T33">
            <v>12</v>
          </cell>
          <cell r="U33">
            <v>13</v>
          </cell>
          <cell r="V33">
            <v>13</v>
          </cell>
          <cell r="BF33">
            <v>0</v>
          </cell>
          <cell r="BG33">
            <v>9</v>
          </cell>
          <cell r="BH33">
            <v>3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21</v>
          </cell>
          <cell r="T34">
            <v>30</v>
          </cell>
          <cell r="U34">
            <v>12</v>
          </cell>
          <cell r="V34">
            <v>10</v>
          </cell>
          <cell r="BF34">
            <v>0</v>
          </cell>
          <cell r="BG34">
            <v>9</v>
          </cell>
          <cell r="BH34">
            <v>7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O35">
            <v>8</v>
          </cell>
          <cell r="S35">
            <v>5</v>
          </cell>
          <cell r="T35">
            <v>50</v>
          </cell>
          <cell r="U35">
            <v>12</v>
          </cell>
          <cell r="V35">
            <v>8</v>
          </cell>
          <cell r="BF35">
            <v>0</v>
          </cell>
          <cell r="BG35">
            <v>9</v>
          </cell>
          <cell r="BH35">
            <v>11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O36">
            <v>8</v>
          </cell>
          <cell r="S36">
            <v>1</v>
          </cell>
          <cell r="T36">
            <v>12</v>
          </cell>
          <cell r="U36">
            <v>13</v>
          </cell>
          <cell r="V36">
            <v>6</v>
          </cell>
          <cell r="BF36">
            <v>24</v>
          </cell>
          <cell r="BG36">
            <v>9</v>
          </cell>
          <cell r="BH36">
            <v>10</v>
          </cell>
        </row>
        <row r="37">
          <cell r="B37">
            <v>0</v>
          </cell>
          <cell r="C37">
            <v>12</v>
          </cell>
          <cell r="D37">
            <v>0</v>
          </cell>
          <cell r="E37">
            <v>0</v>
          </cell>
          <cell r="O37">
            <v>8</v>
          </cell>
          <cell r="S37">
            <v>2</v>
          </cell>
          <cell r="T37">
            <v>0</v>
          </cell>
          <cell r="U37">
            <v>13</v>
          </cell>
          <cell r="V37">
            <v>10</v>
          </cell>
          <cell r="BF37">
            <v>15</v>
          </cell>
          <cell r="BG37">
            <v>8</v>
          </cell>
          <cell r="BH37">
            <v>8</v>
          </cell>
        </row>
        <row r="38">
          <cell r="B38">
            <v>0</v>
          </cell>
          <cell r="C38">
            <v>3</v>
          </cell>
          <cell r="D38">
            <v>0</v>
          </cell>
          <cell r="E38">
            <v>0</v>
          </cell>
          <cell r="O38">
            <v>8</v>
          </cell>
          <cell r="S38">
            <v>4</v>
          </cell>
          <cell r="T38">
            <v>0</v>
          </cell>
          <cell r="U38">
            <v>13</v>
          </cell>
          <cell r="V38">
            <v>15</v>
          </cell>
          <cell r="BF38">
            <v>2</v>
          </cell>
          <cell r="BG38">
            <v>8</v>
          </cell>
          <cell r="BH38">
            <v>4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12</v>
          </cell>
          <cell r="T4">
            <v>20</v>
          </cell>
          <cell r="U4">
            <v>20</v>
          </cell>
          <cell r="V4">
            <v>8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12</v>
          </cell>
          <cell r="U5">
            <v>16</v>
          </cell>
          <cell r="V5">
            <v>12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8</v>
          </cell>
          <cell r="T6">
            <v>12</v>
          </cell>
          <cell r="U6">
            <v>12</v>
          </cell>
          <cell r="V6">
            <v>12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12</v>
          </cell>
          <cell r="T7">
            <v>12</v>
          </cell>
          <cell r="U7">
            <v>8</v>
          </cell>
          <cell r="V7">
            <v>12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12</v>
          </cell>
          <cell r="U8">
            <v>8</v>
          </cell>
          <cell r="V8">
            <v>12</v>
          </cell>
          <cell r="BF8">
            <v>0</v>
          </cell>
          <cell r="BG8">
            <v>7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9</v>
          </cell>
          <cell r="BF9">
            <v>1</v>
          </cell>
          <cell r="BG9">
            <v>9</v>
          </cell>
          <cell r="BH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16</v>
          </cell>
          <cell r="T10">
            <v>11</v>
          </cell>
          <cell r="U10">
            <v>8</v>
          </cell>
          <cell r="V10">
            <v>7</v>
          </cell>
          <cell r="BF10">
            <v>0</v>
          </cell>
          <cell r="BG10">
            <v>10</v>
          </cell>
          <cell r="BH10">
            <v>10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2</v>
          </cell>
          <cell r="T11">
            <v>12</v>
          </cell>
          <cell r="U11">
            <v>11</v>
          </cell>
          <cell r="V11">
            <v>2</v>
          </cell>
          <cell r="BF11">
            <v>0</v>
          </cell>
          <cell r="BG11">
            <v>10</v>
          </cell>
          <cell r="BH11">
            <v>13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0</v>
          </cell>
          <cell r="T12">
            <v>12</v>
          </cell>
          <cell r="U12">
            <v>13</v>
          </cell>
          <cell r="V12">
            <v>2</v>
          </cell>
          <cell r="BF12">
            <v>11</v>
          </cell>
          <cell r="BG12">
            <v>8</v>
          </cell>
          <cell r="BH12">
            <v>13</v>
          </cell>
        </row>
        <row r="13">
          <cell r="B13">
            <v>1</v>
          </cell>
          <cell r="C13">
            <v>0</v>
          </cell>
          <cell r="D13">
            <v>0</v>
          </cell>
          <cell r="E13">
            <v>0</v>
          </cell>
          <cell r="O13">
            <v>8</v>
          </cell>
          <cell r="S13">
            <v>0</v>
          </cell>
          <cell r="T13">
            <v>1</v>
          </cell>
          <cell r="U13">
            <v>14</v>
          </cell>
          <cell r="V13">
            <v>14</v>
          </cell>
          <cell r="BF13">
            <v>17</v>
          </cell>
          <cell r="BG13">
            <v>8</v>
          </cell>
          <cell r="BH13">
            <v>6</v>
          </cell>
        </row>
        <row r="14">
          <cell r="B14">
            <v>0</v>
          </cell>
          <cell r="C14">
            <v>16</v>
          </cell>
          <cell r="D14">
            <v>0</v>
          </cell>
          <cell r="E14">
            <v>0</v>
          </cell>
          <cell r="O14">
            <v>8</v>
          </cell>
          <cell r="S14">
            <v>6</v>
          </cell>
          <cell r="T14">
            <v>0</v>
          </cell>
          <cell r="U14">
            <v>14</v>
          </cell>
          <cell r="V14">
            <v>17</v>
          </cell>
          <cell r="BF14">
            <v>15</v>
          </cell>
          <cell r="BG14">
            <v>9</v>
          </cell>
          <cell r="BH14">
            <v>0</v>
          </cell>
        </row>
        <row r="15">
          <cell r="B15">
            <v>0</v>
          </cell>
          <cell r="C15">
            <v>3</v>
          </cell>
          <cell r="D15">
            <v>0</v>
          </cell>
          <cell r="E15">
            <v>0</v>
          </cell>
          <cell r="O15">
            <v>8</v>
          </cell>
          <cell r="S15">
            <v>23</v>
          </cell>
          <cell r="T15">
            <v>0</v>
          </cell>
          <cell r="U15">
            <v>12</v>
          </cell>
          <cell r="V15">
            <v>15</v>
          </cell>
          <cell r="BF15">
            <v>2</v>
          </cell>
          <cell r="BG15">
            <v>9</v>
          </cell>
          <cell r="BH15">
            <v>3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10</v>
          </cell>
          <cell r="T16">
            <v>14</v>
          </cell>
          <cell r="U16">
            <v>12</v>
          </cell>
          <cell r="V16">
            <v>9</v>
          </cell>
          <cell r="BF16">
            <v>0</v>
          </cell>
          <cell r="BG16">
            <v>10</v>
          </cell>
          <cell r="BH16">
            <v>14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10</v>
          </cell>
          <cell r="T17">
            <v>28</v>
          </cell>
          <cell r="U17">
            <v>13</v>
          </cell>
          <cell r="V17">
            <v>2</v>
          </cell>
          <cell r="BF17">
            <v>0</v>
          </cell>
          <cell r="BG17">
            <v>9</v>
          </cell>
          <cell r="BH17">
            <v>14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0</v>
          </cell>
          <cell r="T18">
            <v>17</v>
          </cell>
          <cell r="U18">
            <v>13</v>
          </cell>
          <cell r="V18">
            <v>6</v>
          </cell>
          <cell r="BF18">
            <v>15</v>
          </cell>
          <cell r="BG18">
            <v>9</v>
          </cell>
          <cell r="BH18">
            <v>12</v>
          </cell>
        </row>
        <row r="19">
          <cell r="B19">
            <v>0</v>
          </cell>
          <cell r="C19">
            <v>3</v>
          </cell>
          <cell r="D19">
            <v>0</v>
          </cell>
          <cell r="E19">
            <v>0</v>
          </cell>
          <cell r="O19">
            <v>8</v>
          </cell>
          <cell r="S19">
            <v>0</v>
          </cell>
          <cell r="T19">
            <v>0</v>
          </cell>
          <cell r="U19">
            <v>14</v>
          </cell>
          <cell r="V19">
            <v>17</v>
          </cell>
          <cell r="BF19">
            <v>21</v>
          </cell>
          <cell r="BG19">
            <v>9</v>
          </cell>
          <cell r="BH19">
            <v>0</v>
          </cell>
        </row>
        <row r="20">
          <cell r="B20">
            <v>0</v>
          </cell>
          <cell r="C20">
            <v>9</v>
          </cell>
          <cell r="D20">
            <v>0</v>
          </cell>
          <cell r="E20">
            <v>0</v>
          </cell>
          <cell r="O20">
            <v>8</v>
          </cell>
          <cell r="S20">
            <v>12</v>
          </cell>
          <cell r="T20">
            <v>0</v>
          </cell>
          <cell r="U20">
            <v>13</v>
          </cell>
          <cell r="V20">
            <v>17</v>
          </cell>
          <cell r="BF20">
            <v>14</v>
          </cell>
          <cell r="BG20">
            <v>9</v>
          </cell>
          <cell r="BH20">
            <v>0</v>
          </cell>
        </row>
        <row r="21">
          <cell r="B21">
            <v>0</v>
          </cell>
          <cell r="C21">
            <v>2</v>
          </cell>
          <cell r="D21">
            <v>0</v>
          </cell>
          <cell r="E21">
            <v>0</v>
          </cell>
          <cell r="O21">
            <v>8</v>
          </cell>
          <cell r="S21">
            <v>24</v>
          </cell>
          <cell r="T21">
            <v>0</v>
          </cell>
          <cell r="U21">
            <v>13</v>
          </cell>
          <cell r="V21">
            <v>15</v>
          </cell>
          <cell r="BF21">
            <v>0</v>
          </cell>
          <cell r="BG21">
            <v>9</v>
          </cell>
          <cell r="BH21">
            <v>11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13</v>
          </cell>
          <cell r="T22">
            <v>21</v>
          </cell>
          <cell r="U22">
            <v>13</v>
          </cell>
          <cell r="V22">
            <v>3</v>
          </cell>
          <cell r="BF22">
            <v>0</v>
          </cell>
          <cell r="BG22">
            <v>9</v>
          </cell>
          <cell r="BH22">
            <v>14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10</v>
          </cell>
          <cell r="T23">
            <v>26</v>
          </cell>
          <cell r="U23">
            <v>13</v>
          </cell>
          <cell r="V23">
            <v>3</v>
          </cell>
          <cell r="BF23">
            <v>6</v>
          </cell>
          <cell r="BG23">
            <v>9</v>
          </cell>
          <cell r="BH23">
            <v>15</v>
          </cell>
        </row>
        <row r="24">
          <cell r="B24">
            <v>3</v>
          </cell>
          <cell r="C24">
            <v>0</v>
          </cell>
          <cell r="D24">
            <v>0</v>
          </cell>
          <cell r="E24">
            <v>0</v>
          </cell>
          <cell r="O24">
            <v>8</v>
          </cell>
          <cell r="S24">
            <v>0</v>
          </cell>
          <cell r="T24">
            <v>11</v>
          </cell>
          <cell r="U24">
            <v>13</v>
          </cell>
          <cell r="V24">
            <v>14</v>
          </cell>
          <cell r="BF24">
            <v>18</v>
          </cell>
          <cell r="BG24">
            <v>9</v>
          </cell>
          <cell r="BH24">
            <v>3</v>
          </cell>
        </row>
        <row r="25">
          <cell r="B25">
            <v>0</v>
          </cell>
          <cell r="C25">
            <v>6</v>
          </cell>
          <cell r="D25">
            <v>0</v>
          </cell>
          <cell r="E25">
            <v>0</v>
          </cell>
          <cell r="O25">
            <v>8</v>
          </cell>
          <cell r="S25">
            <v>9</v>
          </cell>
          <cell r="T25">
            <v>0</v>
          </cell>
          <cell r="U25">
            <v>13</v>
          </cell>
          <cell r="V25">
            <v>17</v>
          </cell>
          <cell r="BF25">
            <v>23</v>
          </cell>
          <cell r="BG25">
            <v>9</v>
          </cell>
          <cell r="BH25">
            <v>0</v>
          </cell>
        </row>
        <row r="26">
          <cell r="B26">
            <v>0</v>
          </cell>
          <cell r="C26">
            <v>11</v>
          </cell>
          <cell r="D26">
            <v>0</v>
          </cell>
          <cell r="E26">
            <v>0</v>
          </cell>
          <cell r="O26">
            <v>8</v>
          </cell>
          <cell r="S26">
            <v>18</v>
          </cell>
          <cell r="T26">
            <v>0</v>
          </cell>
          <cell r="U26">
            <v>13</v>
          </cell>
          <cell r="V26">
            <v>15</v>
          </cell>
          <cell r="BF26">
            <v>0</v>
          </cell>
          <cell r="BG26">
            <v>9</v>
          </cell>
          <cell r="BH26">
            <v>9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O27">
            <v>8</v>
          </cell>
          <cell r="S27">
            <v>15</v>
          </cell>
          <cell r="T27">
            <v>12</v>
          </cell>
          <cell r="U27">
            <v>13</v>
          </cell>
          <cell r="V27">
            <v>6</v>
          </cell>
          <cell r="BF27">
            <v>0</v>
          </cell>
          <cell r="BG27">
            <v>9</v>
          </cell>
          <cell r="BH27">
            <v>13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S28">
            <v>11</v>
          </cell>
          <cell r="T28">
            <v>25</v>
          </cell>
          <cell r="U28">
            <v>13</v>
          </cell>
          <cell r="V28">
            <v>3</v>
          </cell>
          <cell r="BF28">
            <v>5</v>
          </cell>
          <cell r="BG28">
            <v>9</v>
          </cell>
          <cell r="BH28">
            <v>14</v>
          </cell>
        </row>
        <row r="29">
          <cell r="B29">
            <v>2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0</v>
          </cell>
          <cell r="T29">
            <v>23</v>
          </cell>
          <cell r="U29">
            <v>13</v>
          </cell>
          <cell r="V29">
            <v>12</v>
          </cell>
          <cell r="BF29">
            <v>16</v>
          </cell>
          <cell r="BG29">
            <v>9</v>
          </cell>
          <cell r="BH29">
            <v>6</v>
          </cell>
        </row>
        <row r="30">
          <cell r="B30">
            <v>0</v>
          </cell>
          <cell r="C30">
            <v>4</v>
          </cell>
          <cell r="D30">
            <v>0</v>
          </cell>
          <cell r="E30">
            <v>0</v>
          </cell>
          <cell r="O30">
            <v>8</v>
          </cell>
          <cell r="S30">
            <v>6</v>
          </cell>
          <cell r="T30">
            <v>0</v>
          </cell>
          <cell r="U30">
            <v>13</v>
          </cell>
          <cell r="V30">
            <v>16</v>
          </cell>
          <cell r="BF30">
            <v>21</v>
          </cell>
          <cell r="BG30">
            <v>9</v>
          </cell>
          <cell r="BH30">
            <v>0</v>
          </cell>
        </row>
        <row r="31">
          <cell r="B31">
            <v>0</v>
          </cell>
          <cell r="C31">
            <v>9</v>
          </cell>
          <cell r="D31">
            <v>0</v>
          </cell>
          <cell r="E31">
            <v>0</v>
          </cell>
          <cell r="O31">
            <v>8</v>
          </cell>
          <cell r="S31">
            <v>17</v>
          </cell>
          <cell r="T31">
            <v>0</v>
          </cell>
          <cell r="U31">
            <v>13</v>
          </cell>
          <cell r="V31">
            <v>15</v>
          </cell>
          <cell r="BF31">
            <v>4</v>
          </cell>
          <cell r="BG31">
            <v>9</v>
          </cell>
          <cell r="BH31">
            <v>7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O32">
            <v>8</v>
          </cell>
          <cell r="S32">
            <v>17</v>
          </cell>
          <cell r="T32">
            <v>8</v>
          </cell>
          <cell r="U32">
            <v>13</v>
          </cell>
          <cell r="V32">
            <v>9</v>
          </cell>
          <cell r="BF32">
            <v>0</v>
          </cell>
          <cell r="BG32">
            <v>9</v>
          </cell>
          <cell r="BH32">
            <v>12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12</v>
          </cell>
          <cell r="T33">
            <v>24</v>
          </cell>
          <cell r="U33">
            <v>13</v>
          </cell>
          <cell r="V33">
            <v>3</v>
          </cell>
          <cell r="BF33">
            <v>1</v>
          </cell>
          <cell r="BG33">
            <v>9</v>
          </cell>
          <cell r="BH33">
            <v>14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2</v>
          </cell>
          <cell r="T34">
            <v>25</v>
          </cell>
          <cell r="U34">
            <v>13</v>
          </cell>
          <cell r="V34">
            <v>10</v>
          </cell>
          <cell r="BF34">
            <v>14</v>
          </cell>
          <cell r="BG34">
            <v>9</v>
          </cell>
          <cell r="BH34">
            <v>8</v>
          </cell>
        </row>
        <row r="35">
          <cell r="B35">
            <v>0</v>
          </cell>
          <cell r="C35">
            <v>2</v>
          </cell>
          <cell r="D35">
            <v>0</v>
          </cell>
          <cell r="E35">
            <v>0</v>
          </cell>
          <cell r="O35">
            <v>8</v>
          </cell>
          <cell r="S35">
            <v>4</v>
          </cell>
          <cell r="T35">
            <v>0</v>
          </cell>
          <cell r="U35">
            <v>13</v>
          </cell>
          <cell r="V35">
            <v>15</v>
          </cell>
          <cell r="BF35">
            <v>21</v>
          </cell>
          <cell r="BG35">
            <v>9</v>
          </cell>
          <cell r="BH35">
            <v>1</v>
          </cell>
        </row>
        <row r="36">
          <cell r="B36">
            <v>0</v>
          </cell>
          <cell r="C36">
            <v>9</v>
          </cell>
          <cell r="D36">
            <v>0</v>
          </cell>
          <cell r="E36">
            <v>0</v>
          </cell>
          <cell r="O36">
            <v>8</v>
          </cell>
          <cell r="S36">
            <v>12</v>
          </cell>
          <cell r="T36">
            <v>0</v>
          </cell>
          <cell r="U36">
            <v>13</v>
          </cell>
          <cell r="V36">
            <v>17</v>
          </cell>
          <cell r="BF36">
            <v>9</v>
          </cell>
          <cell r="BG36">
            <v>9</v>
          </cell>
          <cell r="BH36">
            <v>4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O37">
            <v>8</v>
          </cell>
          <cell r="S37">
            <v>20</v>
          </cell>
          <cell r="T37">
            <v>3</v>
          </cell>
          <cell r="U37">
            <v>13</v>
          </cell>
          <cell r="V37">
            <v>11</v>
          </cell>
          <cell r="BF37">
            <v>0</v>
          </cell>
          <cell r="BG37">
            <v>9</v>
          </cell>
          <cell r="BH37">
            <v>10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O38">
            <v>8</v>
          </cell>
          <cell r="S38">
            <v>14</v>
          </cell>
          <cell r="T38">
            <v>21</v>
          </cell>
          <cell r="U38">
            <v>13</v>
          </cell>
          <cell r="V38">
            <v>4</v>
          </cell>
          <cell r="BF38">
            <v>0</v>
          </cell>
          <cell r="BG38">
            <v>9</v>
          </cell>
          <cell r="BH38">
            <v>15</v>
          </cell>
        </row>
      </sheetData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_Outcome"/>
      <sheetName val="CRP_Outcome_Baseline"/>
      <sheetName val="Compare"/>
      <sheetName val="CRP_Outcome_ELV"/>
      <sheetName val="CRP_Outcome_CRP"/>
      <sheetName val="Analysis"/>
      <sheetName val="Graphs ELV"/>
      <sheetName val="Graphs CRP"/>
    </sheetNames>
    <sheetDataSet>
      <sheetData sheetId="0"/>
      <sheetData sheetId="1"/>
      <sheetData sheetId="2"/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12</v>
          </cell>
          <cell r="T4">
            <v>20</v>
          </cell>
          <cell r="U4">
            <v>20</v>
          </cell>
          <cell r="V4">
            <v>16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12</v>
          </cell>
          <cell r="U5">
            <v>12</v>
          </cell>
          <cell r="V5">
            <v>8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8</v>
          </cell>
          <cell r="T6">
            <v>12</v>
          </cell>
          <cell r="U6">
            <v>12</v>
          </cell>
          <cell r="V6">
            <v>8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12</v>
          </cell>
          <cell r="T7">
            <v>12</v>
          </cell>
          <cell r="U7">
            <v>8</v>
          </cell>
          <cell r="V7">
            <v>12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12</v>
          </cell>
          <cell r="U8">
            <v>8</v>
          </cell>
          <cell r="V8">
            <v>12</v>
          </cell>
          <cell r="BF8">
            <v>0</v>
          </cell>
          <cell r="BG8">
            <v>7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9</v>
          </cell>
          <cell r="BF9">
            <v>0</v>
          </cell>
          <cell r="BG9">
            <v>9</v>
          </cell>
          <cell r="BH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16</v>
          </cell>
          <cell r="T10">
            <v>12</v>
          </cell>
          <cell r="U10">
            <v>8</v>
          </cell>
          <cell r="V10">
            <v>7</v>
          </cell>
          <cell r="BF10">
            <v>0</v>
          </cell>
          <cell r="BG10">
            <v>9</v>
          </cell>
          <cell r="BH10">
            <v>7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5</v>
          </cell>
          <cell r="T11">
            <v>13</v>
          </cell>
          <cell r="U11">
            <v>11</v>
          </cell>
          <cell r="V11">
            <v>3</v>
          </cell>
          <cell r="BF11">
            <v>0</v>
          </cell>
          <cell r="BG11">
            <v>9</v>
          </cell>
          <cell r="BH11">
            <v>11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1</v>
          </cell>
          <cell r="T12">
            <v>12</v>
          </cell>
          <cell r="U12">
            <v>13</v>
          </cell>
          <cell r="V12">
            <v>3</v>
          </cell>
          <cell r="BF12">
            <v>15</v>
          </cell>
          <cell r="BG12">
            <v>8</v>
          </cell>
          <cell r="BH12">
            <v>12</v>
          </cell>
        </row>
        <row r="13">
          <cell r="B13">
            <v>0</v>
          </cell>
          <cell r="C13">
            <v>3</v>
          </cell>
          <cell r="D13">
            <v>0</v>
          </cell>
          <cell r="E13">
            <v>0</v>
          </cell>
          <cell r="O13">
            <v>8</v>
          </cell>
          <cell r="S13">
            <v>0</v>
          </cell>
          <cell r="T13">
            <v>0</v>
          </cell>
          <cell r="U13">
            <v>13</v>
          </cell>
          <cell r="V13">
            <v>11</v>
          </cell>
          <cell r="BF13">
            <v>19</v>
          </cell>
          <cell r="BG13">
            <v>8</v>
          </cell>
          <cell r="BH13">
            <v>7</v>
          </cell>
        </row>
        <row r="14">
          <cell r="B14">
            <v>0</v>
          </cell>
          <cell r="C14">
            <v>7</v>
          </cell>
          <cell r="D14">
            <v>0</v>
          </cell>
          <cell r="E14">
            <v>0</v>
          </cell>
          <cell r="O14">
            <v>8</v>
          </cell>
          <cell r="S14">
            <v>5</v>
          </cell>
          <cell r="T14">
            <v>0</v>
          </cell>
          <cell r="U14">
            <v>13</v>
          </cell>
          <cell r="V14">
            <v>15</v>
          </cell>
          <cell r="BF14">
            <v>10</v>
          </cell>
          <cell r="BG14">
            <v>8</v>
          </cell>
          <cell r="BH14">
            <v>1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O15">
            <v>8</v>
          </cell>
          <cell r="S15">
            <v>23</v>
          </cell>
          <cell r="T15">
            <v>2</v>
          </cell>
          <cell r="U15">
            <v>12</v>
          </cell>
          <cell r="V15">
            <v>16</v>
          </cell>
          <cell r="BF15">
            <v>0</v>
          </cell>
          <cell r="BG15">
            <v>9</v>
          </cell>
          <cell r="BH15">
            <v>2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22</v>
          </cell>
          <cell r="T16">
            <v>27</v>
          </cell>
          <cell r="U16">
            <v>12</v>
          </cell>
          <cell r="V16">
            <v>10</v>
          </cell>
          <cell r="BF16">
            <v>0</v>
          </cell>
          <cell r="BG16">
            <v>9</v>
          </cell>
          <cell r="BH16">
            <v>7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15</v>
          </cell>
          <cell r="T17">
            <v>34</v>
          </cell>
          <cell r="U17">
            <v>12</v>
          </cell>
          <cell r="V17">
            <v>4</v>
          </cell>
          <cell r="BF17">
            <v>0</v>
          </cell>
          <cell r="BG17">
            <v>9</v>
          </cell>
          <cell r="BH17">
            <v>13</v>
          </cell>
        </row>
        <row r="18">
          <cell r="B18">
            <v>1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0</v>
          </cell>
          <cell r="T18">
            <v>20</v>
          </cell>
          <cell r="U18">
            <v>13</v>
          </cell>
          <cell r="V18">
            <v>5</v>
          </cell>
          <cell r="BF18">
            <v>11</v>
          </cell>
          <cell r="BG18">
            <v>8</v>
          </cell>
          <cell r="BH18">
            <v>12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O19">
            <v>8</v>
          </cell>
          <cell r="S19">
            <v>0</v>
          </cell>
          <cell r="T19">
            <v>1</v>
          </cell>
          <cell r="U19">
            <v>13</v>
          </cell>
          <cell r="V19">
            <v>11</v>
          </cell>
          <cell r="BF19">
            <v>36</v>
          </cell>
          <cell r="BG19">
            <v>8</v>
          </cell>
          <cell r="BH19">
            <v>6</v>
          </cell>
        </row>
        <row r="20">
          <cell r="B20">
            <v>0</v>
          </cell>
          <cell r="C20">
            <v>24</v>
          </cell>
          <cell r="D20">
            <v>0</v>
          </cell>
          <cell r="E20">
            <v>0</v>
          </cell>
          <cell r="O20">
            <v>8</v>
          </cell>
          <cell r="S20">
            <v>6</v>
          </cell>
          <cell r="T20">
            <v>0</v>
          </cell>
          <cell r="U20">
            <v>13</v>
          </cell>
          <cell r="V20">
            <v>16</v>
          </cell>
          <cell r="BF20">
            <v>0</v>
          </cell>
          <cell r="BG20">
            <v>9</v>
          </cell>
          <cell r="BH20">
            <v>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O21">
            <v>8</v>
          </cell>
          <cell r="S21">
            <v>21</v>
          </cell>
          <cell r="T21">
            <v>12</v>
          </cell>
          <cell r="U21">
            <v>12</v>
          </cell>
          <cell r="V21">
            <v>15</v>
          </cell>
          <cell r="BF21">
            <v>0</v>
          </cell>
          <cell r="BG21">
            <v>9</v>
          </cell>
          <cell r="BH21">
            <v>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22</v>
          </cell>
          <cell r="T22">
            <v>24</v>
          </cell>
          <cell r="U22">
            <v>12</v>
          </cell>
          <cell r="V22">
            <v>9</v>
          </cell>
          <cell r="BF22">
            <v>0</v>
          </cell>
          <cell r="BG22">
            <v>9</v>
          </cell>
          <cell r="BH22">
            <v>9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3</v>
          </cell>
          <cell r="T23">
            <v>58</v>
          </cell>
          <cell r="U23">
            <v>13</v>
          </cell>
          <cell r="V23">
            <v>5</v>
          </cell>
          <cell r="BF23">
            <v>0</v>
          </cell>
          <cell r="BG23">
            <v>9</v>
          </cell>
          <cell r="BH23">
            <v>13</v>
          </cell>
        </row>
        <row r="24">
          <cell r="B24">
            <v>1</v>
          </cell>
          <cell r="C24">
            <v>0</v>
          </cell>
          <cell r="D24">
            <v>0</v>
          </cell>
          <cell r="E24">
            <v>0</v>
          </cell>
          <cell r="O24">
            <v>8</v>
          </cell>
          <cell r="S24">
            <v>0</v>
          </cell>
          <cell r="T24">
            <v>12</v>
          </cell>
          <cell r="U24">
            <v>13</v>
          </cell>
          <cell r="V24">
            <v>5</v>
          </cell>
          <cell r="BF24">
            <v>32</v>
          </cell>
          <cell r="BG24">
            <v>8</v>
          </cell>
          <cell r="BH24">
            <v>11</v>
          </cell>
        </row>
        <row r="25">
          <cell r="B25">
            <v>0</v>
          </cell>
          <cell r="C25">
            <v>20</v>
          </cell>
          <cell r="D25">
            <v>0</v>
          </cell>
          <cell r="E25">
            <v>0</v>
          </cell>
          <cell r="O25">
            <v>8</v>
          </cell>
          <cell r="S25">
            <v>1</v>
          </cell>
          <cell r="T25">
            <v>0</v>
          </cell>
          <cell r="U25">
            <v>13</v>
          </cell>
          <cell r="V25">
            <v>13</v>
          </cell>
          <cell r="BF25">
            <v>14</v>
          </cell>
          <cell r="BG25">
            <v>8</v>
          </cell>
          <cell r="BH25">
            <v>6</v>
          </cell>
        </row>
        <row r="26">
          <cell r="B26">
            <v>0</v>
          </cell>
          <cell r="C26">
            <v>2</v>
          </cell>
          <cell r="D26">
            <v>0</v>
          </cell>
          <cell r="E26">
            <v>0</v>
          </cell>
          <cell r="O26">
            <v>8</v>
          </cell>
          <cell r="S26">
            <v>6</v>
          </cell>
          <cell r="T26">
            <v>0</v>
          </cell>
          <cell r="U26">
            <v>13</v>
          </cell>
          <cell r="V26">
            <v>16</v>
          </cell>
          <cell r="BF26">
            <v>0</v>
          </cell>
          <cell r="BG26">
            <v>9</v>
          </cell>
          <cell r="BH26">
            <v>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O27">
            <v>8</v>
          </cell>
          <cell r="S27">
            <v>23</v>
          </cell>
          <cell r="T27">
            <v>12</v>
          </cell>
          <cell r="U27">
            <v>12</v>
          </cell>
          <cell r="V27">
            <v>14</v>
          </cell>
          <cell r="BF27">
            <v>9</v>
          </cell>
          <cell r="BG27">
            <v>9</v>
          </cell>
          <cell r="BH27">
            <v>3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S28">
            <v>21</v>
          </cell>
          <cell r="T28">
            <v>44</v>
          </cell>
          <cell r="U28">
            <v>12</v>
          </cell>
          <cell r="V28">
            <v>9</v>
          </cell>
          <cell r="BF28">
            <v>0</v>
          </cell>
          <cell r="BG28">
            <v>9</v>
          </cell>
          <cell r="BH28">
            <v>10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2</v>
          </cell>
          <cell r="T29">
            <v>28</v>
          </cell>
          <cell r="U29">
            <v>13</v>
          </cell>
          <cell r="V29">
            <v>4</v>
          </cell>
          <cell r="BF29">
            <v>0</v>
          </cell>
          <cell r="BG29">
            <v>9</v>
          </cell>
          <cell r="BH29">
            <v>12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O30">
            <v>8</v>
          </cell>
          <cell r="S30">
            <v>9</v>
          </cell>
          <cell r="T30">
            <v>12</v>
          </cell>
          <cell r="U30">
            <v>13</v>
          </cell>
          <cell r="V30">
            <v>6</v>
          </cell>
          <cell r="BF30">
            <v>25</v>
          </cell>
          <cell r="BG30">
            <v>8</v>
          </cell>
          <cell r="BH30">
            <v>11</v>
          </cell>
        </row>
        <row r="31">
          <cell r="B31">
            <v>0</v>
          </cell>
          <cell r="C31">
            <v>13</v>
          </cell>
          <cell r="D31">
            <v>0</v>
          </cell>
          <cell r="E31">
            <v>0</v>
          </cell>
          <cell r="O31">
            <v>8</v>
          </cell>
          <cell r="S31">
            <v>1</v>
          </cell>
          <cell r="T31">
            <v>0</v>
          </cell>
          <cell r="U31">
            <v>13</v>
          </cell>
          <cell r="V31">
            <v>14</v>
          </cell>
          <cell r="BF31">
            <v>10</v>
          </cell>
          <cell r="BG31">
            <v>8</v>
          </cell>
          <cell r="BH31">
            <v>5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O32">
            <v>8</v>
          </cell>
          <cell r="S32">
            <v>7</v>
          </cell>
          <cell r="T32">
            <v>2</v>
          </cell>
          <cell r="U32">
            <v>13</v>
          </cell>
          <cell r="V32">
            <v>16</v>
          </cell>
          <cell r="BF32">
            <v>13</v>
          </cell>
          <cell r="BG32">
            <v>9</v>
          </cell>
          <cell r="BH32">
            <v>1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23</v>
          </cell>
          <cell r="T33">
            <v>0</v>
          </cell>
          <cell r="U33">
            <v>12</v>
          </cell>
          <cell r="V33">
            <v>14</v>
          </cell>
          <cell r="BF33">
            <v>0</v>
          </cell>
          <cell r="BG33">
            <v>9</v>
          </cell>
          <cell r="BH33">
            <v>4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18</v>
          </cell>
          <cell r="T34">
            <v>44</v>
          </cell>
          <cell r="U34">
            <v>12</v>
          </cell>
          <cell r="V34">
            <v>8</v>
          </cell>
          <cell r="BF34">
            <v>0</v>
          </cell>
          <cell r="BG34">
            <v>9</v>
          </cell>
          <cell r="BH34">
            <v>10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O35">
            <v>8</v>
          </cell>
          <cell r="S35">
            <v>15</v>
          </cell>
          <cell r="T35">
            <v>22</v>
          </cell>
          <cell r="U35">
            <v>13</v>
          </cell>
          <cell r="V35">
            <v>4</v>
          </cell>
          <cell r="BF35">
            <v>0</v>
          </cell>
          <cell r="BG35">
            <v>9</v>
          </cell>
          <cell r="BH35">
            <v>13</v>
          </cell>
        </row>
        <row r="36">
          <cell r="B36">
            <v>1</v>
          </cell>
          <cell r="C36">
            <v>0</v>
          </cell>
          <cell r="D36">
            <v>0</v>
          </cell>
          <cell r="E36">
            <v>0</v>
          </cell>
          <cell r="O36">
            <v>8</v>
          </cell>
          <cell r="S36">
            <v>0</v>
          </cell>
          <cell r="T36">
            <v>21</v>
          </cell>
          <cell r="U36">
            <v>13</v>
          </cell>
          <cell r="V36">
            <v>7</v>
          </cell>
          <cell r="BF36">
            <v>20</v>
          </cell>
          <cell r="BG36">
            <v>8</v>
          </cell>
          <cell r="BH36">
            <v>10</v>
          </cell>
        </row>
        <row r="37">
          <cell r="B37">
            <v>0</v>
          </cell>
          <cell r="C37">
            <v>8</v>
          </cell>
          <cell r="D37">
            <v>0</v>
          </cell>
          <cell r="E37">
            <v>0</v>
          </cell>
          <cell r="O37">
            <v>8</v>
          </cell>
          <cell r="S37">
            <v>2</v>
          </cell>
          <cell r="T37">
            <v>0</v>
          </cell>
          <cell r="U37">
            <v>13</v>
          </cell>
          <cell r="V37">
            <v>14</v>
          </cell>
          <cell r="BF37">
            <v>31</v>
          </cell>
          <cell r="BG37">
            <v>8</v>
          </cell>
          <cell r="BH37">
            <v>5</v>
          </cell>
        </row>
        <row r="38">
          <cell r="B38">
            <v>0</v>
          </cell>
          <cell r="C38">
            <v>19</v>
          </cell>
          <cell r="D38">
            <v>0</v>
          </cell>
          <cell r="E38">
            <v>0</v>
          </cell>
          <cell r="O38">
            <v>8</v>
          </cell>
          <cell r="S38">
            <v>7</v>
          </cell>
          <cell r="T38">
            <v>0</v>
          </cell>
          <cell r="U38">
            <v>13</v>
          </cell>
          <cell r="V38">
            <v>16</v>
          </cell>
          <cell r="BF38">
            <v>0</v>
          </cell>
          <cell r="BG38">
            <v>9</v>
          </cell>
          <cell r="BH38">
            <v>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12</v>
          </cell>
          <cell r="T4">
            <v>20</v>
          </cell>
          <cell r="U4">
            <v>20</v>
          </cell>
          <cell r="V4">
            <v>12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12</v>
          </cell>
          <cell r="U5">
            <v>12</v>
          </cell>
          <cell r="V5">
            <v>12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8</v>
          </cell>
          <cell r="T6">
            <v>12</v>
          </cell>
          <cell r="U6">
            <v>12</v>
          </cell>
          <cell r="V6">
            <v>12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12</v>
          </cell>
          <cell r="T7">
            <v>12</v>
          </cell>
          <cell r="U7">
            <v>8</v>
          </cell>
          <cell r="V7">
            <v>12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12</v>
          </cell>
          <cell r="U8">
            <v>8</v>
          </cell>
          <cell r="V8">
            <v>12</v>
          </cell>
          <cell r="BF8">
            <v>0</v>
          </cell>
          <cell r="BG8">
            <v>8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8</v>
          </cell>
          <cell r="BF9">
            <v>0</v>
          </cell>
          <cell r="BG9">
            <v>10</v>
          </cell>
          <cell r="BH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16</v>
          </cell>
          <cell r="T10">
            <v>12</v>
          </cell>
          <cell r="U10">
            <v>8</v>
          </cell>
          <cell r="V10">
            <v>6</v>
          </cell>
          <cell r="BF10">
            <v>0</v>
          </cell>
          <cell r="BG10">
            <v>10</v>
          </cell>
          <cell r="BH10">
            <v>9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3</v>
          </cell>
          <cell r="T11">
            <v>12</v>
          </cell>
          <cell r="U11">
            <v>12</v>
          </cell>
          <cell r="V11">
            <v>2</v>
          </cell>
          <cell r="BF11">
            <v>0</v>
          </cell>
          <cell r="BG11">
            <v>9</v>
          </cell>
          <cell r="BH11">
            <v>13</v>
          </cell>
        </row>
        <row r="12">
          <cell r="B12">
            <v>1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0</v>
          </cell>
          <cell r="T12">
            <v>12</v>
          </cell>
          <cell r="U12">
            <v>14</v>
          </cell>
          <cell r="V12">
            <v>3</v>
          </cell>
          <cell r="BF12">
            <v>8</v>
          </cell>
          <cell r="BG12">
            <v>8</v>
          </cell>
          <cell r="BH12">
            <v>13</v>
          </cell>
        </row>
        <row r="13">
          <cell r="B13">
            <v>1</v>
          </cell>
          <cell r="C13">
            <v>0</v>
          </cell>
          <cell r="D13">
            <v>0</v>
          </cell>
          <cell r="E13">
            <v>0</v>
          </cell>
          <cell r="O13">
            <v>8</v>
          </cell>
          <cell r="S13">
            <v>0</v>
          </cell>
          <cell r="T13">
            <v>4</v>
          </cell>
          <cell r="U13">
            <v>14</v>
          </cell>
          <cell r="V13">
            <v>13</v>
          </cell>
          <cell r="BF13">
            <v>15</v>
          </cell>
          <cell r="BG13">
            <v>8</v>
          </cell>
          <cell r="BH13">
            <v>6</v>
          </cell>
        </row>
        <row r="14">
          <cell r="B14">
            <v>0</v>
          </cell>
          <cell r="C14">
            <v>3</v>
          </cell>
          <cell r="D14">
            <v>0</v>
          </cell>
          <cell r="E14">
            <v>0</v>
          </cell>
          <cell r="O14">
            <v>8</v>
          </cell>
          <cell r="S14">
            <v>6</v>
          </cell>
          <cell r="T14">
            <v>0</v>
          </cell>
          <cell r="U14">
            <v>13</v>
          </cell>
          <cell r="V14">
            <v>16</v>
          </cell>
          <cell r="BF14">
            <v>13</v>
          </cell>
          <cell r="BG14">
            <v>9</v>
          </cell>
          <cell r="BH14">
            <v>0</v>
          </cell>
        </row>
        <row r="15">
          <cell r="B15">
            <v>0</v>
          </cell>
          <cell r="C15">
            <v>1</v>
          </cell>
          <cell r="D15">
            <v>0</v>
          </cell>
          <cell r="E15">
            <v>0</v>
          </cell>
          <cell r="O15">
            <v>8</v>
          </cell>
          <cell r="S15">
            <v>20</v>
          </cell>
          <cell r="T15">
            <v>0</v>
          </cell>
          <cell r="U15">
            <v>12</v>
          </cell>
          <cell r="V15">
            <v>15</v>
          </cell>
          <cell r="BF15">
            <v>1</v>
          </cell>
          <cell r="BG15">
            <v>10</v>
          </cell>
          <cell r="BH15">
            <v>3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21</v>
          </cell>
          <cell r="T16">
            <v>13</v>
          </cell>
          <cell r="U16">
            <v>12</v>
          </cell>
          <cell r="V16">
            <v>8</v>
          </cell>
          <cell r="BF16">
            <v>0</v>
          </cell>
          <cell r="BG16">
            <v>10</v>
          </cell>
          <cell r="BH16">
            <v>10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14</v>
          </cell>
          <cell r="T17">
            <v>21</v>
          </cell>
          <cell r="U17">
            <v>13</v>
          </cell>
          <cell r="V17">
            <v>2</v>
          </cell>
          <cell r="BF17">
            <v>0</v>
          </cell>
          <cell r="BG17">
            <v>9</v>
          </cell>
          <cell r="BH17">
            <v>15</v>
          </cell>
        </row>
        <row r="18">
          <cell r="B18">
            <v>2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0</v>
          </cell>
          <cell r="T18">
            <v>20</v>
          </cell>
          <cell r="U18">
            <v>14</v>
          </cell>
          <cell r="V18">
            <v>6</v>
          </cell>
          <cell r="BF18">
            <v>7</v>
          </cell>
          <cell r="BG18">
            <v>9</v>
          </cell>
          <cell r="BH18">
            <v>13</v>
          </cell>
        </row>
        <row r="19">
          <cell r="B19">
            <v>1</v>
          </cell>
          <cell r="C19">
            <v>0</v>
          </cell>
          <cell r="D19">
            <v>0</v>
          </cell>
          <cell r="E19">
            <v>0</v>
          </cell>
          <cell r="O19">
            <v>8</v>
          </cell>
          <cell r="S19">
            <v>0</v>
          </cell>
          <cell r="T19">
            <v>5</v>
          </cell>
          <cell r="U19">
            <v>14</v>
          </cell>
          <cell r="V19">
            <v>13</v>
          </cell>
          <cell r="BF19">
            <v>20</v>
          </cell>
          <cell r="BG19">
            <v>9</v>
          </cell>
          <cell r="BH19">
            <v>4</v>
          </cell>
        </row>
        <row r="20">
          <cell r="B20">
            <v>0</v>
          </cell>
          <cell r="C20">
            <v>8</v>
          </cell>
          <cell r="D20">
            <v>0</v>
          </cell>
          <cell r="E20">
            <v>0</v>
          </cell>
          <cell r="O20">
            <v>8</v>
          </cell>
          <cell r="S20">
            <v>8</v>
          </cell>
          <cell r="T20">
            <v>0</v>
          </cell>
          <cell r="U20">
            <v>13</v>
          </cell>
          <cell r="V20">
            <v>16</v>
          </cell>
          <cell r="BF20">
            <v>14</v>
          </cell>
          <cell r="BG20">
            <v>9</v>
          </cell>
          <cell r="BH20">
            <v>2</v>
          </cell>
        </row>
        <row r="21">
          <cell r="B21">
            <v>0</v>
          </cell>
          <cell r="C21">
            <v>2</v>
          </cell>
          <cell r="D21">
            <v>0</v>
          </cell>
          <cell r="E21">
            <v>0</v>
          </cell>
          <cell r="O21">
            <v>8</v>
          </cell>
          <cell r="S21">
            <v>17</v>
          </cell>
          <cell r="T21">
            <v>0</v>
          </cell>
          <cell r="U21">
            <v>13</v>
          </cell>
          <cell r="V21">
            <v>15</v>
          </cell>
          <cell r="BF21">
            <v>0</v>
          </cell>
          <cell r="BG21">
            <v>9</v>
          </cell>
          <cell r="BH21">
            <v>6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18</v>
          </cell>
          <cell r="T22">
            <v>14</v>
          </cell>
          <cell r="U22">
            <v>13</v>
          </cell>
          <cell r="V22">
            <v>7</v>
          </cell>
          <cell r="BF22">
            <v>0</v>
          </cell>
          <cell r="BG22">
            <v>9</v>
          </cell>
          <cell r="BH22">
            <v>10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14</v>
          </cell>
          <cell r="T23">
            <v>26</v>
          </cell>
          <cell r="U23">
            <v>13</v>
          </cell>
          <cell r="V23">
            <v>5</v>
          </cell>
          <cell r="BF23">
            <v>0</v>
          </cell>
          <cell r="BG23">
            <v>9</v>
          </cell>
          <cell r="BH23">
            <v>13</v>
          </cell>
        </row>
        <row r="24">
          <cell r="B24">
            <v>1</v>
          </cell>
          <cell r="C24">
            <v>0</v>
          </cell>
          <cell r="D24">
            <v>0</v>
          </cell>
          <cell r="E24">
            <v>0</v>
          </cell>
          <cell r="O24">
            <v>8</v>
          </cell>
          <cell r="S24">
            <v>0</v>
          </cell>
          <cell r="T24">
            <v>21</v>
          </cell>
          <cell r="U24">
            <v>13</v>
          </cell>
          <cell r="V24">
            <v>9</v>
          </cell>
          <cell r="BF24">
            <v>10</v>
          </cell>
          <cell r="BG24">
            <v>9</v>
          </cell>
          <cell r="BH24">
            <v>9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O25">
            <v>8</v>
          </cell>
          <cell r="S25">
            <v>3</v>
          </cell>
          <cell r="T25">
            <v>11</v>
          </cell>
          <cell r="U25">
            <v>13</v>
          </cell>
          <cell r="V25">
            <v>13</v>
          </cell>
          <cell r="BF25">
            <v>18</v>
          </cell>
          <cell r="BG25">
            <v>9</v>
          </cell>
          <cell r="BH25">
            <v>4</v>
          </cell>
        </row>
        <row r="26">
          <cell r="B26">
            <v>0</v>
          </cell>
          <cell r="C26">
            <v>6</v>
          </cell>
          <cell r="D26">
            <v>0</v>
          </cell>
          <cell r="E26">
            <v>0</v>
          </cell>
          <cell r="O26">
            <v>8</v>
          </cell>
          <cell r="S26">
            <v>8</v>
          </cell>
          <cell r="T26">
            <v>0</v>
          </cell>
          <cell r="U26">
            <v>13</v>
          </cell>
          <cell r="V26">
            <v>15</v>
          </cell>
          <cell r="BF26">
            <v>8</v>
          </cell>
          <cell r="BG26">
            <v>9</v>
          </cell>
          <cell r="BH26">
            <v>4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O27">
            <v>8</v>
          </cell>
          <cell r="S27">
            <v>18</v>
          </cell>
          <cell r="T27">
            <v>4</v>
          </cell>
          <cell r="U27">
            <v>13</v>
          </cell>
          <cell r="V27">
            <v>12</v>
          </cell>
          <cell r="BF27">
            <v>0</v>
          </cell>
          <cell r="BG27">
            <v>9</v>
          </cell>
          <cell r="BH27">
            <v>7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S28">
            <v>17</v>
          </cell>
          <cell r="T28">
            <v>12</v>
          </cell>
          <cell r="U28">
            <v>13</v>
          </cell>
          <cell r="V28">
            <v>7</v>
          </cell>
          <cell r="BF28">
            <v>0</v>
          </cell>
          <cell r="BG28">
            <v>9</v>
          </cell>
          <cell r="BH28">
            <v>10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10</v>
          </cell>
          <cell r="T29">
            <v>26</v>
          </cell>
          <cell r="U29">
            <v>13</v>
          </cell>
          <cell r="V29">
            <v>7</v>
          </cell>
          <cell r="BF29">
            <v>2</v>
          </cell>
          <cell r="BG29">
            <v>9</v>
          </cell>
          <cell r="BH29">
            <v>11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O30">
            <v>8</v>
          </cell>
          <cell r="S30">
            <v>1</v>
          </cell>
          <cell r="T30">
            <v>14</v>
          </cell>
          <cell r="U30">
            <v>13</v>
          </cell>
          <cell r="V30">
            <v>10</v>
          </cell>
          <cell r="BF30">
            <v>11</v>
          </cell>
          <cell r="BG30">
            <v>9</v>
          </cell>
          <cell r="BH30">
            <v>8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O31">
            <v>8</v>
          </cell>
          <cell r="S31">
            <v>4</v>
          </cell>
          <cell r="T31">
            <v>1</v>
          </cell>
          <cell r="U31">
            <v>13</v>
          </cell>
          <cell r="V31">
            <v>13</v>
          </cell>
          <cell r="BF31">
            <v>14</v>
          </cell>
          <cell r="BG31">
            <v>9</v>
          </cell>
          <cell r="BH31">
            <v>5</v>
          </cell>
        </row>
        <row r="32">
          <cell r="B32">
            <v>0</v>
          </cell>
          <cell r="C32">
            <v>2</v>
          </cell>
          <cell r="D32">
            <v>0</v>
          </cell>
          <cell r="E32">
            <v>0</v>
          </cell>
          <cell r="O32">
            <v>8</v>
          </cell>
          <cell r="S32">
            <v>9</v>
          </cell>
          <cell r="T32">
            <v>0</v>
          </cell>
          <cell r="U32">
            <v>13</v>
          </cell>
          <cell r="V32">
            <v>14</v>
          </cell>
          <cell r="BF32">
            <v>6</v>
          </cell>
          <cell r="BG32">
            <v>9</v>
          </cell>
          <cell r="BH32">
            <v>5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18</v>
          </cell>
          <cell r="T33">
            <v>6</v>
          </cell>
          <cell r="U33">
            <v>13</v>
          </cell>
          <cell r="V33">
            <v>11</v>
          </cell>
          <cell r="BF33">
            <v>0</v>
          </cell>
          <cell r="BG33">
            <v>9</v>
          </cell>
          <cell r="BH33">
            <v>7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17</v>
          </cell>
          <cell r="T34">
            <v>12</v>
          </cell>
          <cell r="U34">
            <v>13</v>
          </cell>
          <cell r="V34">
            <v>8</v>
          </cell>
          <cell r="BF34">
            <v>0</v>
          </cell>
          <cell r="BG34">
            <v>9</v>
          </cell>
          <cell r="BH34">
            <v>10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O35">
            <v>8</v>
          </cell>
          <cell r="S35">
            <v>8</v>
          </cell>
          <cell r="T35">
            <v>21</v>
          </cell>
          <cell r="U35">
            <v>13</v>
          </cell>
          <cell r="V35">
            <v>8</v>
          </cell>
          <cell r="BF35">
            <v>4</v>
          </cell>
          <cell r="BG35">
            <v>9</v>
          </cell>
          <cell r="BH35">
            <v>10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O36">
            <v>8</v>
          </cell>
          <cell r="S36">
            <v>2</v>
          </cell>
          <cell r="T36">
            <v>10</v>
          </cell>
          <cell r="U36">
            <v>13</v>
          </cell>
          <cell r="V36">
            <v>10</v>
          </cell>
          <cell r="BF36">
            <v>12</v>
          </cell>
          <cell r="BG36">
            <v>9</v>
          </cell>
          <cell r="BH36">
            <v>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O37">
            <v>8</v>
          </cell>
          <cell r="S37">
            <v>5</v>
          </cell>
          <cell r="T37">
            <v>0</v>
          </cell>
          <cell r="U37">
            <v>13</v>
          </cell>
          <cell r="V37">
            <v>13</v>
          </cell>
          <cell r="BF37">
            <v>12</v>
          </cell>
          <cell r="BG37">
            <v>9</v>
          </cell>
          <cell r="BH37">
            <v>6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O38">
            <v>8</v>
          </cell>
          <cell r="S38">
            <v>10</v>
          </cell>
          <cell r="T38">
            <v>0</v>
          </cell>
          <cell r="U38">
            <v>13</v>
          </cell>
          <cell r="V38">
            <v>13</v>
          </cell>
          <cell r="BF38">
            <v>4</v>
          </cell>
          <cell r="BG38">
            <v>9</v>
          </cell>
          <cell r="BH38">
            <v>5</v>
          </cell>
        </row>
      </sheetData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_Outcome"/>
      <sheetName val="CRP_Outcome_Baseline"/>
      <sheetName val="Compare"/>
      <sheetName val="CRP_Outcome_ELV"/>
      <sheetName val="CRP_Outcome_CRP"/>
      <sheetName val="Analysis"/>
      <sheetName val="Graphs ELV"/>
      <sheetName val="Graphs CRP"/>
    </sheetNames>
    <sheetDataSet>
      <sheetData sheetId="0"/>
      <sheetData sheetId="1"/>
      <sheetData sheetId="2"/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12</v>
          </cell>
          <cell r="T4">
            <v>20</v>
          </cell>
          <cell r="U4">
            <v>20</v>
          </cell>
          <cell r="V4">
            <v>12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12</v>
          </cell>
          <cell r="U5">
            <v>12</v>
          </cell>
          <cell r="V5">
            <v>12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8</v>
          </cell>
          <cell r="T6">
            <v>12</v>
          </cell>
          <cell r="U6">
            <v>12</v>
          </cell>
          <cell r="V6">
            <v>12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12</v>
          </cell>
          <cell r="T7">
            <v>12</v>
          </cell>
          <cell r="U7">
            <v>8</v>
          </cell>
          <cell r="V7">
            <v>12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12</v>
          </cell>
          <cell r="U8">
            <v>8</v>
          </cell>
          <cell r="V8">
            <v>12</v>
          </cell>
          <cell r="BF8">
            <v>0</v>
          </cell>
          <cell r="BG8">
            <v>7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9</v>
          </cell>
          <cell r="BF9">
            <v>1</v>
          </cell>
          <cell r="BG9">
            <v>9</v>
          </cell>
          <cell r="BH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16</v>
          </cell>
          <cell r="T10">
            <v>11</v>
          </cell>
          <cell r="U10">
            <v>8</v>
          </cell>
          <cell r="V10">
            <v>7</v>
          </cell>
          <cell r="BF10">
            <v>0</v>
          </cell>
          <cell r="BG10">
            <v>9</v>
          </cell>
          <cell r="BH10">
            <v>10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2</v>
          </cell>
          <cell r="T11">
            <v>13</v>
          </cell>
          <cell r="U11">
            <v>11</v>
          </cell>
          <cell r="V11">
            <v>3</v>
          </cell>
          <cell r="BF11">
            <v>0</v>
          </cell>
          <cell r="BG11">
            <v>9</v>
          </cell>
          <cell r="BH11">
            <v>13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0</v>
          </cell>
          <cell r="T12">
            <v>12</v>
          </cell>
          <cell r="U12">
            <v>13</v>
          </cell>
          <cell r="V12">
            <v>3</v>
          </cell>
          <cell r="BF12">
            <v>11</v>
          </cell>
          <cell r="BG12">
            <v>8</v>
          </cell>
          <cell r="BH12">
            <v>11</v>
          </cell>
        </row>
        <row r="13">
          <cell r="B13">
            <v>11</v>
          </cell>
          <cell r="C13">
            <v>0</v>
          </cell>
          <cell r="D13">
            <v>0</v>
          </cell>
          <cell r="E13">
            <v>0</v>
          </cell>
          <cell r="O13">
            <v>8</v>
          </cell>
          <cell r="S13">
            <v>0</v>
          </cell>
          <cell r="T13">
            <v>2</v>
          </cell>
          <cell r="U13">
            <v>13</v>
          </cell>
          <cell r="V13">
            <v>14</v>
          </cell>
          <cell r="BF13">
            <v>17</v>
          </cell>
          <cell r="BG13">
            <v>8</v>
          </cell>
          <cell r="BH13">
            <v>4</v>
          </cell>
        </row>
        <row r="14">
          <cell r="B14">
            <v>0</v>
          </cell>
          <cell r="C14">
            <v>5</v>
          </cell>
          <cell r="D14">
            <v>0</v>
          </cell>
          <cell r="E14">
            <v>0</v>
          </cell>
          <cell r="O14">
            <v>8</v>
          </cell>
          <cell r="S14">
            <v>8</v>
          </cell>
          <cell r="T14">
            <v>0</v>
          </cell>
          <cell r="U14">
            <v>13</v>
          </cell>
          <cell r="V14">
            <v>17</v>
          </cell>
          <cell r="BF14">
            <v>18</v>
          </cell>
          <cell r="BG14">
            <v>8</v>
          </cell>
          <cell r="BH14">
            <v>0</v>
          </cell>
        </row>
        <row r="15">
          <cell r="B15">
            <v>0</v>
          </cell>
          <cell r="C15">
            <v>6</v>
          </cell>
          <cell r="D15">
            <v>0</v>
          </cell>
          <cell r="E15">
            <v>0</v>
          </cell>
          <cell r="O15">
            <v>8</v>
          </cell>
          <cell r="S15">
            <v>23</v>
          </cell>
          <cell r="T15">
            <v>0</v>
          </cell>
          <cell r="U15">
            <v>12</v>
          </cell>
          <cell r="V15">
            <v>4</v>
          </cell>
          <cell r="BF15">
            <v>0</v>
          </cell>
          <cell r="BG15">
            <v>9</v>
          </cell>
          <cell r="BH15">
            <v>14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10</v>
          </cell>
          <cell r="T16">
            <v>19</v>
          </cell>
          <cell r="U16">
            <v>12</v>
          </cell>
          <cell r="V16">
            <v>7</v>
          </cell>
          <cell r="BF16">
            <v>0</v>
          </cell>
          <cell r="BG16">
            <v>9</v>
          </cell>
          <cell r="BH16">
            <v>15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9</v>
          </cell>
          <cell r="T17">
            <v>23</v>
          </cell>
          <cell r="U17">
            <v>12</v>
          </cell>
          <cell r="V17">
            <v>3</v>
          </cell>
          <cell r="BF17">
            <v>11</v>
          </cell>
          <cell r="BG17">
            <v>9</v>
          </cell>
          <cell r="BH17">
            <v>5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7</v>
          </cell>
          <cell r="T18">
            <v>12</v>
          </cell>
          <cell r="U18">
            <v>13</v>
          </cell>
          <cell r="V18">
            <v>17</v>
          </cell>
          <cell r="BF18">
            <v>19</v>
          </cell>
          <cell r="BG18">
            <v>8</v>
          </cell>
          <cell r="BH18">
            <v>6</v>
          </cell>
        </row>
        <row r="19">
          <cell r="B19">
            <v>0</v>
          </cell>
          <cell r="C19">
            <v>7</v>
          </cell>
          <cell r="D19">
            <v>0</v>
          </cell>
          <cell r="E19">
            <v>0</v>
          </cell>
          <cell r="O19">
            <v>8</v>
          </cell>
          <cell r="S19">
            <v>6</v>
          </cell>
          <cell r="T19">
            <v>0</v>
          </cell>
          <cell r="U19">
            <v>13</v>
          </cell>
          <cell r="V19">
            <v>19</v>
          </cell>
          <cell r="BF19">
            <v>7</v>
          </cell>
          <cell r="BG19">
            <v>8</v>
          </cell>
          <cell r="BH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O20">
            <v>8</v>
          </cell>
          <cell r="S20">
            <v>23</v>
          </cell>
          <cell r="T20">
            <v>5</v>
          </cell>
          <cell r="U20">
            <v>13</v>
          </cell>
          <cell r="V20">
            <v>9</v>
          </cell>
          <cell r="BF20">
            <v>2</v>
          </cell>
          <cell r="BG20">
            <v>9</v>
          </cell>
          <cell r="BH20">
            <v>8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O21">
            <v>8</v>
          </cell>
          <cell r="S21">
            <v>16</v>
          </cell>
          <cell r="T21">
            <v>17</v>
          </cell>
          <cell r="U21">
            <v>12</v>
          </cell>
          <cell r="V21">
            <v>9</v>
          </cell>
          <cell r="BF21">
            <v>0</v>
          </cell>
          <cell r="BG21">
            <v>9</v>
          </cell>
          <cell r="BH21">
            <v>15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4</v>
          </cell>
          <cell r="T22">
            <v>30</v>
          </cell>
          <cell r="U22">
            <v>12</v>
          </cell>
          <cell r="V22">
            <v>3</v>
          </cell>
          <cell r="BF22">
            <v>4</v>
          </cell>
          <cell r="BG22">
            <v>9</v>
          </cell>
          <cell r="BH22">
            <v>9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5</v>
          </cell>
          <cell r="T23">
            <v>12</v>
          </cell>
          <cell r="U23">
            <v>13</v>
          </cell>
          <cell r="V23">
            <v>11</v>
          </cell>
          <cell r="BF23">
            <v>20</v>
          </cell>
          <cell r="BG23">
            <v>9</v>
          </cell>
          <cell r="BH23">
            <v>8</v>
          </cell>
        </row>
        <row r="24">
          <cell r="B24">
            <v>0</v>
          </cell>
          <cell r="C24">
            <v>8</v>
          </cell>
          <cell r="D24">
            <v>0</v>
          </cell>
          <cell r="E24">
            <v>0</v>
          </cell>
          <cell r="O24">
            <v>8</v>
          </cell>
          <cell r="S24">
            <v>4</v>
          </cell>
          <cell r="T24">
            <v>0</v>
          </cell>
          <cell r="U24">
            <v>13</v>
          </cell>
          <cell r="V24">
            <v>18</v>
          </cell>
          <cell r="BF24">
            <v>12</v>
          </cell>
          <cell r="BG24">
            <v>8</v>
          </cell>
          <cell r="BH24">
            <v>1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O25">
            <v>8</v>
          </cell>
          <cell r="S25">
            <v>15</v>
          </cell>
          <cell r="T25">
            <v>0</v>
          </cell>
          <cell r="U25">
            <v>13</v>
          </cell>
          <cell r="V25">
            <v>13</v>
          </cell>
          <cell r="BF25">
            <v>6</v>
          </cell>
          <cell r="BG25">
            <v>8</v>
          </cell>
          <cell r="BH25">
            <v>5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O26">
            <v>8</v>
          </cell>
          <cell r="S26">
            <v>19</v>
          </cell>
          <cell r="T26">
            <v>13</v>
          </cell>
          <cell r="U26">
            <v>13</v>
          </cell>
          <cell r="V26">
            <v>12</v>
          </cell>
          <cell r="BF26">
            <v>0</v>
          </cell>
          <cell r="BG26">
            <v>9</v>
          </cell>
          <cell r="BH26">
            <v>12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O27">
            <v>8</v>
          </cell>
          <cell r="S27">
            <v>12</v>
          </cell>
          <cell r="T27">
            <v>30</v>
          </cell>
          <cell r="U27">
            <v>12</v>
          </cell>
          <cell r="V27">
            <v>4</v>
          </cell>
          <cell r="BF27">
            <v>0</v>
          </cell>
          <cell r="BG27">
            <v>9</v>
          </cell>
          <cell r="BH27">
            <v>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S28">
            <v>9</v>
          </cell>
          <cell r="T28">
            <v>20</v>
          </cell>
          <cell r="U28">
            <v>12</v>
          </cell>
          <cell r="V28">
            <v>8</v>
          </cell>
          <cell r="BF28">
            <v>13</v>
          </cell>
          <cell r="BG28">
            <v>9</v>
          </cell>
          <cell r="BH28">
            <v>11</v>
          </cell>
        </row>
        <row r="29">
          <cell r="B29">
            <v>0</v>
          </cell>
          <cell r="C29">
            <v>1</v>
          </cell>
          <cell r="D29">
            <v>0</v>
          </cell>
          <cell r="E29">
            <v>0</v>
          </cell>
          <cell r="O29">
            <v>8</v>
          </cell>
          <cell r="S29">
            <v>1</v>
          </cell>
          <cell r="T29">
            <v>0</v>
          </cell>
          <cell r="U29">
            <v>13</v>
          </cell>
          <cell r="V29">
            <v>15</v>
          </cell>
          <cell r="BF29">
            <v>12</v>
          </cell>
          <cell r="BG29">
            <v>9</v>
          </cell>
          <cell r="BH29">
            <v>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O30">
            <v>8</v>
          </cell>
          <cell r="S30">
            <v>9</v>
          </cell>
          <cell r="T30">
            <v>0</v>
          </cell>
          <cell r="U30">
            <v>13</v>
          </cell>
          <cell r="V30">
            <v>12</v>
          </cell>
          <cell r="BF30">
            <v>14</v>
          </cell>
          <cell r="BG30">
            <v>8</v>
          </cell>
          <cell r="BH30">
            <v>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O31">
            <v>8</v>
          </cell>
          <cell r="S31">
            <v>20</v>
          </cell>
          <cell r="T31">
            <v>1</v>
          </cell>
          <cell r="U31">
            <v>13</v>
          </cell>
          <cell r="V31">
            <v>15</v>
          </cell>
          <cell r="BF31">
            <v>0</v>
          </cell>
          <cell r="BG31">
            <v>8</v>
          </cell>
          <cell r="BH31">
            <v>11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O32">
            <v>8</v>
          </cell>
          <cell r="S32">
            <v>13</v>
          </cell>
          <cell r="T32">
            <v>26</v>
          </cell>
          <cell r="U32">
            <v>13</v>
          </cell>
          <cell r="V32">
            <v>7</v>
          </cell>
          <cell r="BF32">
            <v>0</v>
          </cell>
          <cell r="BG32">
            <v>9</v>
          </cell>
          <cell r="BH32">
            <v>7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19</v>
          </cell>
          <cell r="T33">
            <v>22</v>
          </cell>
          <cell r="U33">
            <v>12</v>
          </cell>
          <cell r="V33">
            <v>7</v>
          </cell>
          <cell r="BF33">
            <v>8</v>
          </cell>
          <cell r="BG33">
            <v>9</v>
          </cell>
          <cell r="BH33">
            <v>10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2</v>
          </cell>
          <cell r="T34">
            <v>12</v>
          </cell>
          <cell r="U34">
            <v>12</v>
          </cell>
          <cell r="V34">
            <v>14</v>
          </cell>
          <cell r="BF34">
            <v>7</v>
          </cell>
          <cell r="BG34">
            <v>9</v>
          </cell>
          <cell r="BH34">
            <v>7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O35">
            <v>8</v>
          </cell>
          <cell r="S35">
            <v>5</v>
          </cell>
          <cell r="T35">
            <v>5</v>
          </cell>
          <cell r="U35">
            <v>13</v>
          </cell>
          <cell r="V35">
            <v>10</v>
          </cell>
          <cell r="BF35">
            <v>15</v>
          </cell>
          <cell r="BG35">
            <v>9</v>
          </cell>
          <cell r="BH35">
            <v>4</v>
          </cell>
        </row>
        <row r="36">
          <cell r="B36">
            <v>0</v>
          </cell>
          <cell r="C36">
            <v>3</v>
          </cell>
          <cell r="D36">
            <v>0</v>
          </cell>
          <cell r="E36">
            <v>0</v>
          </cell>
          <cell r="O36">
            <v>8</v>
          </cell>
          <cell r="S36">
            <v>16</v>
          </cell>
          <cell r="T36">
            <v>0</v>
          </cell>
          <cell r="U36">
            <v>13</v>
          </cell>
          <cell r="V36">
            <v>13</v>
          </cell>
          <cell r="BF36">
            <v>6</v>
          </cell>
          <cell r="BG36">
            <v>8</v>
          </cell>
          <cell r="BH36">
            <v>10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O37">
            <v>8</v>
          </cell>
          <cell r="S37">
            <v>9</v>
          </cell>
          <cell r="T37">
            <v>14</v>
          </cell>
          <cell r="U37">
            <v>13</v>
          </cell>
          <cell r="V37">
            <v>11</v>
          </cell>
          <cell r="BF37">
            <v>0</v>
          </cell>
          <cell r="BG37">
            <v>8</v>
          </cell>
          <cell r="BH37">
            <v>8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O38">
            <v>8</v>
          </cell>
          <cell r="S38">
            <v>16</v>
          </cell>
          <cell r="T38">
            <v>21</v>
          </cell>
          <cell r="U38">
            <v>13</v>
          </cell>
          <cell r="V38">
            <v>8</v>
          </cell>
          <cell r="BF38">
            <v>9</v>
          </cell>
          <cell r="BG38">
            <v>9</v>
          </cell>
          <cell r="BH38">
            <v>7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12</v>
          </cell>
          <cell r="T4">
            <v>20</v>
          </cell>
          <cell r="U4">
            <v>20</v>
          </cell>
          <cell r="V4">
            <v>12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20</v>
          </cell>
          <cell r="U5">
            <v>16</v>
          </cell>
          <cell r="V5">
            <v>12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8</v>
          </cell>
          <cell r="T6">
            <v>12</v>
          </cell>
          <cell r="U6">
            <v>12</v>
          </cell>
          <cell r="V6">
            <v>12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8</v>
          </cell>
          <cell r="T7">
            <v>12</v>
          </cell>
          <cell r="U7">
            <v>8</v>
          </cell>
          <cell r="V7">
            <v>12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12</v>
          </cell>
          <cell r="U8">
            <v>8</v>
          </cell>
          <cell r="V8">
            <v>12</v>
          </cell>
          <cell r="BF8">
            <v>0</v>
          </cell>
          <cell r="BG8">
            <v>8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8</v>
          </cell>
          <cell r="BF9">
            <v>0</v>
          </cell>
          <cell r="BG9">
            <v>10</v>
          </cell>
          <cell r="BH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16</v>
          </cell>
          <cell r="T10">
            <v>12</v>
          </cell>
          <cell r="U10">
            <v>8</v>
          </cell>
          <cell r="V10">
            <v>6</v>
          </cell>
          <cell r="BF10">
            <v>0</v>
          </cell>
          <cell r="BG10">
            <v>10</v>
          </cell>
          <cell r="BH10">
            <v>9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3</v>
          </cell>
          <cell r="T11">
            <v>12</v>
          </cell>
          <cell r="U11">
            <v>12</v>
          </cell>
          <cell r="V11">
            <v>2</v>
          </cell>
          <cell r="BF11">
            <v>0</v>
          </cell>
          <cell r="BG11">
            <v>9</v>
          </cell>
          <cell r="BH11">
            <v>13</v>
          </cell>
        </row>
        <row r="12">
          <cell r="B12">
            <v>1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0</v>
          </cell>
          <cell r="T12">
            <v>12</v>
          </cell>
          <cell r="U12">
            <v>14</v>
          </cell>
          <cell r="V12">
            <v>3</v>
          </cell>
          <cell r="BF12">
            <v>22</v>
          </cell>
          <cell r="BG12">
            <v>8</v>
          </cell>
          <cell r="BH12">
            <v>13</v>
          </cell>
        </row>
        <row r="13">
          <cell r="B13">
            <v>1</v>
          </cell>
          <cell r="C13">
            <v>10</v>
          </cell>
          <cell r="D13">
            <v>0</v>
          </cell>
          <cell r="E13">
            <v>0</v>
          </cell>
          <cell r="O13">
            <v>8</v>
          </cell>
          <cell r="S13">
            <v>0</v>
          </cell>
          <cell r="T13">
            <v>0</v>
          </cell>
          <cell r="U13">
            <v>14</v>
          </cell>
          <cell r="V13">
            <v>13</v>
          </cell>
          <cell r="BF13">
            <v>20</v>
          </cell>
          <cell r="BG13">
            <v>8</v>
          </cell>
          <cell r="BH13">
            <v>6</v>
          </cell>
        </row>
        <row r="14">
          <cell r="B14">
            <v>0</v>
          </cell>
          <cell r="C14">
            <v>8</v>
          </cell>
          <cell r="D14">
            <v>0</v>
          </cell>
          <cell r="E14">
            <v>0</v>
          </cell>
          <cell r="O14">
            <v>8</v>
          </cell>
          <cell r="S14">
            <v>6</v>
          </cell>
          <cell r="T14">
            <v>0</v>
          </cell>
          <cell r="U14">
            <v>13</v>
          </cell>
          <cell r="V14">
            <v>16</v>
          </cell>
          <cell r="BF14">
            <v>8</v>
          </cell>
          <cell r="BG14">
            <v>9</v>
          </cell>
          <cell r="BH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O15">
            <v>8</v>
          </cell>
          <cell r="S15">
            <v>24</v>
          </cell>
          <cell r="T15">
            <v>4</v>
          </cell>
          <cell r="U15">
            <v>12</v>
          </cell>
          <cell r="V15">
            <v>15</v>
          </cell>
          <cell r="BF15">
            <v>0</v>
          </cell>
          <cell r="BG15">
            <v>10</v>
          </cell>
          <cell r="BH15">
            <v>3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21</v>
          </cell>
          <cell r="T16">
            <v>26</v>
          </cell>
          <cell r="U16">
            <v>12</v>
          </cell>
          <cell r="V16">
            <v>8</v>
          </cell>
          <cell r="BF16">
            <v>0</v>
          </cell>
          <cell r="BG16">
            <v>10</v>
          </cell>
          <cell r="BH16">
            <v>10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10</v>
          </cell>
          <cell r="T17">
            <v>24</v>
          </cell>
          <cell r="U17">
            <v>13</v>
          </cell>
          <cell r="V17">
            <v>2</v>
          </cell>
          <cell r="BF17">
            <v>0</v>
          </cell>
          <cell r="BG17">
            <v>9</v>
          </cell>
          <cell r="BH17">
            <v>15</v>
          </cell>
        </row>
        <row r="18">
          <cell r="B18">
            <v>3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0</v>
          </cell>
          <cell r="T18">
            <v>12</v>
          </cell>
          <cell r="U18">
            <v>14</v>
          </cell>
          <cell r="V18">
            <v>6</v>
          </cell>
          <cell r="BF18">
            <v>25</v>
          </cell>
          <cell r="BG18">
            <v>9</v>
          </cell>
          <cell r="BH18">
            <v>13</v>
          </cell>
        </row>
        <row r="19">
          <cell r="B19">
            <v>1</v>
          </cell>
          <cell r="C19">
            <v>13</v>
          </cell>
          <cell r="D19">
            <v>0</v>
          </cell>
          <cell r="E19">
            <v>0</v>
          </cell>
          <cell r="O19">
            <v>8</v>
          </cell>
          <cell r="S19">
            <v>0</v>
          </cell>
          <cell r="T19">
            <v>0</v>
          </cell>
          <cell r="U19">
            <v>16</v>
          </cell>
          <cell r="V19">
            <v>13</v>
          </cell>
          <cell r="BF19">
            <v>31</v>
          </cell>
          <cell r="BG19">
            <v>9</v>
          </cell>
          <cell r="BH19">
            <v>4</v>
          </cell>
        </row>
        <row r="20">
          <cell r="B20">
            <v>0</v>
          </cell>
          <cell r="C20">
            <v>19</v>
          </cell>
          <cell r="D20">
            <v>0</v>
          </cell>
          <cell r="E20">
            <v>0</v>
          </cell>
          <cell r="O20">
            <v>8</v>
          </cell>
          <cell r="S20">
            <v>8</v>
          </cell>
          <cell r="T20">
            <v>0</v>
          </cell>
          <cell r="U20">
            <v>17</v>
          </cell>
          <cell r="V20">
            <v>15</v>
          </cell>
          <cell r="BF20">
            <v>0</v>
          </cell>
          <cell r="BG20">
            <v>8</v>
          </cell>
          <cell r="BH20">
            <v>3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O21">
            <v>8</v>
          </cell>
          <cell r="S21">
            <v>21</v>
          </cell>
          <cell r="T21">
            <v>12</v>
          </cell>
          <cell r="U21">
            <v>13</v>
          </cell>
          <cell r="V21">
            <v>16</v>
          </cell>
          <cell r="BF21">
            <v>0</v>
          </cell>
          <cell r="BG21">
            <v>8</v>
          </cell>
          <cell r="BH21">
            <v>6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18</v>
          </cell>
          <cell r="T22">
            <v>30</v>
          </cell>
          <cell r="U22">
            <v>13</v>
          </cell>
          <cell r="V22">
            <v>8</v>
          </cell>
          <cell r="BF22">
            <v>0</v>
          </cell>
          <cell r="BG22">
            <v>10</v>
          </cell>
          <cell r="BH22">
            <v>7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5</v>
          </cell>
          <cell r="T23">
            <v>34</v>
          </cell>
          <cell r="U23">
            <v>12</v>
          </cell>
          <cell r="V23">
            <v>5</v>
          </cell>
          <cell r="BF23">
            <v>13</v>
          </cell>
          <cell r="BG23">
            <v>10</v>
          </cell>
          <cell r="BH23">
            <v>11</v>
          </cell>
        </row>
        <row r="24">
          <cell r="B24">
            <v>0</v>
          </cell>
          <cell r="C24">
            <v>1</v>
          </cell>
          <cell r="D24">
            <v>0</v>
          </cell>
          <cell r="E24">
            <v>0</v>
          </cell>
          <cell r="O24">
            <v>8</v>
          </cell>
          <cell r="S24">
            <v>1</v>
          </cell>
          <cell r="T24">
            <v>0</v>
          </cell>
          <cell r="U24">
            <v>12</v>
          </cell>
          <cell r="V24">
            <v>8</v>
          </cell>
          <cell r="BF24">
            <v>15</v>
          </cell>
          <cell r="BG24">
            <v>10</v>
          </cell>
          <cell r="BH24">
            <v>11</v>
          </cell>
        </row>
        <row r="25">
          <cell r="B25">
            <v>0</v>
          </cell>
          <cell r="C25">
            <v>3</v>
          </cell>
          <cell r="D25">
            <v>0</v>
          </cell>
          <cell r="E25">
            <v>0</v>
          </cell>
          <cell r="O25">
            <v>8</v>
          </cell>
          <cell r="S25">
            <v>1</v>
          </cell>
          <cell r="T25">
            <v>0</v>
          </cell>
          <cell r="U25">
            <v>14</v>
          </cell>
          <cell r="V25">
            <v>9</v>
          </cell>
          <cell r="BF25">
            <v>13</v>
          </cell>
          <cell r="BG25">
            <v>9</v>
          </cell>
          <cell r="BH25">
            <v>8</v>
          </cell>
        </row>
        <row r="26">
          <cell r="B26">
            <v>0</v>
          </cell>
          <cell r="C26">
            <v>1</v>
          </cell>
          <cell r="D26">
            <v>0</v>
          </cell>
          <cell r="E26">
            <v>0</v>
          </cell>
          <cell r="O26">
            <v>8</v>
          </cell>
          <cell r="S26">
            <v>16</v>
          </cell>
          <cell r="T26">
            <v>0</v>
          </cell>
          <cell r="U26">
            <v>14</v>
          </cell>
          <cell r="V26">
            <v>14</v>
          </cell>
          <cell r="BF26">
            <v>5</v>
          </cell>
          <cell r="BG26">
            <v>8</v>
          </cell>
          <cell r="BH26">
            <v>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O27">
            <v>8</v>
          </cell>
          <cell r="S27">
            <v>17</v>
          </cell>
          <cell r="T27">
            <v>15</v>
          </cell>
          <cell r="U27">
            <v>14</v>
          </cell>
          <cell r="V27">
            <v>15</v>
          </cell>
          <cell r="BF27">
            <v>0</v>
          </cell>
          <cell r="BG27">
            <v>9</v>
          </cell>
          <cell r="BH27">
            <v>4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S28">
            <v>20</v>
          </cell>
          <cell r="T28">
            <v>21</v>
          </cell>
          <cell r="U28">
            <v>13</v>
          </cell>
          <cell r="V28">
            <v>11</v>
          </cell>
          <cell r="BF28">
            <v>5</v>
          </cell>
          <cell r="BG28">
            <v>9</v>
          </cell>
          <cell r="BH28">
            <v>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12</v>
          </cell>
          <cell r="T29">
            <v>12</v>
          </cell>
          <cell r="U29">
            <v>12</v>
          </cell>
          <cell r="V29">
            <v>10</v>
          </cell>
          <cell r="BF29">
            <v>0</v>
          </cell>
          <cell r="BG29">
            <v>10</v>
          </cell>
          <cell r="BH29">
            <v>10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O30">
            <v>8</v>
          </cell>
          <cell r="S30">
            <v>2</v>
          </cell>
          <cell r="T30">
            <v>12</v>
          </cell>
          <cell r="U30">
            <v>13</v>
          </cell>
          <cell r="V30">
            <v>6</v>
          </cell>
          <cell r="BF30">
            <v>13</v>
          </cell>
          <cell r="BG30">
            <v>10</v>
          </cell>
          <cell r="BH30">
            <v>10</v>
          </cell>
        </row>
        <row r="31">
          <cell r="B31">
            <v>0</v>
          </cell>
          <cell r="C31">
            <v>1</v>
          </cell>
          <cell r="D31">
            <v>0</v>
          </cell>
          <cell r="E31">
            <v>0</v>
          </cell>
          <cell r="O31">
            <v>8</v>
          </cell>
          <cell r="S31">
            <v>7</v>
          </cell>
          <cell r="T31">
            <v>0</v>
          </cell>
          <cell r="U31">
            <v>13</v>
          </cell>
          <cell r="V31">
            <v>7</v>
          </cell>
          <cell r="BF31">
            <v>19</v>
          </cell>
          <cell r="BG31">
            <v>9</v>
          </cell>
          <cell r="BH31">
            <v>11</v>
          </cell>
        </row>
        <row r="32">
          <cell r="B32">
            <v>0</v>
          </cell>
          <cell r="C32">
            <v>7</v>
          </cell>
          <cell r="D32">
            <v>0</v>
          </cell>
          <cell r="E32">
            <v>0</v>
          </cell>
          <cell r="O32">
            <v>8</v>
          </cell>
          <cell r="S32">
            <v>1</v>
          </cell>
          <cell r="T32">
            <v>0</v>
          </cell>
          <cell r="U32">
            <v>14</v>
          </cell>
          <cell r="V32">
            <v>13</v>
          </cell>
          <cell r="BF32">
            <v>2</v>
          </cell>
          <cell r="BG32">
            <v>9</v>
          </cell>
          <cell r="BH32">
            <v>8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16</v>
          </cell>
          <cell r="T33">
            <v>10</v>
          </cell>
          <cell r="U33">
            <v>14</v>
          </cell>
          <cell r="V33">
            <v>13</v>
          </cell>
          <cell r="BF33">
            <v>14</v>
          </cell>
          <cell r="BG33">
            <v>9</v>
          </cell>
          <cell r="BH33">
            <v>3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21</v>
          </cell>
          <cell r="T34">
            <v>6</v>
          </cell>
          <cell r="U34">
            <v>13</v>
          </cell>
          <cell r="V34">
            <v>14</v>
          </cell>
          <cell r="BF34">
            <v>0</v>
          </cell>
          <cell r="BG34">
            <v>9</v>
          </cell>
          <cell r="BH34">
            <v>7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O35">
            <v>8</v>
          </cell>
          <cell r="S35">
            <v>7</v>
          </cell>
          <cell r="T35">
            <v>24</v>
          </cell>
          <cell r="U35">
            <v>13</v>
          </cell>
          <cell r="V35">
            <v>11</v>
          </cell>
          <cell r="BF35">
            <v>0</v>
          </cell>
          <cell r="BG35">
            <v>9</v>
          </cell>
          <cell r="BH35">
            <v>8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O36">
            <v>8</v>
          </cell>
          <cell r="S36">
            <v>18</v>
          </cell>
          <cell r="T36">
            <v>12</v>
          </cell>
          <cell r="U36">
            <v>13</v>
          </cell>
          <cell r="V36">
            <v>5</v>
          </cell>
          <cell r="BF36">
            <v>13</v>
          </cell>
          <cell r="BG36">
            <v>9</v>
          </cell>
          <cell r="BH36">
            <v>10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O37">
            <v>8</v>
          </cell>
          <cell r="S37">
            <v>2</v>
          </cell>
          <cell r="T37">
            <v>2</v>
          </cell>
          <cell r="U37">
            <v>13</v>
          </cell>
          <cell r="V37">
            <v>10</v>
          </cell>
          <cell r="BF37">
            <v>4</v>
          </cell>
          <cell r="BG37">
            <v>9</v>
          </cell>
          <cell r="BH37">
            <v>11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O38">
            <v>8</v>
          </cell>
          <cell r="S38">
            <v>1</v>
          </cell>
          <cell r="T38">
            <v>8</v>
          </cell>
          <cell r="U38">
            <v>13</v>
          </cell>
          <cell r="V38">
            <v>11</v>
          </cell>
          <cell r="BF38">
            <v>25</v>
          </cell>
          <cell r="BG38">
            <v>9</v>
          </cell>
          <cell r="BH38">
            <v>5</v>
          </cell>
        </row>
      </sheetData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_Outcome"/>
      <sheetName val="CRP_Outcome_Baseline"/>
      <sheetName val="Compare"/>
      <sheetName val="CRP_Outcome_ELV"/>
      <sheetName val="CRP_Outcome_CRP"/>
      <sheetName val="Analysis"/>
      <sheetName val="Graphs ELV"/>
      <sheetName val="Graphs CRP"/>
    </sheetNames>
    <sheetDataSet>
      <sheetData sheetId="0"/>
      <sheetData sheetId="1"/>
      <sheetData sheetId="2"/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8</v>
          </cell>
          <cell r="T4">
            <v>20</v>
          </cell>
          <cell r="U4">
            <v>12</v>
          </cell>
          <cell r="V4">
            <v>12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12</v>
          </cell>
          <cell r="U5">
            <v>16</v>
          </cell>
          <cell r="V5">
            <v>12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8</v>
          </cell>
          <cell r="T6">
            <v>12</v>
          </cell>
          <cell r="U6">
            <v>12</v>
          </cell>
          <cell r="V6">
            <v>12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12</v>
          </cell>
          <cell r="T7">
            <v>12</v>
          </cell>
          <cell r="U7">
            <v>8</v>
          </cell>
          <cell r="V7">
            <v>12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12</v>
          </cell>
          <cell r="U8">
            <v>8</v>
          </cell>
          <cell r="V8">
            <v>12</v>
          </cell>
          <cell r="BF8">
            <v>0</v>
          </cell>
          <cell r="BG8">
            <v>4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12</v>
          </cell>
          <cell r="BF9">
            <v>2</v>
          </cell>
          <cell r="BG9">
            <v>6</v>
          </cell>
          <cell r="BH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16</v>
          </cell>
          <cell r="T10">
            <v>10</v>
          </cell>
          <cell r="U10">
            <v>8</v>
          </cell>
          <cell r="V10">
            <v>10</v>
          </cell>
          <cell r="BF10">
            <v>0</v>
          </cell>
          <cell r="BG10">
            <v>6</v>
          </cell>
          <cell r="BH10">
            <v>2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10</v>
          </cell>
          <cell r="T11">
            <v>12</v>
          </cell>
          <cell r="U11">
            <v>8</v>
          </cell>
          <cell r="V11">
            <v>6</v>
          </cell>
          <cell r="BF11">
            <v>0</v>
          </cell>
          <cell r="BG11">
            <v>6</v>
          </cell>
          <cell r="BH11">
            <v>9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5</v>
          </cell>
          <cell r="T12">
            <v>12</v>
          </cell>
          <cell r="U12">
            <v>10</v>
          </cell>
          <cell r="V12">
            <v>6</v>
          </cell>
          <cell r="BF12">
            <v>0</v>
          </cell>
          <cell r="BG12">
            <v>6</v>
          </cell>
          <cell r="BH12">
            <v>7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O13">
            <v>8</v>
          </cell>
          <cell r="S13">
            <v>5</v>
          </cell>
          <cell r="T13">
            <v>12</v>
          </cell>
          <cell r="U13">
            <v>10</v>
          </cell>
          <cell r="V13">
            <v>8</v>
          </cell>
          <cell r="BF13">
            <v>11</v>
          </cell>
          <cell r="BG13">
            <v>5</v>
          </cell>
          <cell r="BH13">
            <v>3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O14">
            <v>8</v>
          </cell>
          <cell r="S14">
            <v>9</v>
          </cell>
          <cell r="T14">
            <v>1</v>
          </cell>
          <cell r="U14">
            <v>10</v>
          </cell>
          <cell r="V14">
            <v>16</v>
          </cell>
          <cell r="BF14">
            <v>8</v>
          </cell>
          <cell r="BG14">
            <v>6</v>
          </cell>
          <cell r="BH14">
            <v>1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O15">
            <v>8</v>
          </cell>
          <cell r="S15">
            <v>11</v>
          </cell>
          <cell r="T15">
            <v>4</v>
          </cell>
          <cell r="U15">
            <v>10</v>
          </cell>
          <cell r="V15">
            <v>13</v>
          </cell>
          <cell r="BF15">
            <v>0</v>
          </cell>
          <cell r="BG15">
            <v>6</v>
          </cell>
          <cell r="BH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23</v>
          </cell>
          <cell r="T16">
            <v>12</v>
          </cell>
          <cell r="U16">
            <v>9</v>
          </cell>
          <cell r="V16">
            <v>9</v>
          </cell>
          <cell r="BF16">
            <v>0</v>
          </cell>
          <cell r="BG16">
            <v>6</v>
          </cell>
          <cell r="BH16">
            <v>8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12</v>
          </cell>
          <cell r="T17">
            <v>16</v>
          </cell>
          <cell r="U17">
            <v>10</v>
          </cell>
          <cell r="V17">
            <v>7</v>
          </cell>
          <cell r="BF17">
            <v>0</v>
          </cell>
          <cell r="BG17">
            <v>6</v>
          </cell>
          <cell r="BH17">
            <v>8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4</v>
          </cell>
          <cell r="T18">
            <v>14</v>
          </cell>
          <cell r="U18">
            <v>10</v>
          </cell>
          <cell r="V18">
            <v>6</v>
          </cell>
          <cell r="BF18">
            <v>7</v>
          </cell>
          <cell r="BG18">
            <v>5</v>
          </cell>
          <cell r="BH18">
            <v>5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O19">
            <v>8</v>
          </cell>
          <cell r="S19">
            <v>7</v>
          </cell>
          <cell r="T19">
            <v>5</v>
          </cell>
          <cell r="U19">
            <v>10</v>
          </cell>
          <cell r="V19">
            <v>15</v>
          </cell>
          <cell r="BF19">
            <v>11</v>
          </cell>
          <cell r="BG19">
            <v>6</v>
          </cell>
          <cell r="BH19">
            <v>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O20">
            <v>8</v>
          </cell>
          <cell r="S20">
            <v>10</v>
          </cell>
          <cell r="T20">
            <v>1</v>
          </cell>
          <cell r="U20">
            <v>10</v>
          </cell>
          <cell r="V20">
            <v>14</v>
          </cell>
          <cell r="BF20">
            <v>4</v>
          </cell>
          <cell r="BG20">
            <v>6</v>
          </cell>
          <cell r="BH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O21">
            <v>8</v>
          </cell>
          <cell r="S21">
            <v>19</v>
          </cell>
          <cell r="T21">
            <v>8</v>
          </cell>
          <cell r="U21">
            <v>9</v>
          </cell>
          <cell r="V21">
            <v>11</v>
          </cell>
          <cell r="BF21">
            <v>0</v>
          </cell>
          <cell r="BG21">
            <v>6</v>
          </cell>
          <cell r="BH21">
            <v>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19</v>
          </cell>
          <cell r="T22">
            <v>13</v>
          </cell>
          <cell r="U22">
            <v>10</v>
          </cell>
          <cell r="V22">
            <v>8</v>
          </cell>
          <cell r="BF22">
            <v>0</v>
          </cell>
          <cell r="BG22">
            <v>6</v>
          </cell>
          <cell r="BH22">
            <v>9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7</v>
          </cell>
          <cell r="T23">
            <v>18</v>
          </cell>
          <cell r="U23">
            <v>10</v>
          </cell>
          <cell r="V23">
            <v>6</v>
          </cell>
          <cell r="BF23">
            <v>0</v>
          </cell>
          <cell r="BG23">
            <v>5</v>
          </cell>
          <cell r="BH23">
            <v>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O24">
            <v>8</v>
          </cell>
          <cell r="S24">
            <v>6</v>
          </cell>
          <cell r="T24">
            <v>12</v>
          </cell>
          <cell r="U24">
            <v>10</v>
          </cell>
          <cell r="V24">
            <v>11</v>
          </cell>
          <cell r="BF24">
            <v>12</v>
          </cell>
          <cell r="BG24">
            <v>6</v>
          </cell>
          <cell r="BH24">
            <v>4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O25">
            <v>8</v>
          </cell>
          <cell r="S25">
            <v>8</v>
          </cell>
          <cell r="T25">
            <v>0</v>
          </cell>
          <cell r="U25">
            <v>8</v>
          </cell>
          <cell r="V25">
            <v>15</v>
          </cell>
          <cell r="BF25">
            <v>8</v>
          </cell>
          <cell r="BG25">
            <v>6</v>
          </cell>
          <cell r="BH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O26">
            <v>8</v>
          </cell>
          <cell r="S26">
            <v>12</v>
          </cell>
          <cell r="T26">
            <v>4</v>
          </cell>
          <cell r="U26">
            <v>9</v>
          </cell>
          <cell r="V26">
            <v>12</v>
          </cell>
          <cell r="BF26">
            <v>1</v>
          </cell>
          <cell r="BG26">
            <v>7</v>
          </cell>
          <cell r="BH26">
            <v>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O27">
            <v>8</v>
          </cell>
          <cell r="S27">
            <v>23</v>
          </cell>
          <cell r="T27">
            <v>11</v>
          </cell>
          <cell r="U27">
            <v>10</v>
          </cell>
          <cell r="V27">
            <v>9</v>
          </cell>
          <cell r="BF27">
            <v>0</v>
          </cell>
          <cell r="BG27">
            <v>5</v>
          </cell>
          <cell r="BH27">
            <v>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S28">
            <v>11</v>
          </cell>
          <cell r="T28">
            <v>18</v>
          </cell>
          <cell r="U28">
            <v>10</v>
          </cell>
          <cell r="V28">
            <v>7</v>
          </cell>
          <cell r="BF28">
            <v>0</v>
          </cell>
          <cell r="BG28">
            <v>5</v>
          </cell>
          <cell r="BH28">
            <v>9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4</v>
          </cell>
          <cell r="T29">
            <v>14</v>
          </cell>
          <cell r="U29">
            <v>11</v>
          </cell>
          <cell r="V29">
            <v>8</v>
          </cell>
          <cell r="BF29">
            <v>8</v>
          </cell>
          <cell r="BG29">
            <v>6</v>
          </cell>
          <cell r="BH29">
            <v>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O30">
            <v>8</v>
          </cell>
          <cell r="S30">
            <v>10</v>
          </cell>
          <cell r="T30">
            <v>4</v>
          </cell>
          <cell r="U30">
            <v>9</v>
          </cell>
          <cell r="V30">
            <v>15</v>
          </cell>
          <cell r="BF30">
            <v>13</v>
          </cell>
          <cell r="BG30">
            <v>6</v>
          </cell>
          <cell r="BH30">
            <v>0</v>
          </cell>
        </row>
        <row r="31">
          <cell r="B31">
            <v>0</v>
          </cell>
          <cell r="C31">
            <v>1</v>
          </cell>
          <cell r="D31">
            <v>0</v>
          </cell>
          <cell r="E31">
            <v>0</v>
          </cell>
          <cell r="O31">
            <v>8</v>
          </cell>
          <cell r="S31">
            <v>12</v>
          </cell>
          <cell r="T31">
            <v>0</v>
          </cell>
          <cell r="U31">
            <v>9</v>
          </cell>
          <cell r="V31">
            <v>15</v>
          </cell>
          <cell r="BF31">
            <v>0</v>
          </cell>
          <cell r="BG31">
            <v>6</v>
          </cell>
          <cell r="BH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O32">
            <v>8</v>
          </cell>
          <cell r="S32">
            <v>20</v>
          </cell>
          <cell r="T32">
            <v>12</v>
          </cell>
          <cell r="U32">
            <v>10</v>
          </cell>
          <cell r="V32">
            <v>8</v>
          </cell>
          <cell r="BF32">
            <v>0</v>
          </cell>
          <cell r="BG32">
            <v>6</v>
          </cell>
          <cell r="BH32">
            <v>8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16</v>
          </cell>
          <cell r="T33">
            <v>14</v>
          </cell>
          <cell r="U33">
            <v>10</v>
          </cell>
          <cell r="V33">
            <v>6</v>
          </cell>
          <cell r="BF33">
            <v>0</v>
          </cell>
          <cell r="BG33">
            <v>5</v>
          </cell>
          <cell r="BH33">
            <v>10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2</v>
          </cell>
          <cell r="T34">
            <v>19</v>
          </cell>
          <cell r="U34">
            <v>10</v>
          </cell>
          <cell r="V34">
            <v>7</v>
          </cell>
          <cell r="BF34">
            <v>4</v>
          </cell>
          <cell r="BG34">
            <v>6</v>
          </cell>
          <cell r="BH34">
            <v>5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O35">
            <v>8</v>
          </cell>
          <cell r="S35">
            <v>7</v>
          </cell>
          <cell r="T35">
            <v>8</v>
          </cell>
          <cell r="U35">
            <v>10</v>
          </cell>
          <cell r="V35">
            <v>14</v>
          </cell>
          <cell r="BF35">
            <v>16</v>
          </cell>
          <cell r="BG35">
            <v>6</v>
          </cell>
          <cell r="BH35">
            <v>0</v>
          </cell>
        </row>
        <row r="36">
          <cell r="B36">
            <v>0</v>
          </cell>
          <cell r="C36">
            <v>4</v>
          </cell>
          <cell r="D36">
            <v>0</v>
          </cell>
          <cell r="E36">
            <v>0</v>
          </cell>
          <cell r="O36">
            <v>8</v>
          </cell>
          <cell r="S36">
            <v>12</v>
          </cell>
          <cell r="T36">
            <v>0</v>
          </cell>
          <cell r="U36">
            <v>9</v>
          </cell>
          <cell r="V36">
            <v>16</v>
          </cell>
          <cell r="BF36">
            <v>4</v>
          </cell>
          <cell r="BG36">
            <v>6</v>
          </cell>
          <cell r="BH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O37">
            <v>8</v>
          </cell>
          <cell r="S37">
            <v>16</v>
          </cell>
          <cell r="T37">
            <v>8</v>
          </cell>
          <cell r="U37">
            <v>10</v>
          </cell>
          <cell r="V37">
            <v>11</v>
          </cell>
          <cell r="BF37">
            <v>0</v>
          </cell>
          <cell r="BG37">
            <v>6</v>
          </cell>
          <cell r="BH37">
            <v>5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O38">
            <v>8</v>
          </cell>
          <cell r="S38">
            <v>19</v>
          </cell>
          <cell r="T38">
            <v>12</v>
          </cell>
          <cell r="U38">
            <v>10</v>
          </cell>
          <cell r="V38">
            <v>6</v>
          </cell>
          <cell r="BF38">
            <v>0</v>
          </cell>
          <cell r="BG38">
            <v>5</v>
          </cell>
          <cell r="BH38">
            <v>10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12</v>
          </cell>
          <cell r="T4">
            <v>20</v>
          </cell>
          <cell r="U4">
            <v>16</v>
          </cell>
          <cell r="V4">
            <v>12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12</v>
          </cell>
          <cell r="U5">
            <v>16</v>
          </cell>
          <cell r="V5">
            <v>16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8</v>
          </cell>
          <cell r="T6">
            <v>12</v>
          </cell>
          <cell r="U6">
            <v>12</v>
          </cell>
          <cell r="V6">
            <v>12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12</v>
          </cell>
          <cell r="T7">
            <v>12</v>
          </cell>
          <cell r="U7">
            <v>8</v>
          </cell>
          <cell r="V7">
            <v>12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12</v>
          </cell>
          <cell r="U8">
            <v>8</v>
          </cell>
          <cell r="V8">
            <v>12</v>
          </cell>
          <cell r="BF8">
            <v>0</v>
          </cell>
          <cell r="BG8">
            <v>6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10</v>
          </cell>
          <cell r="BF9">
            <v>1</v>
          </cell>
          <cell r="BG9">
            <v>9</v>
          </cell>
          <cell r="BH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16</v>
          </cell>
          <cell r="T10">
            <v>11</v>
          </cell>
          <cell r="U10">
            <v>8</v>
          </cell>
          <cell r="V10">
            <v>7</v>
          </cell>
          <cell r="BF10">
            <v>0</v>
          </cell>
          <cell r="BG10">
            <v>10</v>
          </cell>
          <cell r="BH10">
            <v>7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5</v>
          </cell>
          <cell r="T11">
            <v>12</v>
          </cell>
          <cell r="U11">
            <v>10</v>
          </cell>
          <cell r="V11">
            <v>2</v>
          </cell>
          <cell r="BF11">
            <v>0</v>
          </cell>
          <cell r="BG11">
            <v>9</v>
          </cell>
          <cell r="BH11">
            <v>13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0</v>
          </cell>
          <cell r="T12">
            <v>12</v>
          </cell>
          <cell r="U12">
            <v>13</v>
          </cell>
          <cell r="V12">
            <v>3</v>
          </cell>
          <cell r="BF12">
            <v>7</v>
          </cell>
          <cell r="BG12">
            <v>8</v>
          </cell>
          <cell r="BH12">
            <v>14</v>
          </cell>
        </row>
        <row r="13">
          <cell r="B13">
            <v>2</v>
          </cell>
          <cell r="C13">
            <v>0</v>
          </cell>
          <cell r="D13">
            <v>0</v>
          </cell>
          <cell r="E13">
            <v>0</v>
          </cell>
          <cell r="O13">
            <v>8</v>
          </cell>
          <cell r="S13">
            <v>0</v>
          </cell>
          <cell r="T13">
            <v>5</v>
          </cell>
          <cell r="U13">
            <v>14</v>
          </cell>
          <cell r="V13">
            <v>11</v>
          </cell>
          <cell r="BF13">
            <v>16</v>
          </cell>
          <cell r="BG13">
            <v>7</v>
          </cell>
          <cell r="BH13">
            <v>6</v>
          </cell>
        </row>
        <row r="14">
          <cell r="B14">
            <v>0</v>
          </cell>
          <cell r="C14">
            <v>4</v>
          </cell>
          <cell r="D14">
            <v>0</v>
          </cell>
          <cell r="E14">
            <v>0</v>
          </cell>
          <cell r="O14">
            <v>8</v>
          </cell>
          <cell r="S14">
            <v>6</v>
          </cell>
          <cell r="T14">
            <v>0</v>
          </cell>
          <cell r="U14">
            <v>13</v>
          </cell>
          <cell r="V14">
            <v>18</v>
          </cell>
          <cell r="BF14">
            <v>18</v>
          </cell>
          <cell r="BG14">
            <v>8</v>
          </cell>
          <cell r="BH14">
            <v>0</v>
          </cell>
        </row>
        <row r="15">
          <cell r="B15">
            <v>0</v>
          </cell>
          <cell r="C15">
            <v>6</v>
          </cell>
          <cell r="D15">
            <v>0</v>
          </cell>
          <cell r="E15">
            <v>0</v>
          </cell>
          <cell r="O15">
            <v>8</v>
          </cell>
          <cell r="S15">
            <v>19</v>
          </cell>
          <cell r="T15">
            <v>0</v>
          </cell>
          <cell r="U15">
            <v>12</v>
          </cell>
          <cell r="V15">
            <v>16</v>
          </cell>
          <cell r="BF15">
            <v>3</v>
          </cell>
          <cell r="BG15">
            <v>9</v>
          </cell>
          <cell r="BH15">
            <v>2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22</v>
          </cell>
          <cell r="T16">
            <v>12</v>
          </cell>
          <cell r="U16">
            <v>11</v>
          </cell>
          <cell r="V16">
            <v>9</v>
          </cell>
          <cell r="BF16">
            <v>0</v>
          </cell>
          <cell r="BG16">
            <v>9</v>
          </cell>
          <cell r="BH16">
            <v>10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14</v>
          </cell>
          <cell r="T17">
            <v>27</v>
          </cell>
          <cell r="U17">
            <v>12</v>
          </cell>
          <cell r="V17">
            <v>3</v>
          </cell>
          <cell r="BF17">
            <v>0</v>
          </cell>
          <cell r="BG17">
            <v>9</v>
          </cell>
          <cell r="BH17">
            <v>15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0</v>
          </cell>
          <cell r="T18">
            <v>31</v>
          </cell>
          <cell r="U18">
            <v>13</v>
          </cell>
          <cell r="V18">
            <v>5</v>
          </cell>
          <cell r="BF18">
            <v>8</v>
          </cell>
          <cell r="BG18">
            <v>9</v>
          </cell>
          <cell r="BH18">
            <v>11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O19">
            <v>8</v>
          </cell>
          <cell r="S19">
            <v>1</v>
          </cell>
          <cell r="T19">
            <v>5</v>
          </cell>
          <cell r="U19">
            <v>13</v>
          </cell>
          <cell r="V19">
            <v>13</v>
          </cell>
          <cell r="BF19">
            <v>22</v>
          </cell>
          <cell r="BG19">
            <v>8</v>
          </cell>
          <cell r="BH19">
            <v>4</v>
          </cell>
        </row>
        <row r="20">
          <cell r="B20">
            <v>0</v>
          </cell>
          <cell r="C20">
            <v>10</v>
          </cell>
          <cell r="D20">
            <v>0</v>
          </cell>
          <cell r="E20">
            <v>0</v>
          </cell>
          <cell r="O20">
            <v>8</v>
          </cell>
          <cell r="S20">
            <v>8</v>
          </cell>
          <cell r="T20">
            <v>0</v>
          </cell>
          <cell r="U20">
            <v>13</v>
          </cell>
          <cell r="V20">
            <v>19</v>
          </cell>
          <cell r="BF20">
            <v>14</v>
          </cell>
          <cell r="BG20">
            <v>8</v>
          </cell>
          <cell r="BH20">
            <v>2</v>
          </cell>
        </row>
        <row r="21">
          <cell r="B21">
            <v>0</v>
          </cell>
          <cell r="C21">
            <v>2</v>
          </cell>
          <cell r="D21">
            <v>0</v>
          </cell>
          <cell r="E21">
            <v>0</v>
          </cell>
          <cell r="O21">
            <v>8</v>
          </cell>
          <cell r="S21">
            <v>18</v>
          </cell>
          <cell r="T21">
            <v>0</v>
          </cell>
          <cell r="U21">
            <v>13</v>
          </cell>
          <cell r="V21">
            <v>15</v>
          </cell>
          <cell r="BF21">
            <v>0</v>
          </cell>
          <cell r="BG21">
            <v>9</v>
          </cell>
          <cell r="BH21">
            <v>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20</v>
          </cell>
          <cell r="T22">
            <v>18</v>
          </cell>
          <cell r="U22">
            <v>12</v>
          </cell>
          <cell r="V22">
            <v>7</v>
          </cell>
          <cell r="BF22">
            <v>0</v>
          </cell>
          <cell r="BG22">
            <v>9</v>
          </cell>
          <cell r="BH22">
            <v>11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13</v>
          </cell>
          <cell r="T23">
            <v>35</v>
          </cell>
          <cell r="U23">
            <v>12</v>
          </cell>
          <cell r="V23">
            <v>5</v>
          </cell>
          <cell r="BF23">
            <v>0</v>
          </cell>
          <cell r="BG23">
            <v>9</v>
          </cell>
          <cell r="BH23">
            <v>14</v>
          </cell>
        </row>
        <row r="24">
          <cell r="B24">
            <v>2</v>
          </cell>
          <cell r="C24">
            <v>0</v>
          </cell>
          <cell r="D24">
            <v>0</v>
          </cell>
          <cell r="E24">
            <v>0</v>
          </cell>
          <cell r="O24">
            <v>8</v>
          </cell>
          <cell r="S24">
            <v>0</v>
          </cell>
          <cell r="T24">
            <v>28</v>
          </cell>
          <cell r="U24">
            <v>13</v>
          </cell>
          <cell r="V24">
            <v>7</v>
          </cell>
          <cell r="BF24">
            <v>13</v>
          </cell>
          <cell r="BG24">
            <v>9</v>
          </cell>
          <cell r="BH24">
            <v>9</v>
          </cell>
        </row>
        <row r="25">
          <cell r="B25">
            <v>0</v>
          </cell>
          <cell r="C25">
            <v>1</v>
          </cell>
          <cell r="D25">
            <v>0</v>
          </cell>
          <cell r="E25">
            <v>0</v>
          </cell>
          <cell r="O25">
            <v>8</v>
          </cell>
          <cell r="S25">
            <v>3</v>
          </cell>
          <cell r="T25">
            <v>0</v>
          </cell>
          <cell r="U25">
            <v>13</v>
          </cell>
          <cell r="V25">
            <v>14</v>
          </cell>
          <cell r="BF25">
            <v>22</v>
          </cell>
          <cell r="BG25">
            <v>8</v>
          </cell>
          <cell r="BH25">
            <v>4</v>
          </cell>
        </row>
        <row r="26">
          <cell r="B26">
            <v>0</v>
          </cell>
          <cell r="C26">
            <v>10</v>
          </cell>
          <cell r="D26">
            <v>0</v>
          </cell>
          <cell r="E26">
            <v>0</v>
          </cell>
          <cell r="O26">
            <v>8</v>
          </cell>
          <cell r="S26">
            <v>8</v>
          </cell>
          <cell r="T26">
            <v>0</v>
          </cell>
          <cell r="U26">
            <v>13</v>
          </cell>
          <cell r="V26">
            <v>16</v>
          </cell>
          <cell r="BF26">
            <v>9</v>
          </cell>
          <cell r="BG26">
            <v>8</v>
          </cell>
          <cell r="BH26">
            <v>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O27">
            <v>8</v>
          </cell>
          <cell r="S27">
            <v>19</v>
          </cell>
          <cell r="T27">
            <v>3</v>
          </cell>
          <cell r="U27">
            <v>13</v>
          </cell>
          <cell r="V27">
            <v>13</v>
          </cell>
          <cell r="BF27">
            <v>0</v>
          </cell>
          <cell r="BG27">
            <v>9</v>
          </cell>
          <cell r="BH27">
            <v>6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S28">
            <v>18</v>
          </cell>
          <cell r="T28">
            <v>24</v>
          </cell>
          <cell r="U28">
            <v>12</v>
          </cell>
          <cell r="V28">
            <v>7</v>
          </cell>
          <cell r="BF28">
            <v>0</v>
          </cell>
          <cell r="BG28">
            <v>9</v>
          </cell>
          <cell r="BH28">
            <v>10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11</v>
          </cell>
          <cell r="T29">
            <v>36</v>
          </cell>
          <cell r="U29">
            <v>12</v>
          </cell>
          <cell r="V29">
            <v>8</v>
          </cell>
          <cell r="BF29">
            <v>4</v>
          </cell>
          <cell r="BG29">
            <v>9</v>
          </cell>
          <cell r="BH29">
            <v>12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O30">
            <v>8</v>
          </cell>
          <cell r="S30">
            <v>0</v>
          </cell>
          <cell r="T30">
            <v>17</v>
          </cell>
          <cell r="U30">
            <v>13</v>
          </cell>
          <cell r="V30">
            <v>9</v>
          </cell>
          <cell r="BF30">
            <v>13</v>
          </cell>
          <cell r="BG30">
            <v>9</v>
          </cell>
          <cell r="BH30">
            <v>7</v>
          </cell>
        </row>
        <row r="31">
          <cell r="B31">
            <v>0</v>
          </cell>
          <cell r="C31">
            <v>1</v>
          </cell>
          <cell r="D31">
            <v>0</v>
          </cell>
          <cell r="E31">
            <v>0</v>
          </cell>
          <cell r="O31">
            <v>8</v>
          </cell>
          <cell r="S31">
            <v>5</v>
          </cell>
          <cell r="T31">
            <v>0</v>
          </cell>
          <cell r="U31">
            <v>13</v>
          </cell>
          <cell r="V31">
            <v>13</v>
          </cell>
          <cell r="BF31">
            <v>18</v>
          </cell>
          <cell r="BG31">
            <v>8</v>
          </cell>
          <cell r="BH31">
            <v>6</v>
          </cell>
        </row>
        <row r="32">
          <cell r="B32">
            <v>0</v>
          </cell>
          <cell r="C32">
            <v>6</v>
          </cell>
          <cell r="D32">
            <v>0</v>
          </cell>
          <cell r="E32">
            <v>0</v>
          </cell>
          <cell r="O32">
            <v>8</v>
          </cell>
          <cell r="S32">
            <v>10</v>
          </cell>
          <cell r="T32">
            <v>0</v>
          </cell>
          <cell r="U32">
            <v>13</v>
          </cell>
          <cell r="V32">
            <v>16</v>
          </cell>
          <cell r="BF32">
            <v>6</v>
          </cell>
          <cell r="BG32">
            <v>8</v>
          </cell>
          <cell r="BH32">
            <v>5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19</v>
          </cell>
          <cell r="T33">
            <v>6</v>
          </cell>
          <cell r="U33">
            <v>13</v>
          </cell>
          <cell r="V33">
            <v>11</v>
          </cell>
          <cell r="BF33">
            <v>0</v>
          </cell>
          <cell r="BG33">
            <v>9</v>
          </cell>
          <cell r="BH33">
            <v>6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18</v>
          </cell>
          <cell r="T34">
            <v>25</v>
          </cell>
          <cell r="U34">
            <v>12</v>
          </cell>
          <cell r="V34">
            <v>9</v>
          </cell>
          <cell r="BF34">
            <v>0</v>
          </cell>
          <cell r="BG34">
            <v>9</v>
          </cell>
          <cell r="BH34">
            <v>10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O35">
            <v>8</v>
          </cell>
          <cell r="S35">
            <v>8</v>
          </cell>
          <cell r="T35">
            <v>32</v>
          </cell>
          <cell r="U35">
            <v>12</v>
          </cell>
          <cell r="V35">
            <v>8</v>
          </cell>
          <cell r="BF35">
            <v>5</v>
          </cell>
          <cell r="BG35">
            <v>9</v>
          </cell>
          <cell r="BH35">
            <v>10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O36">
            <v>8</v>
          </cell>
          <cell r="S36">
            <v>2</v>
          </cell>
          <cell r="T36">
            <v>12</v>
          </cell>
          <cell r="U36">
            <v>13</v>
          </cell>
          <cell r="V36">
            <v>9</v>
          </cell>
          <cell r="BF36">
            <v>14</v>
          </cell>
          <cell r="BG36">
            <v>9</v>
          </cell>
          <cell r="BH36">
            <v>8</v>
          </cell>
        </row>
        <row r="37">
          <cell r="B37">
            <v>0</v>
          </cell>
          <cell r="C37">
            <v>2</v>
          </cell>
          <cell r="D37">
            <v>0</v>
          </cell>
          <cell r="E37">
            <v>0</v>
          </cell>
          <cell r="O37">
            <v>8</v>
          </cell>
          <cell r="S37">
            <v>4</v>
          </cell>
          <cell r="T37">
            <v>0</v>
          </cell>
          <cell r="U37">
            <v>13</v>
          </cell>
          <cell r="V37">
            <v>13</v>
          </cell>
          <cell r="BF37">
            <v>14</v>
          </cell>
          <cell r="BG37">
            <v>8</v>
          </cell>
          <cell r="BH37">
            <v>6</v>
          </cell>
        </row>
        <row r="38">
          <cell r="B38">
            <v>0</v>
          </cell>
          <cell r="C38">
            <v>2</v>
          </cell>
          <cell r="D38">
            <v>0</v>
          </cell>
          <cell r="E38">
            <v>0</v>
          </cell>
          <cell r="O38">
            <v>8</v>
          </cell>
          <cell r="S38">
            <v>11</v>
          </cell>
          <cell r="T38">
            <v>0</v>
          </cell>
          <cell r="U38">
            <v>13</v>
          </cell>
          <cell r="V38">
            <v>14</v>
          </cell>
          <cell r="BF38">
            <v>7</v>
          </cell>
          <cell r="BG38">
            <v>8</v>
          </cell>
          <cell r="BH38">
            <v>6</v>
          </cell>
        </row>
      </sheetData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_Outcome"/>
      <sheetName val="CRP_Outcome_Baseline"/>
      <sheetName val="Compare"/>
      <sheetName val="CRP_Outcome_ELV"/>
      <sheetName val="CRP_Outcome_CRP"/>
      <sheetName val="Analysis"/>
      <sheetName val="Graphs ELV"/>
      <sheetName val="Graphs CRP"/>
    </sheetNames>
    <sheetDataSet>
      <sheetData sheetId="0" refreshError="1"/>
      <sheetData sheetId="1" refreshError="1"/>
      <sheetData sheetId="2" refreshError="1"/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12</v>
          </cell>
          <cell r="T4">
            <v>20</v>
          </cell>
          <cell r="U4">
            <v>16</v>
          </cell>
          <cell r="V4">
            <v>8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12</v>
          </cell>
          <cell r="U5">
            <v>12</v>
          </cell>
          <cell r="V5">
            <v>12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8</v>
          </cell>
          <cell r="T6">
            <v>12</v>
          </cell>
          <cell r="U6">
            <v>12</v>
          </cell>
          <cell r="V6">
            <v>12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12</v>
          </cell>
          <cell r="T7">
            <v>12</v>
          </cell>
          <cell r="U7">
            <v>8</v>
          </cell>
          <cell r="V7">
            <v>12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12</v>
          </cell>
          <cell r="U8">
            <v>8</v>
          </cell>
          <cell r="V8">
            <v>12</v>
          </cell>
          <cell r="BF8">
            <v>0</v>
          </cell>
          <cell r="BG8">
            <v>9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7</v>
          </cell>
          <cell r="BF9">
            <v>0</v>
          </cell>
          <cell r="BG9">
            <v>11</v>
          </cell>
          <cell r="BH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16</v>
          </cell>
          <cell r="T10">
            <v>12</v>
          </cell>
          <cell r="U10">
            <v>8</v>
          </cell>
          <cell r="V10">
            <v>5</v>
          </cell>
          <cell r="BF10">
            <v>0</v>
          </cell>
          <cell r="BG10">
            <v>10</v>
          </cell>
          <cell r="BH10">
            <v>15</v>
          </cell>
        </row>
        <row r="11">
          <cell r="B11">
            <v>3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0</v>
          </cell>
          <cell r="T11">
            <v>13</v>
          </cell>
          <cell r="U11">
            <v>13</v>
          </cell>
          <cell r="V11">
            <v>2</v>
          </cell>
          <cell r="BF11">
            <v>0</v>
          </cell>
          <cell r="BG11">
            <v>9</v>
          </cell>
          <cell r="BH11">
            <v>17</v>
          </cell>
        </row>
        <row r="12">
          <cell r="B12">
            <v>5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0</v>
          </cell>
          <cell r="T12">
            <v>12</v>
          </cell>
          <cell r="U12">
            <v>15</v>
          </cell>
          <cell r="V12">
            <v>3</v>
          </cell>
          <cell r="BF12">
            <v>17</v>
          </cell>
          <cell r="BG12">
            <v>7</v>
          </cell>
          <cell r="BH12">
            <v>9</v>
          </cell>
        </row>
        <row r="13">
          <cell r="B13">
            <v>0</v>
          </cell>
          <cell r="C13">
            <v>5</v>
          </cell>
          <cell r="D13">
            <v>0</v>
          </cell>
          <cell r="E13">
            <v>0</v>
          </cell>
          <cell r="O13">
            <v>8</v>
          </cell>
          <cell r="S13">
            <v>3</v>
          </cell>
          <cell r="T13">
            <v>0</v>
          </cell>
          <cell r="U13">
            <v>14</v>
          </cell>
          <cell r="V13">
            <v>17</v>
          </cell>
          <cell r="BF13">
            <v>20</v>
          </cell>
          <cell r="BG13">
            <v>9</v>
          </cell>
          <cell r="BH13">
            <v>4</v>
          </cell>
        </row>
        <row r="14">
          <cell r="B14">
            <v>0</v>
          </cell>
          <cell r="C14">
            <v>8</v>
          </cell>
          <cell r="D14">
            <v>0</v>
          </cell>
          <cell r="E14">
            <v>0</v>
          </cell>
          <cell r="O14">
            <v>8</v>
          </cell>
          <cell r="S14">
            <v>8</v>
          </cell>
          <cell r="T14">
            <v>0</v>
          </cell>
          <cell r="U14">
            <v>13</v>
          </cell>
          <cell r="V14">
            <v>15</v>
          </cell>
          <cell r="BF14">
            <v>6</v>
          </cell>
          <cell r="BG14">
            <v>10</v>
          </cell>
          <cell r="BH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O15">
            <v>8</v>
          </cell>
          <cell r="S15">
            <v>24</v>
          </cell>
          <cell r="T15">
            <v>6</v>
          </cell>
          <cell r="U15">
            <v>11</v>
          </cell>
          <cell r="V15">
            <v>11</v>
          </cell>
          <cell r="BF15">
            <v>0</v>
          </cell>
          <cell r="BG15">
            <v>10</v>
          </cell>
          <cell r="BH15">
            <v>10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14</v>
          </cell>
          <cell r="T16">
            <v>30</v>
          </cell>
          <cell r="U16">
            <v>13</v>
          </cell>
          <cell r="V16">
            <v>6</v>
          </cell>
          <cell r="BF16">
            <v>0</v>
          </cell>
          <cell r="BG16">
            <v>10</v>
          </cell>
          <cell r="BH16">
            <v>16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2</v>
          </cell>
          <cell r="T17">
            <v>36</v>
          </cell>
          <cell r="U17">
            <v>14</v>
          </cell>
          <cell r="V17">
            <v>2</v>
          </cell>
          <cell r="BF17">
            <v>5</v>
          </cell>
          <cell r="BG17">
            <v>9</v>
          </cell>
          <cell r="BH17">
            <v>13</v>
          </cell>
        </row>
        <row r="18">
          <cell r="B18">
            <v>1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0</v>
          </cell>
          <cell r="T18">
            <v>9</v>
          </cell>
          <cell r="U18">
            <v>14</v>
          </cell>
          <cell r="V18">
            <v>13</v>
          </cell>
          <cell r="BF18">
            <v>20</v>
          </cell>
          <cell r="BG18">
            <v>9</v>
          </cell>
          <cell r="BH18">
            <v>7</v>
          </cell>
        </row>
        <row r="19">
          <cell r="B19">
            <v>0</v>
          </cell>
          <cell r="C19">
            <v>8</v>
          </cell>
          <cell r="D19">
            <v>0</v>
          </cell>
          <cell r="E19">
            <v>0</v>
          </cell>
          <cell r="O19">
            <v>8</v>
          </cell>
          <cell r="S19">
            <v>5</v>
          </cell>
          <cell r="T19">
            <v>0</v>
          </cell>
          <cell r="U19">
            <v>14</v>
          </cell>
          <cell r="V19">
            <v>19</v>
          </cell>
          <cell r="BF19">
            <v>16</v>
          </cell>
          <cell r="BG19">
            <v>9</v>
          </cell>
          <cell r="BH19">
            <v>0</v>
          </cell>
        </row>
        <row r="20">
          <cell r="B20">
            <v>0</v>
          </cell>
          <cell r="C20">
            <v>4</v>
          </cell>
          <cell r="D20">
            <v>0</v>
          </cell>
          <cell r="E20">
            <v>0</v>
          </cell>
          <cell r="O20">
            <v>8</v>
          </cell>
          <cell r="S20">
            <v>17</v>
          </cell>
          <cell r="T20">
            <v>0</v>
          </cell>
          <cell r="U20">
            <v>13</v>
          </cell>
          <cell r="V20">
            <v>15</v>
          </cell>
          <cell r="BF20">
            <v>2</v>
          </cell>
          <cell r="BG20">
            <v>9</v>
          </cell>
          <cell r="BH20">
            <v>5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O21">
            <v>8</v>
          </cell>
          <cell r="S21">
            <v>19</v>
          </cell>
          <cell r="T21">
            <v>15</v>
          </cell>
          <cell r="U21">
            <v>13</v>
          </cell>
          <cell r="V21">
            <v>10</v>
          </cell>
          <cell r="BF21">
            <v>0</v>
          </cell>
          <cell r="BG21">
            <v>10</v>
          </cell>
          <cell r="BH21">
            <v>14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10</v>
          </cell>
          <cell r="T22">
            <v>37</v>
          </cell>
          <cell r="U22">
            <v>13</v>
          </cell>
          <cell r="V22">
            <v>2</v>
          </cell>
          <cell r="BF22">
            <v>0</v>
          </cell>
          <cell r="BG22">
            <v>9</v>
          </cell>
          <cell r="BH22">
            <v>13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1</v>
          </cell>
          <cell r="T23">
            <v>30</v>
          </cell>
          <cell r="U23">
            <v>13</v>
          </cell>
          <cell r="V23">
            <v>8</v>
          </cell>
          <cell r="BF23">
            <v>14</v>
          </cell>
          <cell r="BG23">
            <v>9</v>
          </cell>
          <cell r="BH23">
            <v>12</v>
          </cell>
        </row>
        <row r="24">
          <cell r="B24">
            <v>0</v>
          </cell>
          <cell r="C24">
            <v>2</v>
          </cell>
          <cell r="D24">
            <v>0</v>
          </cell>
          <cell r="E24">
            <v>0</v>
          </cell>
          <cell r="O24">
            <v>8</v>
          </cell>
          <cell r="S24">
            <v>0</v>
          </cell>
          <cell r="T24">
            <v>0</v>
          </cell>
          <cell r="U24">
            <v>14</v>
          </cell>
          <cell r="V24">
            <v>17</v>
          </cell>
          <cell r="BF24">
            <v>17</v>
          </cell>
          <cell r="BG24">
            <v>9</v>
          </cell>
          <cell r="BH24">
            <v>0</v>
          </cell>
        </row>
        <row r="25">
          <cell r="B25">
            <v>0</v>
          </cell>
          <cell r="C25">
            <v>5</v>
          </cell>
          <cell r="D25">
            <v>0</v>
          </cell>
          <cell r="E25">
            <v>0</v>
          </cell>
          <cell r="O25">
            <v>8</v>
          </cell>
          <cell r="S25">
            <v>12</v>
          </cell>
          <cell r="T25">
            <v>0</v>
          </cell>
          <cell r="U25">
            <v>13</v>
          </cell>
          <cell r="V25">
            <v>16</v>
          </cell>
          <cell r="BF25">
            <v>12</v>
          </cell>
          <cell r="BG25">
            <v>9</v>
          </cell>
          <cell r="BH25">
            <v>1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O26">
            <v>8</v>
          </cell>
          <cell r="S26">
            <v>23</v>
          </cell>
          <cell r="T26">
            <v>0</v>
          </cell>
          <cell r="U26">
            <v>13</v>
          </cell>
          <cell r="V26">
            <v>15</v>
          </cell>
          <cell r="BF26">
            <v>0</v>
          </cell>
          <cell r="BG26">
            <v>10</v>
          </cell>
          <cell r="BH26">
            <v>12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O27">
            <v>8</v>
          </cell>
          <cell r="S27">
            <v>12</v>
          </cell>
          <cell r="T27">
            <v>29</v>
          </cell>
          <cell r="U27">
            <v>13</v>
          </cell>
          <cell r="V27">
            <v>2</v>
          </cell>
          <cell r="BF27">
            <v>0</v>
          </cell>
          <cell r="BG27">
            <v>9</v>
          </cell>
          <cell r="BH27">
            <v>13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S28">
            <v>11</v>
          </cell>
          <cell r="T28">
            <v>32</v>
          </cell>
          <cell r="U28">
            <v>13</v>
          </cell>
          <cell r="V28">
            <v>4</v>
          </cell>
          <cell r="BF28">
            <v>6</v>
          </cell>
          <cell r="BG28">
            <v>9</v>
          </cell>
          <cell r="BH28">
            <v>17</v>
          </cell>
        </row>
        <row r="29">
          <cell r="B29">
            <v>5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0</v>
          </cell>
          <cell r="T29">
            <v>17</v>
          </cell>
          <cell r="U29">
            <v>14</v>
          </cell>
          <cell r="V29">
            <v>15</v>
          </cell>
          <cell r="BF29">
            <v>13</v>
          </cell>
          <cell r="BG29">
            <v>9</v>
          </cell>
          <cell r="BH29">
            <v>1</v>
          </cell>
        </row>
        <row r="30">
          <cell r="B30">
            <v>0</v>
          </cell>
          <cell r="C30">
            <v>1</v>
          </cell>
          <cell r="D30">
            <v>0</v>
          </cell>
          <cell r="E30">
            <v>0</v>
          </cell>
          <cell r="O30">
            <v>8</v>
          </cell>
          <cell r="S30">
            <v>11</v>
          </cell>
          <cell r="T30">
            <v>0</v>
          </cell>
          <cell r="U30">
            <v>13</v>
          </cell>
          <cell r="V30">
            <v>16</v>
          </cell>
          <cell r="BF30">
            <v>23</v>
          </cell>
          <cell r="BG30">
            <v>9</v>
          </cell>
          <cell r="BH30">
            <v>0</v>
          </cell>
        </row>
        <row r="31">
          <cell r="B31">
            <v>0</v>
          </cell>
          <cell r="C31">
            <v>11</v>
          </cell>
          <cell r="D31">
            <v>0</v>
          </cell>
          <cell r="E31">
            <v>0</v>
          </cell>
          <cell r="O31">
            <v>8</v>
          </cell>
          <cell r="S31">
            <v>18</v>
          </cell>
          <cell r="T31">
            <v>0</v>
          </cell>
          <cell r="U31">
            <v>13</v>
          </cell>
          <cell r="V31">
            <v>15</v>
          </cell>
          <cell r="BF31">
            <v>0</v>
          </cell>
          <cell r="BG31">
            <v>10</v>
          </cell>
          <cell r="BH31">
            <v>12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O32">
            <v>8</v>
          </cell>
          <cell r="S32">
            <v>12</v>
          </cell>
          <cell r="T32">
            <v>14</v>
          </cell>
          <cell r="U32">
            <v>13</v>
          </cell>
          <cell r="V32">
            <v>3</v>
          </cell>
          <cell r="BF32">
            <v>0</v>
          </cell>
          <cell r="BG32">
            <v>9</v>
          </cell>
          <cell r="BH32">
            <v>13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11</v>
          </cell>
          <cell r="T33">
            <v>30</v>
          </cell>
          <cell r="U33">
            <v>13</v>
          </cell>
          <cell r="V33">
            <v>3</v>
          </cell>
          <cell r="BF33">
            <v>6</v>
          </cell>
          <cell r="BG33">
            <v>9</v>
          </cell>
          <cell r="BH33">
            <v>17</v>
          </cell>
        </row>
        <row r="34">
          <cell r="B34">
            <v>5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0</v>
          </cell>
          <cell r="T34">
            <v>34</v>
          </cell>
          <cell r="U34">
            <v>14</v>
          </cell>
          <cell r="V34">
            <v>15</v>
          </cell>
          <cell r="BF34">
            <v>14</v>
          </cell>
          <cell r="BG34">
            <v>9</v>
          </cell>
          <cell r="BH34">
            <v>2</v>
          </cell>
        </row>
        <row r="35">
          <cell r="B35">
            <v>0</v>
          </cell>
          <cell r="C35">
            <v>2</v>
          </cell>
          <cell r="D35">
            <v>0</v>
          </cell>
          <cell r="E35">
            <v>0</v>
          </cell>
          <cell r="O35">
            <v>8</v>
          </cell>
          <cell r="S35">
            <v>10</v>
          </cell>
          <cell r="T35">
            <v>0</v>
          </cell>
          <cell r="U35">
            <v>13</v>
          </cell>
          <cell r="V35">
            <v>16</v>
          </cell>
          <cell r="BF35">
            <v>22</v>
          </cell>
          <cell r="BG35">
            <v>9</v>
          </cell>
          <cell r="BH35">
            <v>0</v>
          </cell>
        </row>
        <row r="36">
          <cell r="B36">
            <v>0</v>
          </cell>
          <cell r="C36">
            <v>10</v>
          </cell>
          <cell r="D36">
            <v>0</v>
          </cell>
          <cell r="E36">
            <v>0</v>
          </cell>
          <cell r="O36">
            <v>8</v>
          </cell>
          <cell r="S36">
            <v>18</v>
          </cell>
          <cell r="T36">
            <v>0</v>
          </cell>
          <cell r="U36">
            <v>13</v>
          </cell>
          <cell r="V36">
            <v>15</v>
          </cell>
          <cell r="BF36">
            <v>0</v>
          </cell>
          <cell r="BG36">
            <v>10</v>
          </cell>
          <cell r="BH36">
            <v>11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O37">
            <v>8</v>
          </cell>
          <cell r="S37">
            <v>13</v>
          </cell>
          <cell r="T37">
            <v>12</v>
          </cell>
          <cell r="U37">
            <v>13</v>
          </cell>
          <cell r="V37">
            <v>4</v>
          </cell>
          <cell r="BF37">
            <v>0</v>
          </cell>
          <cell r="BG37">
            <v>9</v>
          </cell>
          <cell r="BH37">
            <v>13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O38">
            <v>8</v>
          </cell>
          <cell r="S38">
            <v>11</v>
          </cell>
          <cell r="T38">
            <v>33</v>
          </cell>
          <cell r="U38">
            <v>13</v>
          </cell>
          <cell r="V38">
            <v>3</v>
          </cell>
          <cell r="BF38">
            <v>5</v>
          </cell>
          <cell r="BG38">
            <v>9</v>
          </cell>
          <cell r="BH38">
            <v>16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12</v>
          </cell>
          <cell r="T4">
            <v>20</v>
          </cell>
          <cell r="U4">
            <v>16</v>
          </cell>
          <cell r="V4">
            <v>12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12</v>
          </cell>
          <cell r="U5">
            <v>16</v>
          </cell>
          <cell r="V5">
            <v>16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8</v>
          </cell>
          <cell r="T6">
            <v>12</v>
          </cell>
          <cell r="U6">
            <v>12</v>
          </cell>
          <cell r="V6">
            <v>12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12</v>
          </cell>
          <cell r="T7">
            <v>12</v>
          </cell>
          <cell r="U7">
            <v>8</v>
          </cell>
          <cell r="V7">
            <v>12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12</v>
          </cell>
          <cell r="U8">
            <v>8</v>
          </cell>
          <cell r="V8">
            <v>12</v>
          </cell>
          <cell r="BF8">
            <v>0</v>
          </cell>
          <cell r="BG8">
            <v>6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10</v>
          </cell>
          <cell r="BF9">
            <v>1</v>
          </cell>
          <cell r="BG9">
            <v>9</v>
          </cell>
          <cell r="BH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16</v>
          </cell>
          <cell r="T10">
            <v>11</v>
          </cell>
          <cell r="U10">
            <v>8</v>
          </cell>
          <cell r="V10">
            <v>7</v>
          </cell>
          <cell r="BF10">
            <v>0</v>
          </cell>
          <cell r="BG10">
            <v>10</v>
          </cell>
          <cell r="BH10">
            <v>7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5</v>
          </cell>
          <cell r="T11">
            <v>12</v>
          </cell>
          <cell r="U11">
            <v>10</v>
          </cell>
          <cell r="V11">
            <v>2</v>
          </cell>
          <cell r="BF11">
            <v>0</v>
          </cell>
          <cell r="BG11">
            <v>9</v>
          </cell>
          <cell r="BH11">
            <v>13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0</v>
          </cell>
          <cell r="T12">
            <v>12</v>
          </cell>
          <cell r="U12">
            <v>13</v>
          </cell>
          <cell r="V12">
            <v>3</v>
          </cell>
          <cell r="BF12">
            <v>7</v>
          </cell>
          <cell r="BG12">
            <v>8</v>
          </cell>
          <cell r="BH12">
            <v>14</v>
          </cell>
        </row>
        <row r="13">
          <cell r="B13">
            <v>2</v>
          </cell>
          <cell r="C13">
            <v>0</v>
          </cell>
          <cell r="D13">
            <v>0</v>
          </cell>
          <cell r="E13">
            <v>0</v>
          </cell>
          <cell r="O13">
            <v>8</v>
          </cell>
          <cell r="S13">
            <v>0</v>
          </cell>
          <cell r="T13">
            <v>5</v>
          </cell>
          <cell r="U13">
            <v>14</v>
          </cell>
          <cell r="V13">
            <v>11</v>
          </cell>
          <cell r="BF13">
            <v>16</v>
          </cell>
          <cell r="BG13">
            <v>7</v>
          </cell>
          <cell r="BH13">
            <v>6</v>
          </cell>
        </row>
        <row r="14">
          <cell r="B14">
            <v>0</v>
          </cell>
          <cell r="C14">
            <v>4</v>
          </cell>
          <cell r="D14">
            <v>0</v>
          </cell>
          <cell r="E14">
            <v>0</v>
          </cell>
          <cell r="O14">
            <v>8</v>
          </cell>
          <cell r="S14">
            <v>6</v>
          </cell>
          <cell r="T14">
            <v>0</v>
          </cell>
          <cell r="U14">
            <v>13</v>
          </cell>
          <cell r="V14">
            <v>18</v>
          </cell>
          <cell r="BF14">
            <v>18</v>
          </cell>
          <cell r="BG14">
            <v>8</v>
          </cell>
          <cell r="BH14">
            <v>0</v>
          </cell>
        </row>
        <row r="15">
          <cell r="B15">
            <v>0</v>
          </cell>
          <cell r="C15">
            <v>6</v>
          </cell>
          <cell r="D15">
            <v>0</v>
          </cell>
          <cell r="E15">
            <v>0</v>
          </cell>
          <cell r="O15">
            <v>8</v>
          </cell>
          <cell r="S15">
            <v>19</v>
          </cell>
          <cell r="T15">
            <v>0</v>
          </cell>
          <cell r="U15">
            <v>12</v>
          </cell>
          <cell r="V15">
            <v>16</v>
          </cell>
          <cell r="BF15">
            <v>3</v>
          </cell>
          <cell r="BG15">
            <v>9</v>
          </cell>
          <cell r="BH15">
            <v>2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22</v>
          </cell>
          <cell r="T16">
            <v>12</v>
          </cell>
          <cell r="U16">
            <v>11</v>
          </cell>
          <cell r="V16">
            <v>9</v>
          </cell>
          <cell r="BF16">
            <v>0</v>
          </cell>
          <cell r="BG16">
            <v>9</v>
          </cell>
          <cell r="BH16">
            <v>10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14</v>
          </cell>
          <cell r="T17">
            <v>27</v>
          </cell>
          <cell r="U17">
            <v>12</v>
          </cell>
          <cell r="V17">
            <v>3</v>
          </cell>
          <cell r="BF17">
            <v>0</v>
          </cell>
          <cell r="BG17">
            <v>9</v>
          </cell>
          <cell r="BH17">
            <v>15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0</v>
          </cell>
          <cell r="T18">
            <v>31</v>
          </cell>
          <cell r="U18">
            <v>13</v>
          </cell>
          <cell r="V18">
            <v>5</v>
          </cell>
          <cell r="BF18">
            <v>8</v>
          </cell>
          <cell r="BG18">
            <v>9</v>
          </cell>
          <cell r="BH18">
            <v>11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O19">
            <v>8</v>
          </cell>
          <cell r="S19">
            <v>1</v>
          </cell>
          <cell r="T19">
            <v>5</v>
          </cell>
          <cell r="U19">
            <v>13</v>
          </cell>
          <cell r="V19">
            <v>13</v>
          </cell>
          <cell r="BF19">
            <v>22</v>
          </cell>
          <cell r="BG19">
            <v>8</v>
          </cell>
          <cell r="BH19">
            <v>4</v>
          </cell>
        </row>
        <row r="20">
          <cell r="B20">
            <v>0</v>
          </cell>
          <cell r="C20">
            <v>10</v>
          </cell>
          <cell r="D20">
            <v>0</v>
          </cell>
          <cell r="E20">
            <v>0</v>
          </cell>
          <cell r="O20">
            <v>8</v>
          </cell>
          <cell r="S20">
            <v>8</v>
          </cell>
          <cell r="T20">
            <v>0</v>
          </cell>
          <cell r="U20">
            <v>13</v>
          </cell>
          <cell r="V20">
            <v>19</v>
          </cell>
          <cell r="BF20">
            <v>14</v>
          </cell>
          <cell r="BG20">
            <v>8</v>
          </cell>
          <cell r="BH20">
            <v>2</v>
          </cell>
        </row>
        <row r="21">
          <cell r="B21">
            <v>0</v>
          </cell>
          <cell r="C21">
            <v>2</v>
          </cell>
          <cell r="D21">
            <v>0</v>
          </cell>
          <cell r="E21">
            <v>0</v>
          </cell>
          <cell r="O21">
            <v>8</v>
          </cell>
          <cell r="S21">
            <v>18</v>
          </cell>
          <cell r="T21">
            <v>0</v>
          </cell>
          <cell r="U21">
            <v>13</v>
          </cell>
          <cell r="V21">
            <v>15</v>
          </cell>
          <cell r="BF21">
            <v>0</v>
          </cell>
          <cell r="BG21">
            <v>9</v>
          </cell>
          <cell r="BH21">
            <v>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20</v>
          </cell>
          <cell r="T22">
            <v>18</v>
          </cell>
          <cell r="U22">
            <v>12</v>
          </cell>
          <cell r="V22">
            <v>7</v>
          </cell>
          <cell r="BF22">
            <v>0</v>
          </cell>
          <cell r="BG22">
            <v>9</v>
          </cell>
          <cell r="BH22">
            <v>11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13</v>
          </cell>
          <cell r="T23">
            <v>35</v>
          </cell>
          <cell r="U23">
            <v>12</v>
          </cell>
          <cell r="V23">
            <v>5</v>
          </cell>
          <cell r="BF23">
            <v>0</v>
          </cell>
          <cell r="BG23">
            <v>9</v>
          </cell>
          <cell r="BH23">
            <v>14</v>
          </cell>
        </row>
        <row r="24">
          <cell r="B24">
            <v>2</v>
          </cell>
          <cell r="C24">
            <v>0</v>
          </cell>
          <cell r="D24">
            <v>0</v>
          </cell>
          <cell r="E24">
            <v>0</v>
          </cell>
          <cell r="O24">
            <v>8</v>
          </cell>
          <cell r="S24">
            <v>0</v>
          </cell>
          <cell r="T24">
            <v>28</v>
          </cell>
          <cell r="U24">
            <v>13</v>
          </cell>
          <cell r="V24">
            <v>7</v>
          </cell>
          <cell r="BF24">
            <v>13</v>
          </cell>
          <cell r="BG24">
            <v>9</v>
          </cell>
          <cell r="BH24">
            <v>9</v>
          </cell>
        </row>
        <row r="25">
          <cell r="B25">
            <v>0</v>
          </cell>
          <cell r="C25">
            <v>1</v>
          </cell>
          <cell r="D25">
            <v>0</v>
          </cell>
          <cell r="E25">
            <v>0</v>
          </cell>
          <cell r="O25">
            <v>8</v>
          </cell>
          <cell r="S25">
            <v>3</v>
          </cell>
          <cell r="T25">
            <v>0</v>
          </cell>
          <cell r="U25">
            <v>13</v>
          </cell>
          <cell r="V25">
            <v>14</v>
          </cell>
          <cell r="BF25">
            <v>22</v>
          </cell>
          <cell r="BG25">
            <v>8</v>
          </cell>
          <cell r="BH25">
            <v>4</v>
          </cell>
        </row>
        <row r="26">
          <cell r="B26">
            <v>0</v>
          </cell>
          <cell r="C26">
            <v>10</v>
          </cell>
          <cell r="D26">
            <v>0</v>
          </cell>
          <cell r="E26">
            <v>0</v>
          </cell>
          <cell r="O26">
            <v>8</v>
          </cell>
          <cell r="S26">
            <v>8</v>
          </cell>
          <cell r="T26">
            <v>0</v>
          </cell>
          <cell r="U26">
            <v>13</v>
          </cell>
          <cell r="V26">
            <v>16</v>
          </cell>
          <cell r="BF26">
            <v>9</v>
          </cell>
          <cell r="BG26">
            <v>8</v>
          </cell>
          <cell r="BH26">
            <v>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O27">
            <v>8</v>
          </cell>
          <cell r="S27">
            <v>19</v>
          </cell>
          <cell r="T27">
            <v>3</v>
          </cell>
          <cell r="U27">
            <v>13</v>
          </cell>
          <cell r="V27">
            <v>13</v>
          </cell>
          <cell r="BF27">
            <v>0</v>
          </cell>
          <cell r="BG27">
            <v>9</v>
          </cell>
          <cell r="BH27">
            <v>6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S28">
            <v>18</v>
          </cell>
          <cell r="T28">
            <v>24</v>
          </cell>
          <cell r="U28">
            <v>12</v>
          </cell>
          <cell r="V28">
            <v>7</v>
          </cell>
          <cell r="BF28">
            <v>0</v>
          </cell>
          <cell r="BG28">
            <v>9</v>
          </cell>
          <cell r="BH28">
            <v>10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11</v>
          </cell>
          <cell r="T29">
            <v>36</v>
          </cell>
          <cell r="U29">
            <v>12</v>
          </cell>
          <cell r="V29">
            <v>8</v>
          </cell>
          <cell r="BF29">
            <v>4</v>
          </cell>
          <cell r="BG29">
            <v>9</v>
          </cell>
          <cell r="BH29">
            <v>12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O30">
            <v>8</v>
          </cell>
          <cell r="S30">
            <v>0</v>
          </cell>
          <cell r="T30">
            <v>17</v>
          </cell>
          <cell r="U30">
            <v>13</v>
          </cell>
          <cell r="V30">
            <v>9</v>
          </cell>
          <cell r="BF30">
            <v>13</v>
          </cell>
          <cell r="BG30">
            <v>9</v>
          </cell>
          <cell r="BH30">
            <v>7</v>
          </cell>
        </row>
        <row r="31">
          <cell r="B31">
            <v>0</v>
          </cell>
          <cell r="C31">
            <v>1</v>
          </cell>
          <cell r="D31">
            <v>0</v>
          </cell>
          <cell r="E31">
            <v>0</v>
          </cell>
          <cell r="O31">
            <v>8</v>
          </cell>
          <cell r="S31">
            <v>5</v>
          </cell>
          <cell r="T31">
            <v>0</v>
          </cell>
          <cell r="U31">
            <v>13</v>
          </cell>
          <cell r="V31">
            <v>13</v>
          </cell>
          <cell r="BF31">
            <v>18</v>
          </cell>
          <cell r="BG31">
            <v>8</v>
          </cell>
          <cell r="BH31">
            <v>6</v>
          </cell>
        </row>
        <row r="32">
          <cell r="B32">
            <v>0</v>
          </cell>
          <cell r="C32">
            <v>6</v>
          </cell>
          <cell r="D32">
            <v>0</v>
          </cell>
          <cell r="E32">
            <v>0</v>
          </cell>
          <cell r="O32">
            <v>8</v>
          </cell>
          <cell r="S32">
            <v>10</v>
          </cell>
          <cell r="T32">
            <v>0</v>
          </cell>
          <cell r="U32">
            <v>13</v>
          </cell>
          <cell r="V32">
            <v>16</v>
          </cell>
          <cell r="BF32">
            <v>6</v>
          </cell>
          <cell r="BG32">
            <v>8</v>
          </cell>
          <cell r="BH32">
            <v>5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19</v>
          </cell>
          <cell r="T33">
            <v>6</v>
          </cell>
          <cell r="U33">
            <v>13</v>
          </cell>
          <cell r="V33">
            <v>11</v>
          </cell>
          <cell r="BF33">
            <v>0</v>
          </cell>
          <cell r="BG33">
            <v>9</v>
          </cell>
          <cell r="BH33">
            <v>6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18</v>
          </cell>
          <cell r="T34">
            <v>25</v>
          </cell>
          <cell r="U34">
            <v>12</v>
          </cell>
          <cell r="V34">
            <v>9</v>
          </cell>
          <cell r="BF34">
            <v>0</v>
          </cell>
          <cell r="BG34">
            <v>9</v>
          </cell>
          <cell r="BH34">
            <v>10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O35">
            <v>8</v>
          </cell>
          <cell r="S35">
            <v>8</v>
          </cell>
          <cell r="T35">
            <v>32</v>
          </cell>
          <cell r="U35">
            <v>12</v>
          </cell>
          <cell r="V35">
            <v>8</v>
          </cell>
          <cell r="BF35">
            <v>5</v>
          </cell>
          <cell r="BG35">
            <v>9</v>
          </cell>
          <cell r="BH35">
            <v>10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O36">
            <v>8</v>
          </cell>
          <cell r="S36">
            <v>2</v>
          </cell>
          <cell r="T36">
            <v>12</v>
          </cell>
          <cell r="U36">
            <v>13</v>
          </cell>
          <cell r="V36">
            <v>9</v>
          </cell>
          <cell r="BF36">
            <v>14</v>
          </cell>
          <cell r="BG36">
            <v>9</v>
          </cell>
          <cell r="BH36">
            <v>8</v>
          </cell>
        </row>
        <row r="37">
          <cell r="B37">
            <v>0</v>
          </cell>
          <cell r="C37">
            <v>2</v>
          </cell>
          <cell r="D37">
            <v>0</v>
          </cell>
          <cell r="E37">
            <v>0</v>
          </cell>
          <cell r="O37">
            <v>8</v>
          </cell>
          <cell r="S37">
            <v>4</v>
          </cell>
          <cell r="T37">
            <v>0</v>
          </cell>
          <cell r="U37">
            <v>13</v>
          </cell>
          <cell r="V37">
            <v>13</v>
          </cell>
          <cell r="BF37">
            <v>14</v>
          </cell>
          <cell r="BG37">
            <v>8</v>
          </cell>
          <cell r="BH37">
            <v>6</v>
          </cell>
        </row>
        <row r="38">
          <cell r="B38">
            <v>0</v>
          </cell>
          <cell r="C38">
            <v>2</v>
          </cell>
          <cell r="D38">
            <v>0</v>
          </cell>
          <cell r="E38">
            <v>0</v>
          </cell>
          <cell r="O38">
            <v>8</v>
          </cell>
          <cell r="S38">
            <v>11</v>
          </cell>
          <cell r="T38">
            <v>0</v>
          </cell>
          <cell r="U38">
            <v>13</v>
          </cell>
          <cell r="V38">
            <v>14</v>
          </cell>
          <cell r="BF38">
            <v>7</v>
          </cell>
          <cell r="BG38">
            <v>8</v>
          </cell>
          <cell r="BH38">
            <v>6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_Outcome"/>
      <sheetName val="CRP_Outcome_Baseline"/>
      <sheetName val="Compare"/>
      <sheetName val="CRP_Outcome_ELV"/>
      <sheetName val="CRP_Outcome_CRP"/>
      <sheetName val="Analysis"/>
      <sheetName val="Graphs ELV"/>
      <sheetName val="Graphs CRP"/>
    </sheetNames>
    <sheetDataSet>
      <sheetData sheetId="0" refreshError="1"/>
      <sheetData sheetId="1" refreshError="1"/>
      <sheetData sheetId="2" refreshError="1"/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12</v>
          </cell>
          <cell r="T4">
            <v>20</v>
          </cell>
          <cell r="U4">
            <v>16</v>
          </cell>
          <cell r="V4">
            <v>8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12</v>
          </cell>
          <cell r="U5">
            <v>12</v>
          </cell>
          <cell r="V5">
            <v>12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8</v>
          </cell>
          <cell r="T6">
            <v>12</v>
          </cell>
          <cell r="U6">
            <v>12</v>
          </cell>
          <cell r="V6">
            <v>12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12</v>
          </cell>
          <cell r="T7">
            <v>12</v>
          </cell>
          <cell r="U7">
            <v>8</v>
          </cell>
          <cell r="V7">
            <v>12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12</v>
          </cell>
          <cell r="U8">
            <v>8</v>
          </cell>
          <cell r="V8">
            <v>12</v>
          </cell>
          <cell r="BF8">
            <v>0</v>
          </cell>
          <cell r="BG8">
            <v>9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7</v>
          </cell>
          <cell r="BF9">
            <v>2</v>
          </cell>
          <cell r="BG9">
            <v>11</v>
          </cell>
          <cell r="BH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16</v>
          </cell>
          <cell r="T10">
            <v>10</v>
          </cell>
          <cell r="U10">
            <v>8</v>
          </cell>
          <cell r="V10">
            <v>5</v>
          </cell>
          <cell r="BF10">
            <v>0</v>
          </cell>
          <cell r="BG10">
            <v>10</v>
          </cell>
          <cell r="BH10">
            <v>15</v>
          </cell>
        </row>
        <row r="11">
          <cell r="B11">
            <v>3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0</v>
          </cell>
          <cell r="T11">
            <v>12</v>
          </cell>
          <cell r="U11">
            <v>13</v>
          </cell>
          <cell r="V11">
            <v>2</v>
          </cell>
          <cell r="BF11">
            <v>0</v>
          </cell>
          <cell r="BG11">
            <v>9</v>
          </cell>
          <cell r="BH11">
            <v>17</v>
          </cell>
        </row>
        <row r="12">
          <cell r="B12">
            <v>3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0</v>
          </cell>
          <cell r="T12">
            <v>12</v>
          </cell>
          <cell r="U12">
            <v>15</v>
          </cell>
          <cell r="V12">
            <v>3</v>
          </cell>
          <cell r="BF12">
            <v>20</v>
          </cell>
          <cell r="BG12">
            <v>7</v>
          </cell>
          <cell r="BH12">
            <v>9</v>
          </cell>
        </row>
        <row r="13">
          <cell r="B13">
            <v>0</v>
          </cell>
          <cell r="C13">
            <v>8</v>
          </cell>
          <cell r="D13">
            <v>0</v>
          </cell>
          <cell r="E13">
            <v>0</v>
          </cell>
          <cell r="O13">
            <v>8</v>
          </cell>
          <cell r="S13">
            <v>3</v>
          </cell>
          <cell r="T13">
            <v>0</v>
          </cell>
          <cell r="U13">
            <v>17</v>
          </cell>
          <cell r="V13">
            <v>17</v>
          </cell>
          <cell r="BF13">
            <v>24</v>
          </cell>
          <cell r="BG13">
            <v>9</v>
          </cell>
          <cell r="BH13">
            <v>4</v>
          </cell>
        </row>
        <row r="14">
          <cell r="B14">
            <v>0</v>
          </cell>
          <cell r="C14">
            <v>12</v>
          </cell>
          <cell r="D14">
            <v>0</v>
          </cell>
          <cell r="E14">
            <v>0</v>
          </cell>
          <cell r="O14">
            <v>8</v>
          </cell>
          <cell r="S14">
            <v>8</v>
          </cell>
          <cell r="T14">
            <v>0</v>
          </cell>
          <cell r="U14">
            <v>13</v>
          </cell>
          <cell r="V14">
            <v>17</v>
          </cell>
          <cell r="BF14">
            <v>7</v>
          </cell>
          <cell r="BG14">
            <v>8</v>
          </cell>
          <cell r="BH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O15">
            <v>8</v>
          </cell>
          <cell r="S15">
            <v>24</v>
          </cell>
          <cell r="T15">
            <v>5</v>
          </cell>
          <cell r="U15">
            <v>11</v>
          </cell>
          <cell r="V15">
            <v>13</v>
          </cell>
          <cell r="BF15">
            <v>0</v>
          </cell>
          <cell r="BG15">
            <v>11</v>
          </cell>
          <cell r="BH15">
            <v>8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16</v>
          </cell>
          <cell r="T16">
            <v>24</v>
          </cell>
          <cell r="U16">
            <v>13</v>
          </cell>
          <cell r="V16">
            <v>5</v>
          </cell>
          <cell r="BF16">
            <v>0</v>
          </cell>
          <cell r="BG16">
            <v>10</v>
          </cell>
          <cell r="BH16">
            <v>12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7</v>
          </cell>
          <cell r="T17">
            <v>28</v>
          </cell>
          <cell r="U17">
            <v>12</v>
          </cell>
          <cell r="V17">
            <v>2</v>
          </cell>
          <cell r="BF17">
            <v>6</v>
          </cell>
          <cell r="BG17">
            <v>9</v>
          </cell>
          <cell r="BH17">
            <v>18</v>
          </cell>
        </row>
        <row r="18">
          <cell r="B18">
            <v>6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0</v>
          </cell>
          <cell r="T18">
            <v>6</v>
          </cell>
          <cell r="U18">
            <v>15</v>
          </cell>
          <cell r="V18">
            <v>11</v>
          </cell>
          <cell r="BF18">
            <v>18</v>
          </cell>
          <cell r="BG18">
            <v>9</v>
          </cell>
          <cell r="BH18">
            <v>8</v>
          </cell>
        </row>
        <row r="19">
          <cell r="B19">
            <v>0</v>
          </cell>
          <cell r="C19">
            <v>6</v>
          </cell>
          <cell r="D19">
            <v>0</v>
          </cell>
          <cell r="E19">
            <v>0</v>
          </cell>
          <cell r="O19">
            <v>8</v>
          </cell>
          <cell r="S19">
            <v>4</v>
          </cell>
          <cell r="T19">
            <v>0</v>
          </cell>
          <cell r="U19">
            <v>14</v>
          </cell>
          <cell r="V19">
            <v>15</v>
          </cell>
          <cell r="BF19">
            <v>27</v>
          </cell>
          <cell r="BG19">
            <v>8</v>
          </cell>
          <cell r="BH19">
            <v>0</v>
          </cell>
        </row>
        <row r="20">
          <cell r="B20">
            <v>0</v>
          </cell>
          <cell r="C20">
            <v>15</v>
          </cell>
          <cell r="D20">
            <v>0</v>
          </cell>
          <cell r="E20">
            <v>0</v>
          </cell>
          <cell r="O20">
            <v>8</v>
          </cell>
          <cell r="S20">
            <v>18</v>
          </cell>
          <cell r="T20">
            <v>0</v>
          </cell>
          <cell r="U20">
            <v>13</v>
          </cell>
          <cell r="V20">
            <v>16</v>
          </cell>
          <cell r="BF20">
            <v>4</v>
          </cell>
          <cell r="BG20">
            <v>10</v>
          </cell>
          <cell r="BH20">
            <v>8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O21">
            <v>8</v>
          </cell>
          <cell r="S21">
            <v>16</v>
          </cell>
          <cell r="T21">
            <v>10</v>
          </cell>
          <cell r="U21">
            <v>13</v>
          </cell>
          <cell r="V21">
            <v>10</v>
          </cell>
          <cell r="BF21">
            <v>0</v>
          </cell>
          <cell r="BG21">
            <v>10</v>
          </cell>
          <cell r="BH21">
            <v>8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16</v>
          </cell>
          <cell r="T22">
            <v>24</v>
          </cell>
          <cell r="U22">
            <v>12</v>
          </cell>
          <cell r="V22">
            <v>2</v>
          </cell>
          <cell r="BF22">
            <v>5</v>
          </cell>
          <cell r="BG22">
            <v>9</v>
          </cell>
          <cell r="BH22">
            <v>16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0</v>
          </cell>
          <cell r="T23">
            <v>26</v>
          </cell>
          <cell r="U23">
            <v>14</v>
          </cell>
          <cell r="V23">
            <v>11</v>
          </cell>
          <cell r="BF23">
            <v>9</v>
          </cell>
          <cell r="BG23">
            <v>10</v>
          </cell>
          <cell r="BH23">
            <v>12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O24">
            <v>8</v>
          </cell>
          <cell r="S24">
            <v>0</v>
          </cell>
          <cell r="T24">
            <v>3</v>
          </cell>
          <cell r="U24">
            <v>14</v>
          </cell>
          <cell r="V24">
            <v>10</v>
          </cell>
          <cell r="BF24">
            <v>25</v>
          </cell>
          <cell r="BG24">
            <v>9</v>
          </cell>
          <cell r="BH24">
            <v>0</v>
          </cell>
        </row>
        <row r="25">
          <cell r="B25">
            <v>0</v>
          </cell>
          <cell r="C25">
            <v>13</v>
          </cell>
          <cell r="D25">
            <v>0</v>
          </cell>
          <cell r="E25">
            <v>0</v>
          </cell>
          <cell r="O25">
            <v>8</v>
          </cell>
          <cell r="S25">
            <v>17</v>
          </cell>
          <cell r="T25">
            <v>0</v>
          </cell>
          <cell r="U25">
            <v>13</v>
          </cell>
          <cell r="V25">
            <v>19</v>
          </cell>
          <cell r="BF25">
            <v>14</v>
          </cell>
          <cell r="BG25">
            <v>9</v>
          </cell>
          <cell r="BH25">
            <v>8</v>
          </cell>
        </row>
        <row r="26">
          <cell r="B26">
            <v>0</v>
          </cell>
          <cell r="C26">
            <v>2</v>
          </cell>
          <cell r="D26">
            <v>0</v>
          </cell>
          <cell r="E26">
            <v>0</v>
          </cell>
          <cell r="O26">
            <v>8</v>
          </cell>
          <cell r="S26">
            <v>13</v>
          </cell>
          <cell r="T26">
            <v>0</v>
          </cell>
          <cell r="U26">
            <v>14</v>
          </cell>
          <cell r="V26">
            <v>15</v>
          </cell>
          <cell r="BF26">
            <v>0</v>
          </cell>
          <cell r="BG26">
            <v>9</v>
          </cell>
          <cell r="BH26">
            <v>4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O27">
            <v>8</v>
          </cell>
          <cell r="S27">
            <v>20</v>
          </cell>
          <cell r="T27">
            <v>18</v>
          </cell>
          <cell r="U27">
            <v>13</v>
          </cell>
          <cell r="V27">
            <v>3</v>
          </cell>
          <cell r="BF27">
            <v>2</v>
          </cell>
          <cell r="BG27">
            <v>9</v>
          </cell>
          <cell r="BH27">
            <v>14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S28">
            <v>10</v>
          </cell>
          <cell r="T28">
            <v>29</v>
          </cell>
          <cell r="U28">
            <v>13</v>
          </cell>
          <cell r="V28">
            <v>11</v>
          </cell>
          <cell r="BF28">
            <v>1</v>
          </cell>
          <cell r="BG28">
            <v>10</v>
          </cell>
          <cell r="BH28">
            <v>15</v>
          </cell>
        </row>
        <row r="29">
          <cell r="B29">
            <v>3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0</v>
          </cell>
          <cell r="T29">
            <v>16</v>
          </cell>
          <cell r="U29">
            <v>13</v>
          </cell>
          <cell r="V29">
            <v>6</v>
          </cell>
          <cell r="BF29">
            <v>20</v>
          </cell>
          <cell r="BG29">
            <v>9</v>
          </cell>
          <cell r="BH29">
            <v>1</v>
          </cell>
        </row>
        <row r="30">
          <cell r="B30">
            <v>0</v>
          </cell>
          <cell r="C30">
            <v>8</v>
          </cell>
          <cell r="D30">
            <v>0</v>
          </cell>
          <cell r="E30">
            <v>0</v>
          </cell>
          <cell r="O30">
            <v>8</v>
          </cell>
          <cell r="S30">
            <v>13</v>
          </cell>
          <cell r="T30">
            <v>0</v>
          </cell>
          <cell r="U30">
            <v>13</v>
          </cell>
          <cell r="V30">
            <v>17</v>
          </cell>
          <cell r="BF30">
            <v>24</v>
          </cell>
          <cell r="BG30">
            <v>9</v>
          </cell>
          <cell r="BH30">
            <v>10</v>
          </cell>
        </row>
        <row r="31">
          <cell r="B31">
            <v>0</v>
          </cell>
          <cell r="C31">
            <v>12</v>
          </cell>
          <cell r="D31">
            <v>0</v>
          </cell>
          <cell r="E31">
            <v>0</v>
          </cell>
          <cell r="O31">
            <v>8</v>
          </cell>
          <cell r="S31">
            <v>3</v>
          </cell>
          <cell r="T31">
            <v>0</v>
          </cell>
          <cell r="U31">
            <v>14</v>
          </cell>
          <cell r="V31">
            <v>15</v>
          </cell>
          <cell r="BF31">
            <v>0</v>
          </cell>
          <cell r="BG31">
            <v>9</v>
          </cell>
          <cell r="BH31">
            <v>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O32">
            <v>8</v>
          </cell>
          <cell r="S32">
            <v>20</v>
          </cell>
          <cell r="T32">
            <v>12</v>
          </cell>
          <cell r="U32">
            <v>13</v>
          </cell>
          <cell r="V32">
            <v>4</v>
          </cell>
          <cell r="BF32">
            <v>6</v>
          </cell>
          <cell r="BG32">
            <v>9</v>
          </cell>
          <cell r="BH32">
            <v>11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13</v>
          </cell>
          <cell r="T33">
            <v>20</v>
          </cell>
          <cell r="U33">
            <v>13</v>
          </cell>
          <cell r="V33">
            <v>13</v>
          </cell>
          <cell r="BF33">
            <v>1</v>
          </cell>
          <cell r="BG33">
            <v>10</v>
          </cell>
          <cell r="BH33">
            <v>14</v>
          </cell>
        </row>
        <row r="34">
          <cell r="B34">
            <v>2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0</v>
          </cell>
          <cell r="T34">
            <v>27</v>
          </cell>
          <cell r="U34">
            <v>13</v>
          </cell>
          <cell r="V34">
            <v>6</v>
          </cell>
          <cell r="BF34">
            <v>14</v>
          </cell>
          <cell r="BG34">
            <v>9</v>
          </cell>
          <cell r="BH34">
            <v>2</v>
          </cell>
        </row>
        <row r="35">
          <cell r="B35">
            <v>0</v>
          </cell>
          <cell r="C35">
            <v>2</v>
          </cell>
          <cell r="D35">
            <v>0</v>
          </cell>
          <cell r="E35">
            <v>0</v>
          </cell>
          <cell r="O35">
            <v>8</v>
          </cell>
          <cell r="S35">
            <v>16</v>
          </cell>
          <cell r="T35">
            <v>0</v>
          </cell>
          <cell r="U35">
            <v>13</v>
          </cell>
          <cell r="V35">
            <v>14</v>
          </cell>
          <cell r="BF35">
            <v>22</v>
          </cell>
          <cell r="BG35">
            <v>9</v>
          </cell>
          <cell r="BH35">
            <v>12</v>
          </cell>
        </row>
        <row r="36">
          <cell r="B36">
            <v>0</v>
          </cell>
          <cell r="C36">
            <v>10</v>
          </cell>
          <cell r="D36">
            <v>0</v>
          </cell>
          <cell r="E36">
            <v>0</v>
          </cell>
          <cell r="O36">
            <v>8</v>
          </cell>
          <cell r="S36">
            <v>1</v>
          </cell>
          <cell r="T36">
            <v>0</v>
          </cell>
          <cell r="U36">
            <v>14</v>
          </cell>
          <cell r="V36">
            <v>15</v>
          </cell>
          <cell r="BF36">
            <v>0</v>
          </cell>
          <cell r="BG36">
            <v>9</v>
          </cell>
          <cell r="BH36">
            <v>4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O37">
            <v>8</v>
          </cell>
          <cell r="S37">
            <v>20</v>
          </cell>
          <cell r="T37">
            <v>12</v>
          </cell>
          <cell r="U37">
            <v>13</v>
          </cell>
          <cell r="V37">
            <v>5</v>
          </cell>
          <cell r="BF37">
            <v>10</v>
          </cell>
          <cell r="BG37">
            <v>9</v>
          </cell>
          <cell r="BH37">
            <v>9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O38">
            <v>8</v>
          </cell>
          <cell r="S38">
            <v>15</v>
          </cell>
          <cell r="T38">
            <v>12</v>
          </cell>
          <cell r="U38">
            <v>13</v>
          </cell>
          <cell r="V38">
            <v>15</v>
          </cell>
          <cell r="BF38">
            <v>0</v>
          </cell>
          <cell r="BG38">
            <v>10</v>
          </cell>
          <cell r="BH38">
            <v>13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16</v>
          </cell>
          <cell r="T4">
            <v>20</v>
          </cell>
          <cell r="U4">
            <v>20</v>
          </cell>
          <cell r="V4">
            <v>12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20</v>
          </cell>
          <cell r="U5">
            <v>12</v>
          </cell>
          <cell r="V5">
            <v>16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8</v>
          </cell>
          <cell r="T6">
            <v>20</v>
          </cell>
          <cell r="U6">
            <v>12</v>
          </cell>
          <cell r="V6">
            <v>16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8</v>
          </cell>
          <cell r="T7">
            <v>20</v>
          </cell>
          <cell r="U7">
            <v>8</v>
          </cell>
          <cell r="V7">
            <v>16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8</v>
          </cell>
          <cell r="T8">
            <v>12</v>
          </cell>
          <cell r="U8">
            <v>8</v>
          </cell>
          <cell r="V8">
            <v>12</v>
          </cell>
          <cell r="BF8">
            <v>6</v>
          </cell>
          <cell r="BG8">
            <v>7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12</v>
          </cell>
          <cell r="T9">
            <v>10</v>
          </cell>
          <cell r="U9">
            <v>8</v>
          </cell>
          <cell r="V9">
            <v>9</v>
          </cell>
          <cell r="BF9">
            <v>0</v>
          </cell>
          <cell r="BG9">
            <v>9</v>
          </cell>
          <cell r="BH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16</v>
          </cell>
          <cell r="T10">
            <v>12</v>
          </cell>
          <cell r="U10">
            <v>8</v>
          </cell>
          <cell r="V10">
            <v>7</v>
          </cell>
          <cell r="BF10">
            <v>0</v>
          </cell>
          <cell r="BG10">
            <v>9</v>
          </cell>
          <cell r="BH10">
            <v>7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11</v>
          </cell>
          <cell r="T11">
            <v>13</v>
          </cell>
          <cell r="U11">
            <v>11</v>
          </cell>
          <cell r="V11">
            <v>3</v>
          </cell>
          <cell r="BF11">
            <v>0</v>
          </cell>
          <cell r="BG11">
            <v>9</v>
          </cell>
          <cell r="BH11">
            <v>13</v>
          </cell>
        </row>
        <row r="12">
          <cell r="B12">
            <v>1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0</v>
          </cell>
          <cell r="T12">
            <v>17</v>
          </cell>
          <cell r="U12">
            <v>13</v>
          </cell>
          <cell r="V12">
            <v>3</v>
          </cell>
          <cell r="BF12">
            <v>5</v>
          </cell>
          <cell r="BG12">
            <v>8</v>
          </cell>
          <cell r="BH12">
            <v>11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O13">
            <v>8</v>
          </cell>
          <cell r="S13">
            <v>1</v>
          </cell>
          <cell r="T13">
            <v>7</v>
          </cell>
          <cell r="U13">
            <v>13</v>
          </cell>
          <cell r="V13">
            <v>11</v>
          </cell>
          <cell r="BF13">
            <v>33</v>
          </cell>
          <cell r="BG13">
            <v>8</v>
          </cell>
          <cell r="BH13">
            <v>6</v>
          </cell>
        </row>
        <row r="14">
          <cell r="B14">
            <v>0</v>
          </cell>
          <cell r="C14">
            <v>21</v>
          </cell>
          <cell r="D14">
            <v>0</v>
          </cell>
          <cell r="E14">
            <v>0</v>
          </cell>
          <cell r="O14">
            <v>8</v>
          </cell>
          <cell r="S14">
            <v>6</v>
          </cell>
          <cell r="T14">
            <v>0</v>
          </cell>
          <cell r="U14">
            <v>13</v>
          </cell>
          <cell r="V14">
            <v>16</v>
          </cell>
          <cell r="BF14">
            <v>5</v>
          </cell>
          <cell r="BG14">
            <v>8</v>
          </cell>
          <cell r="BH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O15">
            <v>8</v>
          </cell>
          <cell r="S15">
            <v>17</v>
          </cell>
          <cell r="T15">
            <v>7</v>
          </cell>
          <cell r="U15">
            <v>12</v>
          </cell>
          <cell r="V15">
            <v>15</v>
          </cell>
          <cell r="BF15">
            <v>0</v>
          </cell>
          <cell r="BG15">
            <v>9</v>
          </cell>
          <cell r="BH15">
            <v>2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22</v>
          </cell>
          <cell r="T16">
            <v>14</v>
          </cell>
          <cell r="U16">
            <v>12</v>
          </cell>
          <cell r="V16">
            <v>9</v>
          </cell>
          <cell r="BF16">
            <v>0</v>
          </cell>
          <cell r="BG16">
            <v>9</v>
          </cell>
          <cell r="BH16">
            <v>9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8</v>
          </cell>
          <cell r="T17">
            <v>54</v>
          </cell>
          <cell r="U17">
            <v>12</v>
          </cell>
          <cell r="V17">
            <v>3</v>
          </cell>
          <cell r="BF17">
            <v>0</v>
          </cell>
          <cell r="BG17">
            <v>9</v>
          </cell>
          <cell r="BH17">
            <v>14</v>
          </cell>
        </row>
        <row r="18">
          <cell r="B18">
            <v>2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0</v>
          </cell>
          <cell r="T18">
            <v>15</v>
          </cell>
          <cell r="U18">
            <v>13</v>
          </cell>
          <cell r="V18">
            <v>5</v>
          </cell>
          <cell r="BF18">
            <v>19</v>
          </cell>
          <cell r="BG18">
            <v>8</v>
          </cell>
          <cell r="BH18">
            <v>12</v>
          </cell>
        </row>
        <row r="19">
          <cell r="B19">
            <v>0</v>
          </cell>
          <cell r="C19">
            <v>7</v>
          </cell>
          <cell r="D19">
            <v>0</v>
          </cell>
          <cell r="E19">
            <v>0</v>
          </cell>
          <cell r="O19">
            <v>8</v>
          </cell>
          <cell r="S19">
            <v>0</v>
          </cell>
          <cell r="T19">
            <v>0</v>
          </cell>
          <cell r="U19">
            <v>13</v>
          </cell>
          <cell r="V19">
            <v>13</v>
          </cell>
          <cell r="BF19">
            <v>29</v>
          </cell>
          <cell r="BG19">
            <v>8</v>
          </cell>
          <cell r="BH19">
            <v>4</v>
          </cell>
        </row>
        <row r="20">
          <cell r="B20">
            <v>0</v>
          </cell>
          <cell r="C20">
            <v>17</v>
          </cell>
          <cell r="D20">
            <v>0</v>
          </cell>
          <cell r="E20">
            <v>0</v>
          </cell>
          <cell r="O20">
            <v>8</v>
          </cell>
          <cell r="S20">
            <v>8</v>
          </cell>
          <cell r="T20">
            <v>0</v>
          </cell>
          <cell r="U20">
            <v>13</v>
          </cell>
          <cell r="V20">
            <v>16</v>
          </cell>
          <cell r="BF20">
            <v>3</v>
          </cell>
          <cell r="BG20">
            <v>9</v>
          </cell>
          <cell r="BH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O21">
            <v>8</v>
          </cell>
          <cell r="S21">
            <v>24</v>
          </cell>
          <cell r="T21">
            <v>9</v>
          </cell>
          <cell r="U21">
            <v>12</v>
          </cell>
          <cell r="V21">
            <v>15</v>
          </cell>
          <cell r="BF21">
            <v>0</v>
          </cell>
          <cell r="BG21">
            <v>9</v>
          </cell>
          <cell r="BH21">
            <v>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21</v>
          </cell>
          <cell r="T22">
            <v>35</v>
          </cell>
          <cell r="U22">
            <v>12</v>
          </cell>
          <cell r="V22">
            <v>7</v>
          </cell>
          <cell r="BF22">
            <v>0</v>
          </cell>
          <cell r="BG22">
            <v>9</v>
          </cell>
          <cell r="BH22">
            <v>11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4</v>
          </cell>
          <cell r="T23">
            <v>49</v>
          </cell>
          <cell r="U23">
            <v>13</v>
          </cell>
          <cell r="V23">
            <v>3</v>
          </cell>
          <cell r="BF23">
            <v>0</v>
          </cell>
          <cell r="BG23">
            <v>9</v>
          </cell>
          <cell r="BH23">
            <v>15</v>
          </cell>
        </row>
        <row r="24">
          <cell r="B24">
            <v>3</v>
          </cell>
          <cell r="C24">
            <v>0</v>
          </cell>
          <cell r="D24">
            <v>0</v>
          </cell>
          <cell r="E24">
            <v>0</v>
          </cell>
          <cell r="O24">
            <v>8</v>
          </cell>
          <cell r="S24">
            <v>0</v>
          </cell>
          <cell r="T24">
            <v>12</v>
          </cell>
          <cell r="U24">
            <v>13</v>
          </cell>
          <cell r="V24">
            <v>6</v>
          </cell>
          <cell r="BF24">
            <v>29</v>
          </cell>
          <cell r="BG24">
            <v>8</v>
          </cell>
          <cell r="BH24">
            <v>10</v>
          </cell>
        </row>
        <row r="25">
          <cell r="B25">
            <v>0</v>
          </cell>
          <cell r="C25">
            <v>17</v>
          </cell>
          <cell r="D25">
            <v>0</v>
          </cell>
          <cell r="E25">
            <v>0</v>
          </cell>
          <cell r="O25">
            <v>8</v>
          </cell>
          <cell r="S25">
            <v>2</v>
          </cell>
          <cell r="T25">
            <v>0</v>
          </cell>
          <cell r="U25">
            <v>13</v>
          </cell>
          <cell r="V25">
            <v>15</v>
          </cell>
          <cell r="BF25">
            <v>25</v>
          </cell>
          <cell r="BG25">
            <v>8</v>
          </cell>
          <cell r="BH25">
            <v>3</v>
          </cell>
        </row>
        <row r="26">
          <cell r="B26">
            <v>0</v>
          </cell>
          <cell r="C26">
            <v>13</v>
          </cell>
          <cell r="D26">
            <v>0</v>
          </cell>
          <cell r="E26">
            <v>0</v>
          </cell>
          <cell r="O26">
            <v>8</v>
          </cell>
          <cell r="S26">
            <v>9</v>
          </cell>
          <cell r="T26">
            <v>0</v>
          </cell>
          <cell r="U26">
            <v>13</v>
          </cell>
          <cell r="V26">
            <v>16</v>
          </cell>
          <cell r="BF26">
            <v>0</v>
          </cell>
          <cell r="BG26">
            <v>9</v>
          </cell>
          <cell r="BH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O27">
            <v>8</v>
          </cell>
          <cell r="S27">
            <v>24</v>
          </cell>
          <cell r="T27">
            <v>12</v>
          </cell>
          <cell r="U27">
            <v>12</v>
          </cell>
          <cell r="V27">
            <v>13</v>
          </cell>
          <cell r="BF27">
            <v>0</v>
          </cell>
          <cell r="BG27">
            <v>9</v>
          </cell>
          <cell r="BH27">
            <v>6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S28">
            <v>18</v>
          </cell>
          <cell r="T28">
            <v>49</v>
          </cell>
          <cell r="U28">
            <v>12</v>
          </cell>
          <cell r="V28">
            <v>6</v>
          </cell>
          <cell r="BF28">
            <v>0</v>
          </cell>
          <cell r="BG28">
            <v>9</v>
          </cell>
          <cell r="BH28">
            <v>12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0</v>
          </cell>
          <cell r="T29">
            <v>43</v>
          </cell>
          <cell r="U29">
            <v>13</v>
          </cell>
          <cell r="V29">
            <v>3</v>
          </cell>
          <cell r="BF29">
            <v>3</v>
          </cell>
          <cell r="BG29">
            <v>9</v>
          </cell>
          <cell r="BH29">
            <v>14</v>
          </cell>
        </row>
        <row r="30">
          <cell r="B30">
            <v>2</v>
          </cell>
          <cell r="C30">
            <v>0</v>
          </cell>
          <cell r="D30">
            <v>0</v>
          </cell>
          <cell r="E30">
            <v>0</v>
          </cell>
          <cell r="O30">
            <v>8</v>
          </cell>
          <cell r="S30">
            <v>0</v>
          </cell>
          <cell r="T30">
            <v>9</v>
          </cell>
          <cell r="U30">
            <v>13</v>
          </cell>
          <cell r="V30">
            <v>9</v>
          </cell>
          <cell r="BF30">
            <v>36</v>
          </cell>
          <cell r="BG30">
            <v>8</v>
          </cell>
          <cell r="BH30">
            <v>8</v>
          </cell>
        </row>
        <row r="31">
          <cell r="B31">
            <v>0</v>
          </cell>
          <cell r="C31">
            <v>24</v>
          </cell>
          <cell r="D31">
            <v>0</v>
          </cell>
          <cell r="E31">
            <v>0</v>
          </cell>
          <cell r="O31">
            <v>8</v>
          </cell>
          <cell r="S31">
            <v>4</v>
          </cell>
          <cell r="T31">
            <v>0</v>
          </cell>
          <cell r="U31">
            <v>13</v>
          </cell>
          <cell r="V31">
            <v>16</v>
          </cell>
          <cell r="BF31">
            <v>15</v>
          </cell>
          <cell r="BG31">
            <v>8</v>
          </cell>
          <cell r="BH31">
            <v>1</v>
          </cell>
        </row>
        <row r="32">
          <cell r="B32">
            <v>0</v>
          </cell>
          <cell r="C32">
            <v>3</v>
          </cell>
          <cell r="D32">
            <v>0</v>
          </cell>
          <cell r="E32">
            <v>0</v>
          </cell>
          <cell r="O32">
            <v>8</v>
          </cell>
          <cell r="S32">
            <v>14</v>
          </cell>
          <cell r="T32">
            <v>0</v>
          </cell>
          <cell r="U32">
            <v>13</v>
          </cell>
          <cell r="V32">
            <v>16</v>
          </cell>
          <cell r="BF32">
            <v>0</v>
          </cell>
          <cell r="BG32">
            <v>9</v>
          </cell>
          <cell r="BH32">
            <v>1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23</v>
          </cell>
          <cell r="T33">
            <v>15</v>
          </cell>
          <cell r="U33">
            <v>12</v>
          </cell>
          <cell r="V33">
            <v>11</v>
          </cell>
          <cell r="BF33">
            <v>0</v>
          </cell>
          <cell r="BG33">
            <v>9</v>
          </cell>
          <cell r="BH33">
            <v>7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17</v>
          </cell>
          <cell r="T34">
            <v>59</v>
          </cell>
          <cell r="U34">
            <v>12</v>
          </cell>
          <cell r="V34">
            <v>4</v>
          </cell>
          <cell r="BF34">
            <v>0</v>
          </cell>
          <cell r="BG34">
            <v>9</v>
          </cell>
          <cell r="BH34">
            <v>14</v>
          </cell>
        </row>
        <row r="35">
          <cell r="B35">
            <v>2</v>
          </cell>
          <cell r="C35">
            <v>0</v>
          </cell>
          <cell r="D35">
            <v>0</v>
          </cell>
          <cell r="E35">
            <v>0</v>
          </cell>
          <cell r="O35">
            <v>8</v>
          </cell>
          <cell r="S35">
            <v>0</v>
          </cell>
          <cell r="T35">
            <v>28</v>
          </cell>
          <cell r="U35">
            <v>13</v>
          </cell>
          <cell r="V35">
            <v>4</v>
          </cell>
          <cell r="BF35">
            <v>5</v>
          </cell>
          <cell r="BG35">
            <v>9</v>
          </cell>
          <cell r="BH35">
            <v>13</v>
          </cell>
        </row>
        <row r="36">
          <cell r="B36">
            <v>1</v>
          </cell>
          <cell r="C36">
            <v>0</v>
          </cell>
          <cell r="D36">
            <v>0</v>
          </cell>
          <cell r="E36">
            <v>0</v>
          </cell>
          <cell r="O36">
            <v>8</v>
          </cell>
          <cell r="S36">
            <v>0</v>
          </cell>
          <cell r="T36">
            <v>7</v>
          </cell>
          <cell r="U36">
            <v>13</v>
          </cell>
          <cell r="V36">
            <v>10</v>
          </cell>
          <cell r="BF36">
            <v>41</v>
          </cell>
          <cell r="BG36">
            <v>8</v>
          </cell>
          <cell r="BH36">
            <v>6</v>
          </cell>
        </row>
        <row r="37">
          <cell r="B37">
            <v>0</v>
          </cell>
          <cell r="C37">
            <v>29</v>
          </cell>
          <cell r="D37">
            <v>0</v>
          </cell>
          <cell r="E37">
            <v>0</v>
          </cell>
          <cell r="O37">
            <v>8</v>
          </cell>
          <cell r="S37">
            <v>6</v>
          </cell>
          <cell r="T37">
            <v>0</v>
          </cell>
          <cell r="U37">
            <v>13</v>
          </cell>
          <cell r="V37">
            <v>16</v>
          </cell>
          <cell r="BF37">
            <v>7</v>
          </cell>
          <cell r="BG37">
            <v>8</v>
          </cell>
          <cell r="BH37">
            <v>2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O38">
            <v>8</v>
          </cell>
          <cell r="S38">
            <v>15</v>
          </cell>
          <cell r="T38">
            <v>5</v>
          </cell>
          <cell r="U38">
            <v>13</v>
          </cell>
          <cell r="V38">
            <v>16</v>
          </cell>
          <cell r="BF38">
            <v>0</v>
          </cell>
          <cell r="BG38">
            <v>9</v>
          </cell>
          <cell r="BH38">
            <v>2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_Outcome"/>
      <sheetName val="CRP_Outcome_Baseline"/>
      <sheetName val="Compare"/>
      <sheetName val="CRP_Outcome_ELV"/>
      <sheetName val="CRP_Outcome_CRP"/>
      <sheetName val="Analysis"/>
      <sheetName val="Graphs ELV"/>
      <sheetName val="Graphs CRP"/>
    </sheetNames>
    <sheetDataSet>
      <sheetData sheetId="0" refreshError="1"/>
      <sheetData sheetId="1" refreshError="1"/>
      <sheetData sheetId="2" refreshError="1"/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12</v>
          </cell>
          <cell r="T4">
            <v>20</v>
          </cell>
          <cell r="U4">
            <v>12</v>
          </cell>
          <cell r="V4">
            <v>8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12</v>
          </cell>
          <cell r="U5">
            <v>12</v>
          </cell>
          <cell r="V5">
            <v>4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8</v>
          </cell>
          <cell r="T6">
            <v>12</v>
          </cell>
          <cell r="U6">
            <v>12</v>
          </cell>
          <cell r="V6">
            <v>4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12</v>
          </cell>
          <cell r="T7">
            <v>12</v>
          </cell>
          <cell r="U7">
            <v>8</v>
          </cell>
          <cell r="V7">
            <v>8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12</v>
          </cell>
          <cell r="U8">
            <v>8</v>
          </cell>
          <cell r="V8">
            <v>8</v>
          </cell>
          <cell r="BF8">
            <v>0</v>
          </cell>
          <cell r="BG8">
            <v>4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8</v>
          </cell>
          <cell r="BF9">
            <v>0</v>
          </cell>
          <cell r="BG9">
            <v>6</v>
          </cell>
          <cell r="BH9">
            <v>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15</v>
          </cell>
          <cell r="T10">
            <v>12</v>
          </cell>
          <cell r="U10">
            <v>8</v>
          </cell>
          <cell r="V10">
            <v>10</v>
          </cell>
          <cell r="BF10">
            <v>0</v>
          </cell>
          <cell r="BG10">
            <v>6</v>
          </cell>
          <cell r="BH10">
            <v>3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9</v>
          </cell>
          <cell r="T11">
            <v>12</v>
          </cell>
          <cell r="U11">
            <v>8</v>
          </cell>
          <cell r="V11">
            <v>6</v>
          </cell>
          <cell r="BF11">
            <v>0</v>
          </cell>
          <cell r="BG11">
            <v>6</v>
          </cell>
          <cell r="BH11">
            <v>5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7</v>
          </cell>
          <cell r="T12">
            <v>12</v>
          </cell>
          <cell r="U12">
            <v>10</v>
          </cell>
          <cell r="V12">
            <v>7</v>
          </cell>
          <cell r="BF12">
            <v>1</v>
          </cell>
          <cell r="BG12">
            <v>6</v>
          </cell>
          <cell r="BH12">
            <v>7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O13">
            <v>8</v>
          </cell>
          <cell r="S13">
            <v>5</v>
          </cell>
          <cell r="T13">
            <v>11</v>
          </cell>
          <cell r="U13">
            <v>10</v>
          </cell>
          <cell r="V13">
            <v>9</v>
          </cell>
          <cell r="BF13">
            <v>4</v>
          </cell>
          <cell r="BG13">
            <v>5</v>
          </cell>
          <cell r="BH13">
            <v>3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O14">
            <v>8</v>
          </cell>
          <cell r="S14">
            <v>9</v>
          </cell>
          <cell r="T14">
            <v>8</v>
          </cell>
          <cell r="U14">
            <v>10</v>
          </cell>
          <cell r="V14">
            <v>12</v>
          </cell>
          <cell r="BF14">
            <v>6</v>
          </cell>
          <cell r="BG14">
            <v>6</v>
          </cell>
          <cell r="BH14">
            <v>2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O15">
            <v>8</v>
          </cell>
          <cell r="S15">
            <v>11</v>
          </cell>
          <cell r="T15">
            <v>6</v>
          </cell>
          <cell r="U15">
            <v>10</v>
          </cell>
          <cell r="V15">
            <v>13</v>
          </cell>
          <cell r="BF15">
            <v>0</v>
          </cell>
          <cell r="BG15">
            <v>6</v>
          </cell>
          <cell r="BH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16</v>
          </cell>
          <cell r="T16">
            <v>12</v>
          </cell>
          <cell r="U16">
            <v>9</v>
          </cell>
          <cell r="V16">
            <v>9</v>
          </cell>
          <cell r="BF16">
            <v>0</v>
          </cell>
          <cell r="BG16">
            <v>6</v>
          </cell>
          <cell r="BH16">
            <v>4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14</v>
          </cell>
          <cell r="T17">
            <v>12</v>
          </cell>
          <cell r="U17">
            <v>10</v>
          </cell>
          <cell r="V17">
            <v>8</v>
          </cell>
          <cell r="BF17">
            <v>0</v>
          </cell>
          <cell r="BG17">
            <v>6</v>
          </cell>
          <cell r="BH17">
            <v>8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4</v>
          </cell>
          <cell r="T18">
            <v>13</v>
          </cell>
          <cell r="U18">
            <v>10</v>
          </cell>
          <cell r="V18">
            <v>6</v>
          </cell>
          <cell r="BF18">
            <v>0</v>
          </cell>
          <cell r="BG18">
            <v>5</v>
          </cell>
          <cell r="BH18">
            <v>5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O19">
            <v>8</v>
          </cell>
          <cell r="S19">
            <v>7</v>
          </cell>
          <cell r="T19">
            <v>12</v>
          </cell>
          <cell r="U19">
            <v>10</v>
          </cell>
          <cell r="V19">
            <v>11</v>
          </cell>
          <cell r="BF19">
            <v>9</v>
          </cell>
          <cell r="BG19">
            <v>6</v>
          </cell>
          <cell r="BH19">
            <v>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O20">
            <v>8</v>
          </cell>
          <cell r="S20">
            <v>8</v>
          </cell>
          <cell r="T20">
            <v>3</v>
          </cell>
          <cell r="U20">
            <v>10</v>
          </cell>
          <cell r="V20">
            <v>14</v>
          </cell>
          <cell r="BF20">
            <v>4</v>
          </cell>
          <cell r="BG20">
            <v>6</v>
          </cell>
          <cell r="BH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O21">
            <v>8</v>
          </cell>
          <cell r="S21">
            <v>12</v>
          </cell>
          <cell r="T21">
            <v>8</v>
          </cell>
          <cell r="U21">
            <v>9</v>
          </cell>
          <cell r="V21">
            <v>11</v>
          </cell>
          <cell r="BF21">
            <v>1</v>
          </cell>
          <cell r="BG21">
            <v>6</v>
          </cell>
          <cell r="BH21">
            <v>1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20</v>
          </cell>
          <cell r="T22">
            <v>11</v>
          </cell>
          <cell r="U22">
            <v>10</v>
          </cell>
          <cell r="V22">
            <v>10</v>
          </cell>
          <cell r="BF22">
            <v>0</v>
          </cell>
          <cell r="BG22">
            <v>6</v>
          </cell>
          <cell r="BH22">
            <v>7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9</v>
          </cell>
          <cell r="T23">
            <v>14</v>
          </cell>
          <cell r="U23">
            <v>10</v>
          </cell>
          <cell r="V23">
            <v>6</v>
          </cell>
          <cell r="BF23">
            <v>0</v>
          </cell>
          <cell r="BG23">
            <v>5</v>
          </cell>
          <cell r="BH23">
            <v>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O24">
            <v>8</v>
          </cell>
          <cell r="S24">
            <v>7</v>
          </cell>
          <cell r="T24">
            <v>12</v>
          </cell>
          <cell r="U24">
            <v>10</v>
          </cell>
          <cell r="V24">
            <v>8</v>
          </cell>
          <cell r="BF24">
            <v>4</v>
          </cell>
          <cell r="BG24">
            <v>6</v>
          </cell>
          <cell r="BH24">
            <v>6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O25">
            <v>8</v>
          </cell>
          <cell r="S25">
            <v>6</v>
          </cell>
          <cell r="T25">
            <v>8</v>
          </cell>
          <cell r="U25">
            <v>10</v>
          </cell>
          <cell r="V25">
            <v>13</v>
          </cell>
          <cell r="BF25">
            <v>5</v>
          </cell>
          <cell r="BG25">
            <v>6</v>
          </cell>
          <cell r="BH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O26">
            <v>8</v>
          </cell>
          <cell r="S26">
            <v>12</v>
          </cell>
          <cell r="T26">
            <v>7</v>
          </cell>
          <cell r="U26">
            <v>9</v>
          </cell>
          <cell r="V26">
            <v>12</v>
          </cell>
          <cell r="BF26">
            <v>5</v>
          </cell>
          <cell r="BG26">
            <v>6</v>
          </cell>
          <cell r="BH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O27">
            <v>8</v>
          </cell>
          <cell r="S27">
            <v>16</v>
          </cell>
          <cell r="T27">
            <v>7</v>
          </cell>
          <cell r="U27">
            <v>10</v>
          </cell>
          <cell r="V27">
            <v>12</v>
          </cell>
          <cell r="BF27">
            <v>0</v>
          </cell>
          <cell r="BG27">
            <v>6</v>
          </cell>
          <cell r="BH27">
            <v>5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S28">
            <v>12</v>
          </cell>
          <cell r="T28">
            <v>12</v>
          </cell>
          <cell r="U28">
            <v>10</v>
          </cell>
          <cell r="V28">
            <v>6</v>
          </cell>
          <cell r="BF28">
            <v>0</v>
          </cell>
          <cell r="BG28">
            <v>5</v>
          </cell>
          <cell r="BH28">
            <v>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11</v>
          </cell>
          <cell r="T29">
            <v>12</v>
          </cell>
          <cell r="U29">
            <v>10</v>
          </cell>
          <cell r="V29">
            <v>7</v>
          </cell>
          <cell r="BF29">
            <v>0</v>
          </cell>
          <cell r="BG29">
            <v>6</v>
          </cell>
          <cell r="BH29">
            <v>8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O30">
            <v>8</v>
          </cell>
          <cell r="S30">
            <v>4</v>
          </cell>
          <cell r="T30">
            <v>12</v>
          </cell>
          <cell r="U30">
            <v>10</v>
          </cell>
          <cell r="V30">
            <v>11</v>
          </cell>
          <cell r="BF30">
            <v>4</v>
          </cell>
          <cell r="BG30">
            <v>6</v>
          </cell>
          <cell r="BH30">
            <v>1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O31">
            <v>8</v>
          </cell>
          <cell r="S31">
            <v>11</v>
          </cell>
          <cell r="T31">
            <v>8</v>
          </cell>
          <cell r="U31">
            <v>9</v>
          </cell>
          <cell r="V31">
            <v>12</v>
          </cell>
          <cell r="BF31">
            <v>9</v>
          </cell>
          <cell r="BG31">
            <v>6</v>
          </cell>
          <cell r="BH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O32">
            <v>8</v>
          </cell>
          <cell r="S32">
            <v>12</v>
          </cell>
          <cell r="T32">
            <v>3</v>
          </cell>
          <cell r="U32">
            <v>7</v>
          </cell>
          <cell r="V32">
            <v>14</v>
          </cell>
          <cell r="BF32">
            <v>0</v>
          </cell>
          <cell r="BG32">
            <v>6</v>
          </cell>
          <cell r="BH32">
            <v>3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13</v>
          </cell>
          <cell r="T33">
            <v>12</v>
          </cell>
          <cell r="U33">
            <v>10</v>
          </cell>
          <cell r="V33">
            <v>7</v>
          </cell>
          <cell r="BF33">
            <v>0</v>
          </cell>
          <cell r="BG33">
            <v>7</v>
          </cell>
          <cell r="BH33">
            <v>5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16</v>
          </cell>
          <cell r="T34">
            <v>12</v>
          </cell>
          <cell r="U34">
            <v>10</v>
          </cell>
          <cell r="V34">
            <v>5</v>
          </cell>
          <cell r="BF34">
            <v>0</v>
          </cell>
          <cell r="BG34">
            <v>5</v>
          </cell>
          <cell r="BH34">
            <v>9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O35">
            <v>8</v>
          </cell>
          <cell r="S35">
            <v>3</v>
          </cell>
          <cell r="T35">
            <v>15</v>
          </cell>
          <cell r="U35">
            <v>10</v>
          </cell>
          <cell r="V35">
            <v>10</v>
          </cell>
          <cell r="BF35">
            <v>0</v>
          </cell>
          <cell r="BG35">
            <v>5</v>
          </cell>
          <cell r="BH35">
            <v>7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O36">
            <v>8</v>
          </cell>
          <cell r="S36">
            <v>5</v>
          </cell>
          <cell r="T36">
            <v>12</v>
          </cell>
          <cell r="U36">
            <v>11</v>
          </cell>
          <cell r="V36">
            <v>10</v>
          </cell>
          <cell r="BF36">
            <v>11</v>
          </cell>
          <cell r="BG36">
            <v>6</v>
          </cell>
          <cell r="BH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O37">
            <v>8</v>
          </cell>
          <cell r="S37">
            <v>12</v>
          </cell>
          <cell r="T37">
            <v>1</v>
          </cell>
          <cell r="U37">
            <v>9</v>
          </cell>
          <cell r="V37">
            <v>15</v>
          </cell>
          <cell r="BF37">
            <v>7</v>
          </cell>
          <cell r="BG37">
            <v>6</v>
          </cell>
          <cell r="BH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O38">
            <v>8</v>
          </cell>
          <cell r="S38">
            <v>12</v>
          </cell>
          <cell r="T38">
            <v>5</v>
          </cell>
          <cell r="U38">
            <v>9</v>
          </cell>
          <cell r="V38">
            <v>13</v>
          </cell>
          <cell r="BF38">
            <v>0</v>
          </cell>
          <cell r="BG38">
            <v>6</v>
          </cell>
          <cell r="BH38">
            <v>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12</v>
          </cell>
          <cell r="T4">
            <v>12</v>
          </cell>
          <cell r="U4">
            <v>20</v>
          </cell>
          <cell r="V4">
            <v>12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12</v>
          </cell>
          <cell r="U5">
            <v>12</v>
          </cell>
          <cell r="V5">
            <v>8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12</v>
          </cell>
          <cell r="T6">
            <v>12</v>
          </cell>
          <cell r="U6">
            <v>12</v>
          </cell>
          <cell r="V6">
            <v>12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12</v>
          </cell>
          <cell r="T7">
            <v>12</v>
          </cell>
          <cell r="U7">
            <v>8</v>
          </cell>
          <cell r="V7">
            <v>12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12</v>
          </cell>
          <cell r="U8">
            <v>8</v>
          </cell>
          <cell r="V8">
            <v>12</v>
          </cell>
          <cell r="BF8">
            <v>0</v>
          </cell>
          <cell r="BG8">
            <v>7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9</v>
          </cell>
          <cell r="BF9">
            <v>0</v>
          </cell>
          <cell r="BG9">
            <v>9</v>
          </cell>
          <cell r="BH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16</v>
          </cell>
          <cell r="T10">
            <v>12</v>
          </cell>
          <cell r="U10">
            <v>8</v>
          </cell>
          <cell r="V10">
            <v>7</v>
          </cell>
          <cell r="BF10">
            <v>0</v>
          </cell>
          <cell r="BG10">
            <v>9</v>
          </cell>
          <cell r="BH10">
            <v>7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5</v>
          </cell>
          <cell r="T11">
            <v>13</v>
          </cell>
          <cell r="U11">
            <v>11</v>
          </cell>
          <cell r="V11">
            <v>3</v>
          </cell>
          <cell r="BF11">
            <v>0</v>
          </cell>
          <cell r="BG11">
            <v>9</v>
          </cell>
          <cell r="BH11">
            <v>13</v>
          </cell>
        </row>
        <row r="12">
          <cell r="B12">
            <v>1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0</v>
          </cell>
          <cell r="T12">
            <v>12</v>
          </cell>
          <cell r="U12">
            <v>13</v>
          </cell>
          <cell r="V12">
            <v>3</v>
          </cell>
          <cell r="BF12">
            <v>6</v>
          </cell>
          <cell r="BG12">
            <v>8</v>
          </cell>
          <cell r="BH12">
            <v>11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O13">
            <v>8</v>
          </cell>
          <cell r="S13">
            <v>1</v>
          </cell>
          <cell r="T13">
            <v>6</v>
          </cell>
          <cell r="U13">
            <v>13</v>
          </cell>
          <cell r="V13">
            <v>11</v>
          </cell>
          <cell r="BF13">
            <v>14</v>
          </cell>
          <cell r="BG13">
            <v>8</v>
          </cell>
          <cell r="BH13">
            <v>6</v>
          </cell>
        </row>
        <row r="14">
          <cell r="B14">
            <v>0</v>
          </cell>
          <cell r="C14">
            <v>2</v>
          </cell>
          <cell r="D14">
            <v>0</v>
          </cell>
          <cell r="E14">
            <v>0</v>
          </cell>
          <cell r="O14">
            <v>8</v>
          </cell>
          <cell r="S14">
            <v>6</v>
          </cell>
          <cell r="T14">
            <v>0</v>
          </cell>
          <cell r="U14">
            <v>13</v>
          </cell>
          <cell r="V14">
            <v>16</v>
          </cell>
          <cell r="BF14">
            <v>11</v>
          </cell>
          <cell r="BG14">
            <v>8</v>
          </cell>
          <cell r="BH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O15">
            <v>8</v>
          </cell>
          <cell r="S15">
            <v>18</v>
          </cell>
          <cell r="T15">
            <v>1</v>
          </cell>
          <cell r="U15">
            <v>12</v>
          </cell>
          <cell r="V15">
            <v>15</v>
          </cell>
          <cell r="BF15">
            <v>2</v>
          </cell>
          <cell r="BG15">
            <v>9</v>
          </cell>
          <cell r="BH15">
            <v>2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22</v>
          </cell>
          <cell r="T16">
            <v>10</v>
          </cell>
          <cell r="U16">
            <v>12</v>
          </cell>
          <cell r="V16">
            <v>9</v>
          </cell>
          <cell r="BF16">
            <v>0</v>
          </cell>
          <cell r="BG16">
            <v>9</v>
          </cell>
          <cell r="BH16">
            <v>9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14</v>
          </cell>
          <cell r="T17">
            <v>20</v>
          </cell>
          <cell r="U17">
            <v>12</v>
          </cell>
          <cell r="V17">
            <v>3</v>
          </cell>
          <cell r="BF17">
            <v>0</v>
          </cell>
          <cell r="BG17">
            <v>9</v>
          </cell>
          <cell r="BH17">
            <v>14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0</v>
          </cell>
          <cell r="T18">
            <v>17</v>
          </cell>
          <cell r="U18">
            <v>13</v>
          </cell>
          <cell r="V18">
            <v>5</v>
          </cell>
          <cell r="BF18">
            <v>5</v>
          </cell>
          <cell r="BG18">
            <v>8</v>
          </cell>
          <cell r="BH18">
            <v>12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O19">
            <v>8</v>
          </cell>
          <cell r="S19">
            <v>0</v>
          </cell>
          <cell r="T19">
            <v>7</v>
          </cell>
          <cell r="U19">
            <v>13</v>
          </cell>
          <cell r="V19">
            <v>13</v>
          </cell>
          <cell r="BF19">
            <v>18</v>
          </cell>
          <cell r="BG19">
            <v>8</v>
          </cell>
          <cell r="BH19">
            <v>4</v>
          </cell>
        </row>
        <row r="20">
          <cell r="B20">
            <v>0</v>
          </cell>
          <cell r="C20">
            <v>6</v>
          </cell>
          <cell r="D20">
            <v>0</v>
          </cell>
          <cell r="E20">
            <v>0</v>
          </cell>
          <cell r="O20">
            <v>8</v>
          </cell>
          <cell r="S20">
            <v>8</v>
          </cell>
          <cell r="T20">
            <v>0</v>
          </cell>
          <cell r="U20">
            <v>13</v>
          </cell>
          <cell r="V20">
            <v>18</v>
          </cell>
          <cell r="BF20">
            <v>13</v>
          </cell>
          <cell r="BG20">
            <v>9</v>
          </cell>
          <cell r="BH20">
            <v>0</v>
          </cell>
        </row>
        <row r="21">
          <cell r="B21">
            <v>0</v>
          </cell>
          <cell r="C21">
            <v>1</v>
          </cell>
          <cell r="D21">
            <v>0</v>
          </cell>
          <cell r="E21">
            <v>0</v>
          </cell>
          <cell r="O21">
            <v>8</v>
          </cell>
          <cell r="S21">
            <v>17</v>
          </cell>
          <cell r="T21">
            <v>0</v>
          </cell>
          <cell r="U21">
            <v>12</v>
          </cell>
          <cell r="V21">
            <v>15</v>
          </cell>
          <cell r="BF21">
            <v>0</v>
          </cell>
          <cell r="BG21">
            <v>9</v>
          </cell>
          <cell r="BH21">
            <v>1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23</v>
          </cell>
          <cell r="T22">
            <v>12</v>
          </cell>
          <cell r="U22">
            <v>12</v>
          </cell>
          <cell r="V22">
            <v>7</v>
          </cell>
          <cell r="BF22">
            <v>0</v>
          </cell>
          <cell r="BG22">
            <v>9</v>
          </cell>
          <cell r="BH22">
            <v>13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11</v>
          </cell>
          <cell r="T23">
            <v>24</v>
          </cell>
          <cell r="U23">
            <v>13</v>
          </cell>
          <cell r="V23">
            <v>3</v>
          </cell>
          <cell r="BF23">
            <v>0</v>
          </cell>
          <cell r="BG23">
            <v>9</v>
          </cell>
          <cell r="BH23">
            <v>15</v>
          </cell>
        </row>
        <row r="24">
          <cell r="B24">
            <v>3</v>
          </cell>
          <cell r="C24">
            <v>0</v>
          </cell>
          <cell r="D24">
            <v>0</v>
          </cell>
          <cell r="E24">
            <v>0</v>
          </cell>
          <cell r="O24">
            <v>8</v>
          </cell>
          <cell r="S24">
            <v>0</v>
          </cell>
          <cell r="T24">
            <v>18</v>
          </cell>
          <cell r="U24">
            <v>13</v>
          </cell>
          <cell r="V24">
            <v>4</v>
          </cell>
          <cell r="BF24">
            <v>10</v>
          </cell>
          <cell r="BG24">
            <v>8</v>
          </cell>
          <cell r="BH24">
            <v>10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O25">
            <v>8</v>
          </cell>
          <cell r="S25">
            <v>2</v>
          </cell>
          <cell r="T25">
            <v>2</v>
          </cell>
          <cell r="U25">
            <v>13</v>
          </cell>
          <cell r="V25">
            <v>17</v>
          </cell>
          <cell r="BF25">
            <v>20</v>
          </cell>
          <cell r="BG25">
            <v>8</v>
          </cell>
          <cell r="BH25">
            <v>3</v>
          </cell>
        </row>
        <row r="26">
          <cell r="B26">
            <v>0</v>
          </cell>
          <cell r="C26">
            <v>8</v>
          </cell>
          <cell r="D26">
            <v>0</v>
          </cell>
          <cell r="E26">
            <v>0</v>
          </cell>
          <cell r="O26">
            <v>8</v>
          </cell>
          <cell r="S26">
            <v>9</v>
          </cell>
          <cell r="T26">
            <v>0</v>
          </cell>
          <cell r="U26">
            <v>13</v>
          </cell>
          <cell r="V26">
            <v>16</v>
          </cell>
          <cell r="BF26">
            <v>9</v>
          </cell>
          <cell r="BG26">
            <v>9</v>
          </cell>
          <cell r="BH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O27">
            <v>8</v>
          </cell>
          <cell r="S27">
            <v>22</v>
          </cell>
          <cell r="T27">
            <v>3</v>
          </cell>
          <cell r="U27">
            <v>12</v>
          </cell>
          <cell r="V27">
            <v>13</v>
          </cell>
          <cell r="BF27">
            <v>0</v>
          </cell>
          <cell r="BG27">
            <v>9</v>
          </cell>
          <cell r="BH27">
            <v>6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S28">
            <v>18</v>
          </cell>
          <cell r="T28">
            <v>16</v>
          </cell>
          <cell r="U28">
            <v>12</v>
          </cell>
          <cell r="V28">
            <v>6</v>
          </cell>
          <cell r="BF28">
            <v>0</v>
          </cell>
          <cell r="BG28">
            <v>9</v>
          </cell>
          <cell r="BH28">
            <v>12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9</v>
          </cell>
          <cell r="T29">
            <v>26</v>
          </cell>
          <cell r="U29">
            <v>13</v>
          </cell>
          <cell r="V29">
            <v>3</v>
          </cell>
          <cell r="BF29">
            <v>0</v>
          </cell>
          <cell r="BG29">
            <v>9</v>
          </cell>
          <cell r="BH29">
            <v>14</v>
          </cell>
        </row>
        <row r="30">
          <cell r="B30">
            <v>2</v>
          </cell>
          <cell r="C30">
            <v>0</v>
          </cell>
          <cell r="D30">
            <v>0</v>
          </cell>
          <cell r="E30">
            <v>0</v>
          </cell>
          <cell r="O30">
            <v>8</v>
          </cell>
          <cell r="S30">
            <v>0</v>
          </cell>
          <cell r="T30">
            <v>14</v>
          </cell>
          <cell r="U30">
            <v>13</v>
          </cell>
          <cell r="V30">
            <v>9</v>
          </cell>
          <cell r="BF30">
            <v>13</v>
          </cell>
          <cell r="BG30">
            <v>8</v>
          </cell>
          <cell r="BH30">
            <v>8</v>
          </cell>
        </row>
        <row r="31">
          <cell r="B31">
            <v>0</v>
          </cell>
          <cell r="C31">
            <v>1</v>
          </cell>
          <cell r="D31">
            <v>0</v>
          </cell>
          <cell r="E31">
            <v>0</v>
          </cell>
          <cell r="O31">
            <v>8</v>
          </cell>
          <cell r="S31">
            <v>4</v>
          </cell>
          <cell r="T31">
            <v>0</v>
          </cell>
          <cell r="U31">
            <v>13</v>
          </cell>
          <cell r="V31">
            <v>16</v>
          </cell>
          <cell r="BF31">
            <v>18</v>
          </cell>
          <cell r="BG31">
            <v>8</v>
          </cell>
          <cell r="BH31">
            <v>1</v>
          </cell>
        </row>
        <row r="32">
          <cell r="B32">
            <v>0</v>
          </cell>
          <cell r="C32">
            <v>6</v>
          </cell>
          <cell r="D32">
            <v>0</v>
          </cell>
          <cell r="E32">
            <v>0</v>
          </cell>
          <cell r="O32">
            <v>8</v>
          </cell>
          <cell r="S32">
            <v>11</v>
          </cell>
          <cell r="T32">
            <v>0</v>
          </cell>
          <cell r="U32">
            <v>13</v>
          </cell>
          <cell r="V32">
            <v>16</v>
          </cell>
          <cell r="BF32">
            <v>6</v>
          </cell>
          <cell r="BG32">
            <v>9</v>
          </cell>
          <cell r="BH32">
            <v>1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23</v>
          </cell>
          <cell r="T33">
            <v>6</v>
          </cell>
          <cell r="U33">
            <v>12</v>
          </cell>
          <cell r="V33">
            <v>11</v>
          </cell>
          <cell r="BF33">
            <v>0</v>
          </cell>
          <cell r="BG33">
            <v>9</v>
          </cell>
          <cell r="BH33">
            <v>7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17</v>
          </cell>
          <cell r="T34">
            <v>19</v>
          </cell>
          <cell r="U34">
            <v>12</v>
          </cell>
          <cell r="V34">
            <v>4</v>
          </cell>
          <cell r="BF34">
            <v>0</v>
          </cell>
          <cell r="BG34">
            <v>9</v>
          </cell>
          <cell r="BH34">
            <v>14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O35">
            <v>8</v>
          </cell>
          <cell r="S35">
            <v>4</v>
          </cell>
          <cell r="T35">
            <v>23</v>
          </cell>
          <cell r="U35">
            <v>13</v>
          </cell>
          <cell r="V35">
            <v>4</v>
          </cell>
          <cell r="BF35">
            <v>1</v>
          </cell>
          <cell r="BG35">
            <v>9</v>
          </cell>
          <cell r="BH35">
            <v>13</v>
          </cell>
        </row>
        <row r="36">
          <cell r="B36">
            <v>1</v>
          </cell>
          <cell r="C36">
            <v>0</v>
          </cell>
          <cell r="D36">
            <v>0</v>
          </cell>
          <cell r="E36">
            <v>0</v>
          </cell>
          <cell r="O36">
            <v>8</v>
          </cell>
          <cell r="S36">
            <v>0</v>
          </cell>
          <cell r="T36">
            <v>11</v>
          </cell>
          <cell r="U36">
            <v>13</v>
          </cell>
          <cell r="V36">
            <v>10</v>
          </cell>
          <cell r="BF36">
            <v>17</v>
          </cell>
          <cell r="BG36">
            <v>8</v>
          </cell>
          <cell r="BH36">
            <v>6</v>
          </cell>
        </row>
        <row r="37">
          <cell r="B37">
            <v>0</v>
          </cell>
          <cell r="C37">
            <v>5</v>
          </cell>
          <cell r="D37">
            <v>0</v>
          </cell>
          <cell r="E37">
            <v>0</v>
          </cell>
          <cell r="O37">
            <v>8</v>
          </cell>
          <cell r="S37">
            <v>6</v>
          </cell>
          <cell r="T37">
            <v>0</v>
          </cell>
          <cell r="U37">
            <v>13</v>
          </cell>
          <cell r="V37">
            <v>18</v>
          </cell>
          <cell r="BF37">
            <v>16</v>
          </cell>
          <cell r="BG37">
            <v>8</v>
          </cell>
          <cell r="BH37">
            <v>1</v>
          </cell>
        </row>
        <row r="38">
          <cell r="B38">
            <v>0</v>
          </cell>
          <cell r="C38">
            <v>4</v>
          </cell>
          <cell r="D38">
            <v>0</v>
          </cell>
          <cell r="E38">
            <v>0</v>
          </cell>
          <cell r="O38">
            <v>8</v>
          </cell>
          <cell r="S38">
            <v>12</v>
          </cell>
          <cell r="T38">
            <v>0</v>
          </cell>
          <cell r="U38">
            <v>13</v>
          </cell>
          <cell r="V38">
            <v>16</v>
          </cell>
          <cell r="BF38">
            <v>2</v>
          </cell>
          <cell r="BG38">
            <v>9</v>
          </cell>
          <cell r="BH38">
            <v>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_Outcome"/>
      <sheetName val="CRP_Outcome_Baseline"/>
      <sheetName val="Compare"/>
      <sheetName val="CRP_Outcome_ELV"/>
      <sheetName val="CRP_Outcome_CRP"/>
      <sheetName val="Analysis"/>
      <sheetName val="Graphs ELV"/>
      <sheetName val="Graphs CRP"/>
    </sheetNames>
    <sheetDataSet>
      <sheetData sheetId="0"/>
      <sheetData sheetId="1"/>
      <sheetData sheetId="2"/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12</v>
          </cell>
          <cell r="T4">
            <v>20</v>
          </cell>
          <cell r="U4">
            <v>20</v>
          </cell>
          <cell r="V4">
            <v>12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8</v>
          </cell>
          <cell r="U5">
            <v>12</v>
          </cell>
          <cell r="V5">
            <v>4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8</v>
          </cell>
          <cell r="T6">
            <v>8</v>
          </cell>
          <cell r="U6">
            <v>12</v>
          </cell>
          <cell r="V6">
            <v>4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12</v>
          </cell>
          <cell r="T7">
            <v>8</v>
          </cell>
          <cell r="U7">
            <v>8</v>
          </cell>
          <cell r="V7">
            <v>8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8</v>
          </cell>
          <cell r="U8">
            <v>8</v>
          </cell>
          <cell r="V8">
            <v>8</v>
          </cell>
          <cell r="BF8">
            <v>0</v>
          </cell>
          <cell r="BG8">
            <v>8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8</v>
          </cell>
          <cell r="BF9">
            <v>0</v>
          </cell>
          <cell r="BG9">
            <v>10</v>
          </cell>
          <cell r="BH9">
            <v>2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14</v>
          </cell>
          <cell r="T10">
            <v>12</v>
          </cell>
          <cell r="U10">
            <v>8</v>
          </cell>
          <cell r="V10">
            <v>6</v>
          </cell>
          <cell r="BF10">
            <v>0</v>
          </cell>
          <cell r="BG10">
            <v>10</v>
          </cell>
          <cell r="BH10">
            <v>8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4</v>
          </cell>
          <cell r="T11">
            <v>12</v>
          </cell>
          <cell r="U11">
            <v>12</v>
          </cell>
          <cell r="V11">
            <v>2</v>
          </cell>
          <cell r="BF11">
            <v>0</v>
          </cell>
          <cell r="BG11">
            <v>9</v>
          </cell>
          <cell r="BH11">
            <v>13</v>
          </cell>
        </row>
        <row r="12">
          <cell r="B12">
            <v>1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0</v>
          </cell>
          <cell r="T12">
            <v>12</v>
          </cell>
          <cell r="U12">
            <v>14</v>
          </cell>
          <cell r="V12">
            <v>5</v>
          </cell>
          <cell r="BF12">
            <v>21</v>
          </cell>
          <cell r="BG12">
            <v>8</v>
          </cell>
          <cell r="BH12">
            <v>12</v>
          </cell>
        </row>
        <row r="13">
          <cell r="B13">
            <v>0</v>
          </cell>
          <cell r="C13">
            <v>30</v>
          </cell>
          <cell r="D13">
            <v>0</v>
          </cell>
          <cell r="E13">
            <v>0</v>
          </cell>
          <cell r="O13">
            <v>8</v>
          </cell>
          <cell r="S13">
            <v>0</v>
          </cell>
          <cell r="T13">
            <v>0</v>
          </cell>
          <cell r="U13">
            <v>14</v>
          </cell>
          <cell r="V13">
            <v>12</v>
          </cell>
          <cell r="BF13">
            <v>22</v>
          </cell>
          <cell r="BG13">
            <v>8</v>
          </cell>
          <cell r="BH13">
            <v>5</v>
          </cell>
        </row>
        <row r="14">
          <cell r="B14">
            <v>0</v>
          </cell>
          <cell r="C14">
            <v>32</v>
          </cell>
          <cell r="D14">
            <v>0</v>
          </cell>
          <cell r="E14">
            <v>0</v>
          </cell>
          <cell r="O14">
            <v>8</v>
          </cell>
          <cell r="S14">
            <v>7</v>
          </cell>
          <cell r="T14">
            <v>0</v>
          </cell>
          <cell r="U14">
            <v>13</v>
          </cell>
          <cell r="V14">
            <v>16</v>
          </cell>
          <cell r="BF14">
            <v>0</v>
          </cell>
          <cell r="BG14">
            <v>9</v>
          </cell>
          <cell r="BH14">
            <v>1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O15">
            <v>8</v>
          </cell>
          <cell r="S15">
            <v>11</v>
          </cell>
          <cell r="T15">
            <v>12</v>
          </cell>
          <cell r="U15">
            <v>12</v>
          </cell>
          <cell r="V15">
            <v>15</v>
          </cell>
          <cell r="BF15">
            <v>0</v>
          </cell>
          <cell r="BG15">
            <v>10</v>
          </cell>
          <cell r="BH15">
            <v>3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9</v>
          </cell>
          <cell r="T16">
            <v>36</v>
          </cell>
          <cell r="U16">
            <v>12</v>
          </cell>
          <cell r="V16">
            <v>7</v>
          </cell>
          <cell r="BF16">
            <v>15</v>
          </cell>
          <cell r="BG16">
            <v>10</v>
          </cell>
          <cell r="BH16">
            <v>10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2</v>
          </cell>
          <cell r="T17">
            <v>2</v>
          </cell>
          <cell r="U17">
            <v>13</v>
          </cell>
          <cell r="V17">
            <v>3</v>
          </cell>
          <cell r="BF17">
            <v>0</v>
          </cell>
          <cell r="BG17">
            <v>9</v>
          </cell>
          <cell r="BH17">
            <v>15</v>
          </cell>
        </row>
        <row r="18">
          <cell r="B18">
            <v>3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0</v>
          </cell>
          <cell r="T18">
            <v>12</v>
          </cell>
          <cell r="U18">
            <v>14</v>
          </cell>
          <cell r="V18">
            <v>6</v>
          </cell>
          <cell r="BF18">
            <v>17</v>
          </cell>
          <cell r="BG18">
            <v>9</v>
          </cell>
          <cell r="BH18">
            <v>12</v>
          </cell>
        </row>
        <row r="19">
          <cell r="B19">
            <v>0</v>
          </cell>
          <cell r="C19">
            <v>22</v>
          </cell>
          <cell r="D19">
            <v>0</v>
          </cell>
          <cell r="E19">
            <v>0</v>
          </cell>
          <cell r="O19">
            <v>8</v>
          </cell>
          <cell r="S19">
            <v>15</v>
          </cell>
          <cell r="T19">
            <v>0</v>
          </cell>
          <cell r="U19">
            <v>14</v>
          </cell>
          <cell r="V19">
            <v>13</v>
          </cell>
          <cell r="BF19">
            <v>23</v>
          </cell>
          <cell r="BG19">
            <v>9</v>
          </cell>
          <cell r="BH19">
            <v>5</v>
          </cell>
        </row>
        <row r="20">
          <cell r="B20">
            <v>0</v>
          </cell>
          <cell r="C20">
            <v>26</v>
          </cell>
          <cell r="D20">
            <v>0</v>
          </cell>
          <cell r="E20">
            <v>0</v>
          </cell>
          <cell r="O20">
            <v>8</v>
          </cell>
          <cell r="S20">
            <v>7</v>
          </cell>
          <cell r="T20">
            <v>0</v>
          </cell>
          <cell r="U20">
            <v>13</v>
          </cell>
          <cell r="V20">
            <v>15</v>
          </cell>
          <cell r="BF20">
            <v>0</v>
          </cell>
          <cell r="BG20">
            <v>9</v>
          </cell>
          <cell r="BH20">
            <v>3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O21">
            <v>8</v>
          </cell>
          <cell r="S21">
            <v>9</v>
          </cell>
          <cell r="T21">
            <v>12</v>
          </cell>
          <cell r="U21">
            <v>13</v>
          </cell>
          <cell r="V21">
            <v>15</v>
          </cell>
          <cell r="BF21">
            <v>9</v>
          </cell>
          <cell r="BG21">
            <v>9</v>
          </cell>
          <cell r="BH21">
            <v>6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6</v>
          </cell>
          <cell r="T22">
            <v>12</v>
          </cell>
          <cell r="U22">
            <v>13</v>
          </cell>
          <cell r="V22">
            <v>8</v>
          </cell>
          <cell r="BF22">
            <v>14</v>
          </cell>
          <cell r="BG22">
            <v>9</v>
          </cell>
          <cell r="BH22">
            <v>9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3</v>
          </cell>
          <cell r="T23">
            <v>5</v>
          </cell>
          <cell r="U23">
            <v>13</v>
          </cell>
          <cell r="V23">
            <v>6</v>
          </cell>
          <cell r="BF23">
            <v>1</v>
          </cell>
          <cell r="BG23">
            <v>9</v>
          </cell>
          <cell r="BH23">
            <v>12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O24">
            <v>8</v>
          </cell>
          <cell r="S24">
            <v>9</v>
          </cell>
          <cell r="T24">
            <v>10</v>
          </cell>
          <cell r="U24">
            <v>13</v>
          </cell>
          <cell r="V24">
            <v>9</v>
          </cell>
          <cell r="BF24">
            <v>10</v>
          </cell>
          <cell r="BG24">
            <v>9</v>
          </cell>
          <cell r="BH24">
            <v>9</v>
          </cell>
        </row>
        <row r="25">
          <cell r="B25">
            <v>0</v>
          </cell>
          <cell r="C25">
            <v>8</v>
          </cell>
          <cell r="D25">
            <v>0</v>
          </cell>
          <cell r="E25">
            <v>0</v>
          </cell>
          <cell r="O25">
            <v>8</v>
          </cell>
          <cell r="S25">
            <v>17</v>
          </cell>
          <cell r="T25">
            <v>0</v>
          </cell>
          <cell r="U25">
            <v>13</v>
          </cell>
          <cell r="V25">
            <v>12</v>
          </cell>
          <cell r="BF25">
            <v>12</v>
          </cell>
          <cell r="BG25">
            <v>9</v>
          </cell>
          <cell r="BH25">
            <v>5</v>
          </cell>
        </row>
        <row r="26">
          <cell r="B26">
            <v>0</v>
          </cell>
          <cell r="C26">
            <v>3</v>
          </cell>
          <cell r="D26">
            <v>0</v>
          </cell>
          <cell r="E26">
            <v>0</v>
          </cell>
          <cell r="O26">
            <v>8</v>
          </cell>
          <cell r="S26">
            <v>8</v>
          </cell>
          <cell r="T26">
            <v>0</v>
          </cell>
          <cell r="U26">
            <v>13</v>
          </cell>
          <cell r="V26">
            <v>15</v>
          </cell>
          <cell r="BF26">
            <v>4</v>
          </cell>
          <cell r="BG26">
            <v>9</v>
          </cell>
          <cell r="BH26">
            <v>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O27">
            <v>8</v>
          </cell>
          <cell r="S27">
            <v>9</v>
          </cell>
          <cell r="T27">
            <v>4</v>
          </cell>
          <cell r="U27">
            <v>13</v>
          </cell>
          <cell r="V27">
            <v>12</v>
          </cell>
          <cell r="BF27">
            <v>12</v>
          </cell>
          <cell r="BG27">
            <v>9</v>
          </cell>
          <cell r="BH27">
            <v>6</v>
          </cell>
        </row>
        <row r="28">
          <cell r="B28">
            <v>0</v>
          </cell>
          <cell r="C28">
            <v>3</v>
          </cell>
          <cell r="D28">
            <v>0</v>
          </cell>
          <cell r="E28">
            <v>0</v>
          </cell>
          <cell r="O28">
            <v>8</v>
          </cell>
          <cell r="S28">
            <v>15</v>
          </cell>
          <cell r="T28">
            <v>0</v>
          </cell>
          <cell r="U28">
            <v>13</v>
          </cell>
          <cell r="V28">
            <v>8</v>
          </cell>
          <cell r="BF28">
            <v>0</v>
          </cell>
          <cell r="BG28">
            <v>9</v>
          </cell>
          <cell r="BH28">
            <v>10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6</v>
          </cell>
          <cell r="T29">
            <v>20</v>
          </cell>
          <cell r="U29">
            <v>13</v>
          </cell>
          <cell r="V29">
            <v>8</v>
          </cell>
          <cell r="BF29">
            <v>0</v>
          </cell>
          <cell r="BG29">
            <v>9</v>
          </cell>
          <cell r="BH29">
            <v>10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O30">
            <v>8</v>
          </cell>
          <cell r="S30">
            <v>11</v>
          </cell>
          <cell r="T30">
            <v>12</v>
          </cell>
          <cell r="U30">
            <v>13</v>
          </cell>
          <cell r="V30">
            <v>9</v>
          </cell>
          <cell r="BF30">
            <v>27</v>
          </cell>
          <cell r="BG30">
            <v>9</v>
          </cell>
          <cell r="BH30">
            <v>8</v>
          </cell>
        </row>
        <row r="31">
          <cell r="B31">
            <v>0</v>
          </cell>
          <cell r="C31">
            <v>34</v>
          </cell>
          <cell r="D31">
            <v>0</v>
          </cell>
          <cell r="E31">
            <v>0</v>
          </cell>
          <cell r="O31">
            <v>8</v>
          </cell>
          <cell r="S31">
            <v>4</v>
          </cell>
          <cell r="T31">
            <v>0</v>
          </cell>
          <cell r="U31">
            <v>13</v>
          </cell>
          <cell r="V31">
            <v>13</v>
          </cell>
          <cell r="BF31">
            <v>4</v>
          </cell>
          <cell r="BG31">
            <v>9</v>
          </cell>
          <cell r="BH31">
            <v>6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O32">
            <v>8</v>
          </cell>
          <cell r="S32">
            <v>6</v>
          </cell>
          <cell r="T32">
            <v>4</v>
          </cell>
          <cell r="U32">
            <v>13</v>
          </cell>
          <cell r="V32">
            <v>13</v>
          </cell>
          <cell r="BF32">
            <v>0</v>
          </cell>
          <cell r="BG32">
            <v>9</v>
          </cell>
          <cell r="BH32">
            <v>5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7</v>
          </cell>
          <cell r="T33">
            <v>12</v>
          </cell>
          <cell r="U33">
            <v>13</v>
          </cell>
          <cell r="V33">
            <v>11</v>
          </cell>
          <cell r="BF33">
            <v>31</v>
          </cell>
          <cell r="BG33">
            <v>9</v>
          </cell>
          <cell r="BH33">
            <v>7</v>
          </cell>
        </row>
        <row r="34">
          <cell r="B34">
            <v>0</v>
          </cell>
          <cell r="C34">
            <v>20</v>
          </cell>
          <cell r="D34">
            <v>0</v>
          </cell>
          <cell r="E34">
            <v>0</v>
          </cell>
          <cell r="O34">
            <v>8</v>
          </cell>
          <cell r="S34">
            <v>9</v>
          </cell>
          <cell r="T34">
            <v>0</v>
          </cell>
          <cell r="U34">
            <v>13</v>
          </cell>
          <cell r="V34">
            <v>9</v>
          </cell>
          <cell r="BF34">
            <v>0</v>
          </cell>
          <cell r="BG34">
            <v>9</v>
          </cell>
          <cell r="BH34">
            <v>10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O35">
            <v>8</v>
          </cell>
          <cell r="S35">
            <v>2</v>
          </cell>
          <cell r="T35">
            <v>12</v>
          </cell>
          <cell r="U35">
            <v>13</v>
          </cell>
          <cell r="V35">
            <v>8</v>
          </cell>
          <cell r="BF35">
            <v>0</v>
          </cell>
          <cell r="BG35">
            <v>9</v>
          </cell>
          <cell r="BH35">
            <v>9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O36">
            <v>8</v>
          </cell>
          <cell r="S36">
            <v>14</v>
          </cell>
          <cell r="T36">
            <v>12</v>
          </cell>
          <cell r="U36">
            <v>13</v>
          </cell>
          <cell r="V36">
            <v>10</v>
          </cell>
          <cell r="BF36">
            <v>30</v>
          </cell>
          <cell r="BG36">
            <v>9</v>
          </cell>
          <cell r="BH36">
            <v>8</v>
          </cell>
        </row>
        <row r="37">
          <cell r="B37">
            <v>0</v>
          </cell>
          <cell r="C37">
            <v>22</v>
          </cell>
          <cell r="D37">
            <v>0</v>
          </cell>
          <cell r="E37">
            <v>0</v>
          </cell>
          <cell r="O37">
            <v>8</v>
          </cell>
          <cell r="S37">
            <v>4</v>
          </cell>
          <cell r="T37">
            <v>0</v>
          </cell>
          <cell r="U37">
            <v>13</v>
          </cell>
          <cell r="V37">
            <v>13</v>
          </cell>
          <cell r="BF37">
            <v>0</v>
          </cell>
          <cell r="BG37">
            <v>9</v>
          </cell>
          <cell r="BH37">
            <v>6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O38">
            <v>8</v>
          </cell>
          <cell r="S38">
            <v>6</v>
          </cell>
          <cell r="T38">
            <v>12</v>
          </cell>
          <cell r="U38">
            <v>13</v>
          </cell>
          <cell r="V38">
            <v>12</v>
          </cell>
          <cell r="BF38">
            <v>7</v>
          </cell>
          <cell r="BG38">
            <v>9</v>
          </cell>
          <cell r="BH38">
            <v>5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12</v>
          </cell>
          <cell r="T4">
            <v>20</v>
          </cell>
          <cell r="U4">
            <v>12</v>
          </cell>
          <cell r="V4">
            <v>8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12</v>
          </cell>
          <cell r="U5">
            <v>12</v>
          </cell>
          <cell r="V5">
            <v>4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8</v>
          </cell>
          <cell r="T6">
            <v>12</v>
          </cell>
          <cell r="U6">
            <v>12</v>
          </cell>
          <cell r="V6">
            <v>4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12</v>
          </cell>
          <cell r="T7">
            <v>12</v>
          </cell>
          <cell r="U7">
            <v>8</v>
          </cell>
          <cell r="V7">
            <v>8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12</v>
          </cell>
          <cell r="U8">
            <v>8</v>
          </cell>
          <cell r="V8">
            <v>8</v>
          </cell>
          <cell r="BF8">
            <v>0</v>
          </cell>
          <cell r="BG8">
            <v>4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8</v>
          </cell>
          <cell r="BF9">
            <v>0</v>
          </cell>
          <cell r="BG9">
            <v>6</v>
          </cell>
          <cell r="BH9">
            <v>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15</v>
          </cell>
          <cell r="T10">
            <v>12</v>
          </cell>
          <cell r="U10">
            <v>8</v>
          </cell>
          <cell r="V10">
            <v>10</v>
          </cell>
          <cell r="BF10">
            <v>0</v>
          </cell>
          <cell r="BG10">
            <v>6</v>
          </cell>
          <cell r="BH10">
            <v>3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9</v>
          </cell>
          <cell r="T11">
            <v>12</v>
          </cell>
          <cell r="U11">
            <v>8</v>
          </cell>
          <cell r="V11">
            <v>6</v>
          </cell>
          <cell r="BF11">
            <v>0</v>
          </cell>
          <cell r="BG11">
            <v>6</v>
          </cell>
          <cell r="BH11">
            <v>5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7</v>
          </cell>
          <cell r="T12">
            <v>12</v>
          </cell>
          <cell r="U12">
            <v>10</v>
          </cell>
          <cell r="V12">
            <v>7</v>
          </cell>
          <cell r="BF12">
            <v>1</v>
          </cell>
          <cell r="BG12">
            <v>6</v>
          </cell>
          <cell r="BH12">
            <v>7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O13">
            <v>8</v>
          </cell>
          <cell r="S13">
            <v>5</v>
          </cell>
          <cell r="T13">
            <v>11</v>
          </cell>
          <cell r="U13">
            <v>10</v>
          </cell>
          <cell r="V13">
            <v>9</v>
          </cell>
          <cell r="BF13">
            <v>4</v>
          </cell>
          <cell r="BG13">
            <v>5</v>
          </cell>
          <cell r="BH13">
            <v>3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O14">
            <v>8</v>
          </cell>
          <cell r="S14">
            <v>9</v>
          </cell>
          <cell r="T14">
            <v>8</v>
          </cell>
          <cell r="U14">
            <v>10</v>
          </cell>
          <cell r="V14">
            <v>12</v>
          </cell>
          <cell r="BF14">
            <v>6</v>
          </cell>
          <cell r="BG14">
            <v>6</v>
          </cell>
          <cell r="BH14">
            <v>2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O15">
            <v>8</v>
          </cell>
          <cell r="S15">
            <v>11</v>
          </cell>
          <cell r="T15">
            <v>6</v>
          </cell>
          <cell r="U15">
            <v>10</v>
          </cell>
          <cell r="V15">
            <v>13</v>
          </cell>
          <cell r="BF15">
            <v>0</v>
          </cell>
          <cell r="BG15">
            <v>6</v>
          </cell>
          <cell r="BH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S16">
            <v>16</v>
          </cell>
          <cell r="T16">
            <v>12</v>
          </cell>
          <cell r="U16">
            <v>9</v>
          </cell>
          <cell r="V16">
            <v>9</v>
          </cell>
          <cell r="BF16">
            <v>0</v>
          </cell>
          <cell r="BG16">
            <v>6</v>
          </cell>
          <cell r="BH16">
            <v>4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14</v>
          </cell>
          <cell r="T17">
            <v>12</v>
          </cell>
          <cell r="U17">
            <v>10</v>
          </cell>
          <cell r="V17">
            <v>8</v>
          </cell>
          <cell r="BF17">
            <v>0</v>
          </cell>
          <cell r="BG17">
            <v>6</v>
          </cell>
          <cell r="BH17">
            <v>8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4</v>
          </cell>
          <cell r="T18">
            <v>13</v>
          </cell>
          <cell r="U18">
            <v>10</v>
          </cell>
          <cell r="V18">
            <v>6</v>
          </cell>
          <cell r="BF18">
            <v>0</v>
          </cell>
          <cell r="BG18">
            <v>5</v>
          </cell>
          <cell r="BH18">
            <v>5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O19">
            <v>8</v>
          </cell>
          <cell r="S19">
            <v>7</v>
          </cell>
          <cell r="T19">
            <v>12</v>
          </cell>
          <cell r="U19">
            <v>10</v>
          </cell>
          <cell r="V19">
            <v>11</v>
          </cell>
          <cell r="BF19">
            <v>9</v>
          </cell>
          <cell r="BG19">
            <v>6</v>
          </cell>
          <cell r="BH19">
            <v>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O20">
            <v>8</v>
          </cell>
          <cell r="S20">
            <v>8</v>
          </cell>
          <cell r="T20">
            <v>3</v>
          </cell>
          <cell r="U20">
            <v>10</v>
          </cell>
          <cell r="V20">
            <v>14</v>
          </cell>
          <cell r="BF20">
            <v>4</v>
          </cell>
          <cell r="BG20">
            <v>6</v>
          </cell>
          <cell r="BH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O21">
            <v>8</v>
          </cell>
          <cell r="S21">
            <v>12</v>
          </cell>
          <cell r="T21">
            <v>8</v>
          </cell>
          <cell r="U21">
            <v>9</v>
          </cell>
          <cell r="V21">
            <v>11</v>
          </cell>
          <cell r="BF21">
            <v>1</v>
          </cell>
          <cell r="BG21">
            <v>6</v>
          </cell>
          <cell r="BH21">
            <v>1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20</v>
          </cell>
          <cell r="T22">
            <v>11</v>
          </cell>
          <cell r="U22">
            <v>10</v>
          </cell>
          <cell r="V22">
            <v>10</v>
          </cell>
          <cell r="BF22">
            <v>0</v>
          </cell>
          <cell r="BG22">
            <v>6</v>
          </cell>
          <cell r="BH22">
            <v>7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9</v>
          </cell>
          <cell r="T23">
            <v>14</v>
          </cell>
          <cell r="U23">
            <v>10</v>
          </cell>
          <cell r="V23">
            <v>6</v>
          </cell>
          <cell r="BF23">
            <v>0</v>
          </cell>
          <cell r="BG23">
            <v>5</v>
          </cell>
          <cell r="BH23">
            <v>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O24">
            <v>8</v>
          </cell>
          <cell r="S24">
            <v>7</v>
          </cell>
          <cell r="T24">
            <v>12</v>
          </cell>
          <cell r="U24">
            <v>10</v>
          </cell>
          <cell r="V24">
            <v>8</v>
          </cell>
          <cell r="BF24">
            <v>4</v>
          </cell>
          <cell r="BG24">
            <v>6</v>
          </cell>
          <cell r="BH24">
            <v>6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O25">
            <v>8</v>
          </cell>
          <cell r="S25">
            <v>6</v>
          </cell>
          <cell r="T25">
            <v>8</v>
          </cell>
          <cell r="U25">
            <v>10</v>
          </cell>
          <cell r="V25">
            <v>13</v>
          </cell>
          <cell r="BF25">
            <v>5</v>
          </cell>
          <cell r="BG25">
            <v>6</v>
          </cell>
          <cell r="BH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O26">
            <v>8</v>
          </cell>
          <cell r="S26">
            <v>12</v>
          </cell>
          <cell r="T26">
            <v>7</v>
          </cell>
          <cell r="U26">
            <v>9</v>
          </cell>
          <cell r="V26">
            <v>12</v>
          </cell>
          <cell r="BF26">
            <v>5</v>
          </cell>
          <cell r="BG26">
            <v>6</v>
          </cell>
          <cell r="BH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O27">
            <v>8</v>
          </cell>
          <cell r="S27">
            <v>16</v>
          </cell>
          <cell r="T27">
            <v>7</v>
          </cell>
          <cell r="U27">
            <v>10</v>
          </cell>
          <cell r="V27">
            <v>12</v>
          </cell>
          <cell r="BF27">
            <v>0</v>
          </cell>
          <cell r="BG27">
            <v>6</v>
          </cell>
          <cell r="BH27">
            <v>5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S28">
            <v>12</v>
          </cell>
          <cell r="T28">
            <v>12</v>
          </cell>
          <cell r="U28">
            <v>10</v>
          </cell>
          <cell r="V28">
            <v>6</v>
          </cell>
          <cell r="BF28">
            <v>0</v>
          </cell>
          <cell r="BG28">
            <v>5</v>
          </cell>
          <cell r="BH28">
            <v>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11</v>
          </cell>
          <cell r="T29">
            <v>12</v>
          </cell>
          <cell r="U29">
            <v>10</v>
          </cell>
          <cell r="V29">
            <v>7</v>
          </cell>
          <cell r="BF29">
            <v>0</v>
          </cell>
          <cell r="BG29">
            <v>6</v>
          </cell>
          <cell r="BH29">
            <v>8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O30">
            <v>8</v>
          </cell>
          <cell r="S30">
            <v>4</v>
          </cell>
          <cell r="T30">
            <v>12</v>
          </cell>
          <cell r="U30">
            <v>10</v>
          </cell>
          <cell r="V30">
            <v>11</v>
          </cell>
          <cell r="BF30">
            <v>4</v>
          </cell>
          <cell r="BG30">
            <v>6</v>
          </cell>
          <cell r="BH30">
            <v>1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O31">
            <v>8</v>
          </cell>
          <cell r="S31">
            <v>11</v>
          </cell>
          <cell r="T31">
            <v>8</v>
          </cell>
          <cell r="U31">
            <v>9</v>
          </cell>
          <cell r="V31">
            <v>12</v>
          </cell>
          <cell r="BF31">
            <v>9</v>
          </cell>
          <cell r="BG31">
            <v>6</v>
          </cell>
          <cell r="BH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O32">
            <v>8</v>
          </cell>
          <cell r="S32">
            <v>12</v>
          </cell>
          <cell r="T32">
            <v>3</v>
          </cell>
          <cell r="U32">
            <v>7</v>
          </cell>
          <cell r="V32">
            <v>14</v>
          </cell>
          <cell r="BF32">
            <v>0</v>
          </cell>
          <cell r="BG32">
            <v>6</v>
          </cell>
          <cell r="BH32">
            <v>3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13</v>
          </cell>
          <cell r="T33">
            <v>12</v>
          </cell>
          <cell r="U33">
            <v>10</v>
          </cell>
          <cell r="V33">
            <v>7</v>
          </cell>
          <cell r="BF33">
            <v>0</v>
          </cell>
          <cell r="BG33">
            <v>7</v>
          </cell>
          <cell r="BH33">
            <v>5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16</v>
          </cell>
          <cell r="T34">
            <v>12</v>
          </cell>
          <cell r="U34">
            <v>10</v>
          </cell>
          <cell r="V34">
            <v>5</v>
          </cell>
          <cell r="BF34">
            <v>0</v>
          </cell>
          <cell r="BG34">
            <v>5</v>
          </cell>
          <cell r="BH34">
            <v>9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O35">
            <v>8</v>
          </cell>
          <cell r="S35">
            <v>3</v>
          </cell>
          <cell r="T35">
            <v>15</v>
          </cell>
          <cell r="U35">
            <v>10</v>
          </cell>
          <cell r="V35">
            <v>10</v>
          </cell>
          <cell r="BF35">
            <v>0</v>
          </cell>
          <cell r="BG35">
            <v>5</v>
          </cell>
          <cell r="BH35">
            <v>7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O36">
            <v>8</v>
          </cell>
          <cell r="S36">
            <v>5</v>
          </cell>
          <cell r="T36">
            <v>12</v>
          </cell>
          <cell r="U36">
            <v>11</v>
          </cell>
          <cell r="V36">
            <v>10</v>
          </cell>
          <cell r="BF36">
            <v>11</v>
          </cell>
          <cell r="BG36">
            <v>6</v>
          </cell>
          <cell r="BH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O37">
            <v>8</v>
          </cell>
          <cell r="S37">
            <v>12</v>
          </cell>
          <cell r="T37">
            <v>1</v>
          </cell>
          <cell r="U37">
            <v>9</v>
          </cell>
          <cell r="V37">
            <v>15</v>
          </cell>
          <cell r="BF37">
            <v>7</v>
          </cell>
          <cell r="BG37">
            <v>6</v>
          </cell>
          <cell r="BH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O38">
            <v>8</v>
          </cell>
          <cell r="S38">
            <v>12</v>
          </cell>
          <cell r="T38">
            <v>5</v>
          </cell>
          <cell r="U38">
            <v>9</v>
          </cell>
          <cell r="V38">
            <v>13</v>
          </cell>
          <cell r="BF38">
            <v>0</v>
          </cell>
          <cell r="BG38">
            <v>6</v>
          </cell>
          <cell r="BH38">
            <v>1</v>
          </cell>
        </row>
      </sheetData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_Outcome"/>
      <sheetName val="CRP_Outcome_Baseline"/>
      <sheetName val="Compare"/>
      <sheetName val="CRP_Outcome_ELV"/>
      <sheetName val="CRP_Outcome_CRP"/>
      <sheetName val="Analysis"/>
      <sheetName val="Graphs ELV"/>
      <sheetName val="Graphs CRP"/>
    </sheetNames>
    <sheetDataSet>
      <sheetData sheetId="0"/>
      <sheetData sheetId="1"/>
      <sheetData sheetId="2"/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S3">
            <v>12</v>
          </cell>
          <cell r="T3">
            <v>12</v>
          </cell>
          <cell r="U3">
            <v>12</v>
          </cell>
          <cell r="V3">
            <v>12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S4">
            <v>12</v>
          </cell>
          <cell r="T4">
            <v>12</v>
          </cell>
          <cell r="U4">
            <v>12</v>
          </cell>
          <cell r="V4">
            <v>12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S5">
            <v>12</v>
          </cell>
          <cell r="T5">
            <v>12</v>
          </cell>
          <cell r="U5">
            <v>12</v>
          </cell>
          <cell r="V5">
            <v>12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S6">
            <v>12</v>
          </cell>
          <cell r="T6">
            <v>12</v>
          </cell>
          <cell r="U6">
            <v>12</v>
          </cell>
          <cell r="V6">
            <v>12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S7">
            <v>12</v>
          </cell>
          <cell r="T7">
            <v>12</v>
          </cell>
          <cell r="U7">
            <v>8</v>
          </cell>
          <cell r="V7">
            <v>12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S8">
            <v>12</v>
          </cell>
          <cell r="T8">
            <v>12</v>
          </cell>
          <cell r="U8">
            <v>8</v>
          </cell>
          <cell r="V8">
            <v>12</v>
          </cell>
          <cell r="BF8">
            <v>0</v>
          </cell>
          <cell r="BG8">
            <v>10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S9">
            <v>16</v>
          </cell>
          <cell r="T9">
            <v>16</v>
          </cell>
          <cell r="U9">
            <v>8</v>
          </cell>
          <cell r="V9">
            <v>6</v>
          </cell>
          <cell r="BF9">
            <v>2</v>
          </cell>
          <cell r="BG9">
            <v>14</v>
          </cell>
          <cell r="BH9">
            <v>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S10">
            <v>15</v>
          </cell>
          <cell r="T10">
            <v>14</v>
          </cell>
          <cell r="U10">
            <v>8</v>
          </cell>
          <cell r="V10">
            <v>2</v>
          </cell>
          <cell r="BF10">
            <v>0</v>
          </cell>
          <cell r="BG10">
            <v>10</v>
          </cell>
          <cell r="BH10">
            <v>21</v>
          </cell>
        </row>
        <row r="11">
          <cell r="B11">
            <v>9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S11">
            <v>0</v>
          </cell>
          <cell r="T11">
            <v>14</v>
          </cell>
          <cell r="U11">
            <v>14</v>
          </cell>
          <cell r="V11">
            <v>2</v>
          </cell>
          <cell r="BF11">
            <v>0</v>
          </cell>
          <cell r="BG11">
            <v>8</v>
          </cell>
          <cell r="BH11">
            <v>17</v>
          </cell>
        </row>
        <row r="12">
          <cell r="B12">
            <v>3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S12">
            <v>0</v>
          </cell>
          <cell r="T12">
            <v>14</v>
          </cell>
          <cell r="U12">
            <v>18</v>
          </cell>
          <cell r="V12">
            <v>5</v>
          </cell>
          <cell r="BF12">
            <v>44</v>
          </cell>
          <cell r="BG12">
            <v>6</v>
          </cell>
          <cell r="BH12">
            <v>5</v>
          </cell>
        </row>
        <row r="13">
          <cell r="B13">
            <v>0</v>
          </cell>
          <cell r="C13">
            <v>30</v>
          </cell>
          <cell r="D13">
            <v>0</v>
          </cell>
          <cell r="E13">
            <v>0</v>
          </cell>
          <cell r="O13">
            <v>8</v>
          </cell>
          <cell r="S13">
            <v>7</v>
          </cell>
          <cell r="T13">
            <v>0</v>
          </cell>
          <cell r="U13">
            <v>14</v>
          </cell>
          <cell r="V13">
            <v>18</v>
          </cell>
          <cell r="BF13">
            <v>27</v>
          </cell>
          <cell r="BG13">
            <v>7</v>
          </cell>
          <cell r="BH13">
            <v>1</v>
          </cell>
        </row>
        <row r="14">
          <cell r="B14">
            <v>0</v>
          </cell>
          <cell r="C14">
            <v>57</v>
          </cell>
          <cell r="D14">
            <v>0</v>
          </cell>
          <cell r="E14">
            <v>0</v>
          </cell>
          <cell r="O14">
            <v>8</v>
          </cell>
          <cell r="S14">
            <v>11</v>
          </cell>
          <cell r="T14">
            <v>0</v>
          </cell>
          <cell r="U14">
            <v>12</v>
          </cell>
          <cell r="V14">
            <v>19</v>
          </cell>
          <cell r="BF14">
            <v>0</v>
          </cell>
          <cell r="BG14">
            <v>10</v>
          </cell>
          <cell r="BH14">
            <v>0</v>
          </cell>
        </row>
        <row r="15">
          <cell r="B15">
            <v>0</v>
          </cell>
          <cell r="C15">
            <v>57</v>
          </cell>
          <cell r="D15">
            <v>0</v>
          </cell>
          <cell r="E15">
            <v>0</v>
          </cell>
          <cell r="O15">
            <v>8</v>
          </cell>
          <cell r="S15">
            <v>26</v>
          </cell>
          <cell r="T15">
            <v>0</v>
          </cell>
          <cell r="U15">
            <v>10</v>
          </cell>
          <cell r="V15">
            <v>7</v>
          </cell>
          <cell r="BF15">
            <v>0</v>
          </cell>
          <cell r="BG15">
            <v>10</v>
          </cell>
          <cell r="BH15">
            <v>0</v>
          </cell>
        </row>
        <row r="16">
          <cell r="B16">
            <v>0</v>
          </cell>
          <cell r="C16">
            <v>9</v>
          </cell>
          <cell r="D16">
            <v>0</v>
          </cell>
          <cell r="E16">
            <v>0</v>
          </cell>
          <cell r="O16">
            <v>8</v>
          </cell>
          <cell r="S16">
            <v>12</v>
          </cell>
          <cell r="T16">
            <v>0</v>
          </cell>
          <cell r="U16">
            <v>11</v>
          </cell>
          <cell r="V16">
            <v>3</v>
          </cell>
          <cell r="BF16">
            <v>0</v>
          </cell>
          <cell r="BG16">
            <v>10</v>
          </cell>
          <cell r="BH16">
            <v>17</v>
          </cell>
        </row>
        <row r="17">
          <cell r="B17">
            <v>5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S17">
            <v>0</v>
          </cell>
          <cell r="T17">
            <v>39</v>
          </cell>
          <cell r="U17">
            <v>14</v>
          </cell>
          <cell r="V17">
            <v>2</v>
          </cell>
          <cell r="BF17">
            <v>0</v>
          </cell>
          <cell r="BG17">
            <v>8</v>
          </cell>
          <cell r="BH17">
            <v>13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S18">
            <v>47</v>
          </cell>
          <cell r="T18">
            <v>52</v>
          </cell>
          <cell r="U18">
            <v>14</v>
          </cell>
          <cell r="V18">
            <v>4</v>
          </cell>
          <cell r="BF18">
            <v>7</v>
          </cell>
          <cell r="BG18">
            <v>7</v>
          </cell>
          <cell r="BH18">
            <v>8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O19">
            <v>8</v>
          </cell>
          <cell r="S19">
            <v>13</v>
          </cell>
          <cell r="T19">
            <v>45</v>
          </cell>
          <cell r="U19">
            <v>14</v>
          </cell>
          <cell r="V19">
            <v>17</v>
          </cell>
          <cell r="BF19">
            <v>5</v>
          </cell>
          <cell r="BG19">
            <v>8</v>
          </cell>
          <cell r="BH19">
            <v>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O20">
            <v>8</v>
          </cell>
          <cell r="S20">
            <v>10</v>
          </cell>
          <cell r="T20">
            <v>40</v>
          </cell>
          <cell r="U20">
            <v>12</v>
          </cell>
          <cell r="V20">
            <v>17</v>
          </cell>
          <cell r="BF20">
            <v>15</v>
          </cell>
          <cell r="BG20">
            <v>9</v>
          </cell>
          <cell r="BH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O21">
            <v>8</v>
          </cell>
          <cell r="S21">
            <v>19</v>
          </cell>
          <cell r="T21">
            <v>25</v>
          </cell>
          <cell r="U21">
            <v>11</v>
          </cell>
          <cell r="V21">
            <v>11</v>
          </cell>
          <cell r="BF21">
            <v>0</v>
          </cell>
          <cell r="BG21">
            <v>10</v>
          </cell>
          <cell r="BH21">
            <v>1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S22">
            <v>16</v>
          </cell>
          <cell r="T22">
            <v>25</v>
          </cell>
          <cell r="U22">
            <v>12</v>
          </cell>
          <cell r="V22">
            <v>4</v>
          </cell>
          <cell r="BF22">
            <v>0</v>
          </cell>
          <cell r="BG22">
            <v>9</v>
          </cell>
          <cell r="BH22">
            <v>12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S23">
            <v>15</v>
          </cell>
          <cell r="T23">
            <v>25</v>
          </cell>
          <cell r="U23">
            <v>13</v>
          </cell>
          <cell r="V23">
            <v>3</v>
          </cell>
          <cell r="BF23">
            <v>0</v>
          </cell>
          <cell r="BG23">
            <v>8</v>
          </cell>
          <cell r="BH23">
            <v>14</v>
          </cell>
        </row>
        <row r="24">
          <cell r="B24">
            <v>2</v>
          </cell>
          <cell r="C24">
            <v>0</v>
          </cell>
          <cell r="D24">
            <v>0</v>
          </cell>
          <cell r="E24">
            <v>0</v>
          </cell>
          <cell r="O24">
            <v>8</v>
          </cell>
          <cell r="S24">
            <v>0</v>
          </cell>
          <cell r="T24">
            <v>28</v>
          </cell>
          <cell r="U24">
            <v>14</v>
          </cell>
          <cell r="V24">
            <v>5</v>
          </cell>
          <cell r="BF24">
            <v>16</v>
          </cell>
          <cell r="BG24">
            <v>8</v>
          </cell>
          <cell r="BH24">
            <v>7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O25">
            <v>8</v>
          </cell>
          <cell r="S25">
            <v>5</v>
          </cell>
          <cell r="T25">
            <v>12</v>
          </cell>
          <cell r="U25">
            <v>13</v>
          </cell>
          <cell r="V25">
            <v>16</v>
          </cell>
          <cell r="BF25">
            <v>28</v>
          </cell>
          <cell r="BG25">
            <v>8</v>
          </cell>
          <cell r="BH25">
            <v>0</v>
          </cell>
        </row>
        <row r="26">
          <cell r="B26">
            <v>0</v>
          </cell>
          <cell r="C26">
            <v>16</v>
          </cell>
          <cell r="D26">
            <v>0</v>
          </cell>
          <cell r="E26">
            <v>0</v>
          </cell>
          <cell r="O26">
            <v>8</v>
          </cell>
          <cell r="S26">
            <v>12</v>
          </cell>
          <cell r="T26">
            <v>0</v>
          </cell>
          <cell r="U26">
            <v>12</v>
          </cell>
          <cell r="V26">
            <v>16</v>
          </cell>
          <cell r="BF26">
            <v>2</v>
          </cell>
          <cell r="BG26">
            <v>9</v>
          </cell>
          <cell r="BH26">
            <v>0</v>
          </cell>
        </row>
        <row r="27">
          <cell r="B27">
            <v>0</v>
          </cell>
          <cell r="C27">
            <v>18</v>
          </cell>
          <cell r="D27">
            <v>0</v>
          </cell>
          <cell r="E27">
            <v>0</v>
          </cell>
          <cell r="O27">
            <v>8</v>
          </cell>
          <cell r="S27">
            <v>28</v>
          </cell>
          <cell r="T27">
            <v>0</v>
          </cell>
          <cell r="U27">
            <v>12</v>
          </cell>
          <cell r="V27">
            <v>10</v>
          </cell>
          <cell r="BF27">
            <v>0</v>
          </cell>
          <cell r="BG27">
            <v>9</v>
          </cell>
          <cell r="BH27">
            <v>4</v>
          </cell>
        </row>
        <row r="28">
          <cell r="B28">
            <v>0</v>
          </cell>
          <cell r="C28">
            <v>10</v>
          </cell>
          <cell r="D28">
            <v>0</v>
          </cell>
          <cell r="E28">
            <v>0</v>
          </cell>
          <cell r="O28">
            <v>8</v>
          </cell>
          <cell r="S28">
            <v>20</v>
          </cell>
          <cell r="T28">
            <v>0</v>
          </cell>
          <cell r="U28">
            <v>12</v>
          </cell>
          <cell r="V28">
            <v>3</v>
          </cell>
          <cell r="BF28">
            <v>0</v>
          </cell>
          <cell r="BG28">
            <v>9</v>
          </cell>
          <cell r="BH28">
            <v>12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S29">
            <v>0</v>
          </cell>
          <cell r="T29">
            <v>23</v>
          </cell>
          <cell r="U29">
            <v>13</v>
          </cell>
          <cell r="V29">
            <v>3</v>
          </cell>
          <cell r="BF29">
            <v>0</v>
          </cell>
          <cell r="BG29">
            <v>9</v>
          </cell>
          <cell r="BH29">
            <v>12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O30">
            <v>8</v>
          </cell>
          <cell r="S30">
            <v>8</v>
          </cell>
          <cell r="T30">
            <v>34</v>
          </cell>
          <cell r="U30">
            <v>13</v>
          </cell>
          <cell r="V30">
            <v>7</v>
          </cell>
          <cell r="BF30">
            <v>17</v>
          </cell>
          <cell r="BG30">
            <v>8</v>
          </cell>
          <cell r="BH30">
            <v>6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O31">
            <v>8</v>
          </cell>
          <cell r="S31">
            <v>16</v>
          </cell>
          <cell r="T31">
            <v>17</v>
          </cell>
          <cell r="U31">
            <v>13</v>
          </cell>
          <cell r="V31">
            <v>16</v>
          </cell>
          <cell r="BF31">
            <v>15</v>
          </cell>
          <cell r="BG31">
            <v>8</v>
          </cell>
          <cell r="BH31">
            <v>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O32">
            <v>8</v>
          </cell>
          <cell r="S32">
            <v>10</v>
          </cell>
          <cell r="T32">
            <v>2</v>
          </cell>
          <cell r="U32">
            <v>13</v>
          </cell>
          <cell r="V32">
            <v>16</v>
          </cell>
          <cell r="BF32">
            <v>0</v>
          </cell>
          <cell r="BG32">
            <v>9</v>
          </cell>
          <cell r="BH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S33">
            <v>29</v>
          </cell>
          <cell r="T33">
            <v>2</v>
          </cell>
          <cell r="U33">
            <v>12</v>
          </cell>
          <cell r="V33">
            <v>9</v>
          </cell>
          <cell r="BF33">
            <v>0</v>
          </cell>
          <cell r="BG33">
            <v>9</v>
          </cell>
          <cell r="BH33">
            <v>4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S34">
            <v>23</v>
          </cell>
          <cell r="T34">
            <v>8</v>
          </cell>
          <cell r="U34">
            <v>12</v>
          </cell>
          <cell r="V34">
            <v>5</v>
          </cell>
          <cell r="BF34">
            <v>0</v>
          </cell>
          <cell r="BG34">
            <v>9</v>
          </cell>
          <cell r="BH34">
            <v>12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O35">
            <v>8</v>
          </cell>
          <cell r="S35">
            <v>0</v>
          </cell>
          <cell r="T35">
            <v>24</v>
          </cell>
          <cell r="U35">
            <v>13</v>
          </cell>
          <cell r="V35">
            <v>3</v>
          </cell>
          <cell r="BF35">
            <v>0</v>
          </cell>
          <cell r="BG35">
            <v>9</v>
          </cell>
          <cell r="BH35">
            <v>10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O36">
            <v>8</v>
          </cell>
          <cell r="S36">
            <v>2</v>
          </cell>
          <cell r="T36">
            <v>26</v>
          </cell>
          <cell r="U36">
            <v>13</v>
          </cell>
          <cell r="V36">
            <v>7</v>
          </cell>
          <cell r="BF36">
            <v>25</v>
          </cell>
          <cell r="BG36">
            <v>8</v>
          </cell>
          <cell r="BH36">
            <v>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O37">
            <v>8</v>
          </cell>
          <cell r="S37">
            <v>5</v>
          </cell>
          <cell r="T37">
            <v>1</v>
          </cell>
          <cell r="U37">
            <v>13</v>
          </cell>
          <cell r="V37">
            <v>16</v>
          </cell>
          <cell r="BF37">
            <v>15</v>
          </cell>
          <cell r="BG37">
            <v>8</v>
          </cell>
          <cell r="BH37">
            <v>2</v>
          </cell>
        </row>
        <row r="38">
          <cell r="B38">
            <v>0</v>
          </cell>
          <cell r="C38">
            <v>14</v>
          </cell>
          <cell r="D38">
            <v>0</v>
          </cell>
          <cell r="E38">
            <v>0</v>
          </cell>
          <cell r="O38">
            <v>8</v>
          </cell>
          <cell r="S38">
            <v>10</v>
          </cell>
          <cell r="T38">
            <v>0</v>
          </cell>
          <cell r="U38">
            <v>13</v>
          </cell>
          <cell r="V38">
            <v>14</v>
          </cell>
          <cell r="BF38">
            <v>1</v>
          </cell>
          <cell r="BG38">
            <v>9</v>
          </cell>
          <cell r="BH38">
            <v>0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O2">
            <v>0</v>
          </cell>
          <cell r="S2">
            <v>12</v>
          </cell>
          <cell r="T2">
            <v>12</v>
          </cell>
          <cell r="U2">
            <v>12</v>
          </cell>
          <cell r="V2">
            <v>12</v>
          </cell>
          <cell r="BF2">
            <v>0</v>
          </cell>
          <cell r="BG2">
            <v>0</v>
          </cell>
          <cell r="BH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O3">
            <v>4</v>
          </cell>
          <cell r="BF3">
            <v>4</v>
          </cell>
          <cell r="BG3">
            <v>4</v>
          </cell>
          <cell r="BH3">
            <v>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O4">
            <v>4</v>
          </cell>
          <cell r="BF4">
            <v>4</v>
          </cell>
          <cell r="BG4">
            <v>4</v>
          </cell>
          <cell r="BH4">
            <v>4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O5">
            <v>4</v>
          </cell>
          <cell r="BF5">
            <v>4</v>
          </cell>
          <cell r="BG5">
            <v>4</v>
          </cell>
          <cell r="BH5">
            <v>4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O6">
            <v>4</v>
          </cell>
          <cell r="BF6">
            <v>4</v>
          </cell>
          <cell r="BG6">
            <v>4</v>
          </cell>
          <cell r="BH6">
            <v>4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O7">
            <v>8</v>
          </cell>
          <cell r="BF7">
            <v>4</v>
          </cell>
          <cell r="BG7">
            <v>4</v>
          </cell>
          <cell r="BH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O8">
            <v>8</v>
          </cell>
          <cell r="BF8">
            <v>0</v>
          </cell>
          <cell r="BG8">
            <v>10</v>
          </cell>
          <cell r="B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O9">
            <v>8</v>
          </cell>
          <cell r="BF9">
            <v>0</v>
          </cell>
          <cell r="BG9">
            <v>11</v>
          </cell>
          <cell r="BH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O10">
            <v>8</v>
          </cell>
          <cell r="BF10">
            <v>0</v>
          </cell>
          <cell r="BG10">
            <v>10</v>
          </cell>
          <cell r="BH10">
            <v>15</v>
          </cell>
        </row>
        <row r="11">
          <cell r="B11">
            <v>3</v>
          </cell>
          <cell r="C11">
            <v>0</v>
          </cell>
          <cell r="D11">
            <v>0</v>
          </cell>
          <cell r="E11">
            <v>0</v>
          </cell>
          <cell r="O11">
            <v>8</v>
          </cell>
          <cell r="BF11">
            <v>0</v>
          </cell>
          <cell r="BG11">
            <v>9</v>
          </cell>
          <cell r="BH11">
            <v>16</v>
          </cell>
        </row>
        <row r="12">
          <cell r="B12">
            <v>4</v>
          </cell>
          <cell r="C12">
            <v>0</v>
          </cell>
          <cell r="D12">
            <v>0</v>
          </cell>
          <cell r="E12">
            <v>0</v>
          </cell>
          <cell r="O12">
            <v>8</v>
          </cell>
          <cell r="BF12">
            <v>43</v>
          </cell>
          <cell r="BG12">
            <v>7</v>
          </cell>
          <cell r="BH12">
            <v>10</v>
          </cell>
        </row>
        <row r="13">
          <cell r="B13">
            <v>0</v>
          </cell>
          <cell r="C13">
            <v>31</v>
          </cell>
          <cell r="D13">
            <v>0</v>
          </cell>
          <cell r="E13">
            <v>0</v>
          </cell>
          <cell r="O13">
            <v>8</v>
          </cell>
          <cell r="BF13">
            <v>14</v>
          </cell>
          <cell r="BG13">
            <v>9</v>
          </cell>
          <cell r="BH13">
            <v>5</v>
          </cell>
        </row>
        <row r="14">
          <cell r="B14">
            <v>0</v>
          </cell>
          <cell r="C14">
            <v>2</v>
          </cell>
          <cell r="D14">
            <v>0</v>
          </cell>
          <cell r="E14">
            <v>0</v>
          </cell>
          <cell r="O14">
            <v>8</v>
          </cell>
          <cell r="BF14">
            <v>0</v>
          </cell>
          <cell r="BG14">
            <v>10</v>
          </cell>
          <cell r="BH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O15">
            <v>8</v>
          </cell>
          <cell r="BF15">
            <v>7</v>
          </cell>
          <cell r="BG15">
            <v>10</v>
          </cell>
          <cell r="BH15">
            <v>9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O16">
            <v>8</v>
          </cell>
          <cell r="BF16">
            <v>0</v>
          </cell>
          <cell r="BG16">
            <v>10</v>
          </cell>
          <cell r="BH16">
            <v>14</v>
          </cell>
        </row>
        <row r="17">
          <cell r="B17">
            <v>2</v>
          </cell>
          <cell r="C17">
            <v>0</v>
          </cell>
          <cell r="D17">
            <v>0</v>
          </cell>
          <cell r="E17">
            <v>0</v>
          </cell>
          <cell r="O17">
            <v>8</v>
          </cell>
          <cell r="BF17">
            <v>11</v>
          </cell>
          <cell r="BG17">
            <v>9</v>
          </cell>
          <cell r="BH17">
            <v>13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O18">
            <v>8</v>
          </cell>
          <cell r="BF18">
            <v>36</v>
          </cell>
          <cell r="BG18">
            <v>9</v>
          </cell>
          <cell r="BH18">
            <v>10</v>
          </cell>
        </row>
        <row r="19">
          <cell r="B19">
            <v>0</v>
          </cell>
          <cell r="C19">
            <v>24</v>
          </cell>
          <cell r="D19">
            <v>0</v>
          </cell>
          <cell r="E19">
            <v>0</v>
          </cell>
          <cell r="O19">
            <v>8</v>
          </cell>
          <cell r="BF19">
            <v>0</v>
          </cell>
          <cell r="BG19">
            <v>9</v>
          </cell>
          <cell r="BH19">
            <v>9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O20">
            <v>8</v>
          </cell>
          <cell r="BF20">
            <v>2</v>
          </cell>
          <cell r="BG20">
            <v>9</v>
          </cell>
          <cell r="BH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O21">
            <v>8</v>
          </cell>
          <cell r="BF21">
            <v>23</v>
          </cell>
          <cell r="BG21">
            <v>10</v>
          </cell>
          <cell r="BH21">
            <v>8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O22">
            <v>8</v>
          </cell>
          <cell r="BF22">
            <v>0</v>
          </cell>
          <cell r="BG22">
            <v>9</v>
          </cell>
          <cell r="BH22">
            <v>11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O23">
            <v>8</v>
          </cell>
          <cell r="BF23">
            <v>4</v>
          </cell>
          <cell r="BG23">
            <v>9</v>
          </cell>
          <cell r="BH23">
            <v>13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O24">
            <v>8</v>
          </cell>
          <cell r="BF24">
            <v>13</v>
          </cell>
          <cell r="BG24">
            <v>9</v>
          </cell>
          <cell r="BH24">
            <v>10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O25">
            <v>8</v>
          </cell>
          <cell r="BF25">
            <v>11</v>
          </cell>
          <cell r="BG25">
            <v>9</v>
          </cell>
          <cell r="BH25">
            <v>2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O26">
            <v>8</v>
          </cell>
          <cell r="BF26">
            <v>23</v>
          </cell>
          <cell r="BG26">
            <v>10</v>
          </cell>
          <cell r="BH26">
            <v>5</v>
          </cell>
        </row>
        <row r="27">
          <cell r="B27">
            <v>0</v>
          </cell>
          <cell r="C27">
            <v>10</v>
          </cell>
          <cell r="D27">
            <v>0</v>
          </cell>
          <cell r="E27">
            <v>0</v>
          </cell>
          <cell r="O27">
            <v>8</v>
          </cell>
          <cell r="BF27">
            <v>0</v>
          </cell>
          <cell r="BG27">
            <v>9</v>
          </cell>
          <cell r="BH27">
            <v>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O28">
            <v>8</v>
          </cell>
          <cell r="BF28">
            <v>0</v>
          </cell>
          <cell r="BG28">
            <v>9</v>
          </cell>
          <cell r="BH28">
            <v>14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O29">
            <v>8</v>
          </cell>
          <cell r="BF29">
            <v>9</v>
          </cell>
          <cell r="BG29">
            <v>9</v>
          </cell>
          <cell r="BH29">
            <v>11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O30">
            <v>8</v>
          </cell>
          <cell r="BF30">
            <v>33</v>
          </cell>
          <cell r="BG30">
            <v>9</v>
          </cell>
          <cell r="BH30">
            <v>4</v>
          </cell>
        </row>
        <row r="31">
          <cell r="B31">
            <v>0</v>
          </cell>
          <cell r="C31">
            <v>21</v>
          </cell>
          <cell r="D31">
            <v>0</v>
          </cell>
          <cell r="E31">
            <v>0</v>
          </cell>
          <cell r="O31">
            <v>8</v>
          </cell>
          <cell r="BF31">
            <v>9</v>
          </cell>
          <cell r="BG31">
            <v>10</v>
          </cell>
          <cell r="BH31">
            <v>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O32">
            <v>8</v>
          </cell>
          <cell r="BF32">
            <v>0</v>
          </cell>
          <cell r="BG32">
            <v>9</v>
          </cell>
          <cell r="BH32">
            <v>6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O33">
            <v>8</v>
          </cell>
          <cell r="BF33">
            <v>0</v>
          </cell>
          <cell r="BG33">
            <v>9</v>
          </cell>
          <cell r="BH33">
            <v>14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O34">
            <v>8</v>
          </cell>
          <cell r="BF34">
            <v>2</v>
          </cell>
          <cell r="BG34">
            <v>9</v>
          </cell>
          <cell r="BH34">
            <v>12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O35">
            <v>8</v>
          </cell>
          <cell r="BF35">
            <v>42</v>
          </cell>
          <cell r="BG35">
            <v>9</v>
          </cell>
          <cell r="BH35">
            <v>7</v>
          </cell>
        </row>
        <row r="36">
          <cell r="B36">
            <v>0</v>
          </cell>
          <cell r="C36">
            <v>30</v>
          </cell>
          <cell r="D36">
            <v>0</v>
          </cell>
          <cell r="E36">
            <v>0</v>
          </cell>
          <cell r="O36">
            <v>8</v>
          </cell>
          <cell r="BF36">
            <v>7</v>
          </cell>
          <cell r="BG36">
            <v>10</v>
          </cell>
          <cell r="BH36">
            <v>4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O37">
            <v>8</v>
          </cell>
          <cell r="BF37">
            <v>0</v>
          </cell>
          <cell r="BG37">
            <v>9</v>
          </cell>
          <cell r="BH37">
            <v>4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O38">
            <v>8</v>
          </cell>
          <cell r="BF38">
            <v>5</v>
          </cell>
          <cell r="BG38">
            <v>9</v>
          </cell>
          <cell r="BH38">
            <v>13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AAE7C5-3C7D-4B3E-BF91-BB375178C534}" name="Table1" displayName="Table1" ref="N3:W8" totalsRowShown="0" headerRowDxfId="209" dataDxfId="208" dataCellStyle="Percent">
  <tableColumns count="10">
    <tableColumn id="1" xr3:uid="{54E99600-8F2F-44DC-94BF-362202C2D696}" name="Echelon" dataDxfId="207"/>
    <tableColumn id="2" xr3:uid="{38430F3A-17C4-4520-A8B1-7BB1FD2E4309}" name="Cost Type" dataDxfId="206"/>
    <tableColumn id="3" xr3:uid="{A6E381B7-CE1F-4B31-9E12-5206890097A2}" name="Baseline" dataDxfId="205"/>
    <tableColumn id="4" xr3:uid="{472E9EEA-2DB8-42C5-A53B-DAFC37072C57}" name="ELV" dataDxfId="204"/>
    <tableColumn id="5" xr3:uid="{60C7F343-AEB7-424A-BB23-4E50A251155E}" name="  Baseline" dataDxfId="203" dataCellStyle="Percent">
      <calculatedColumnFormula>(P4-Q4)/P4</calculatedColumnFormula>
    </tableColumn>
    <tableColumn id="9" xr3:uid="{524C6016-C50F-4A2B-A8F7-6700AD8B4D5B}" name="S10" dataDxfId="202" dataCellStyle="Currency">
      <calculatedColumnFormula>_xlfn.STDEV.S(F4,F12,F20,F28,F36,F44,F52,F60,F68,F76)</calculatedColumnFormula>
    </tableColumn>
    <tableColumn id="6" xr3:uid="{883B1332-5048-4698-A141-16EF2CC19994}" name="CRP" dataDxfId="201"/>
    <tableColumn id="7" xr3:uid="{CF93275C-DD98-4672-98D4-FEAA446DFE51}" name="    Baseline " dataDxfId="200" dataCellStyle="Percent">
      <calculatedColumnFormula>(P4-T4)/P4</calculatedColumnFormula>
    </tableColumn>
    <tableColumn id="11" xr3:uid="{8654487A-FC3D-48B9-B687-36940AD9C03F}" name="S10 " dataDxfId="199" dataCellStyle="Currency">
      <calculatedColumnFormula>_xlfn.STDEV.S(H4,H12,H20,H28,H36)</calculatedColumnFormula>
    </tableColumn>
    <tableColumn id="8" xr3:uid="{FD04216B-26AF-4952-B5B7-AAB095887797}" name="    ELV" dataDxfId="198" dataCellStyle="Percent">
      <calculatedColumnFormula>U4-Table1[[#This Row],[  Baseline]]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42BB2E-55AA-47FF-A6AD-E39CE9C7E6C8}" name="Table6" displayName="Table6" ref="C3:J8" totalsRowShown="0" headerRowDxfId="197" dataDxfId="196" dataCellStyle="Percent">
  <autoFilter ref="C3:J8" xr:uid="{CE42BB2E-55AA-47FF-A6AD-E39CE9C7E6C8}"/>
  <tableColumns count="8">
    <tableColumn id="1" xr3:uid="{2799970C-3CD3-4DC6-B3A7-A7BA650B0109}" name="Echelon" dataDxfId="195"/>
    <tableColumn id="2" xr3:uid="{81471561-2C3D-4F09-A4EC-FEFEEAF9C010}" name="Cost Type" dataDxfId="194"/>
    <tableColumn id="3" xr3:uid="{AF24937E-C84C-4BE7-A215-9DAD17437AD7}" name="Baseline" dataDxfId="193"/>
    <tableColumn id="4" xr3:uid="{4033565D-896C-4890-A4B8-1EC620BB176E}" name="ELV" dataDxfId="192"/>
    <tableColumn id="5" xr3:uid="{FDCB1BCA-4C2C-4DBF-9311-B1E22C752300}" name="Delta - Baseline" dataDxfId="191" dataCellStyle="Percent"/>
    <tableColumn id="6" xr3:uid="{15179803-B9BE-4082-B8A4-DC05F0B0F830}" name="CRP" dataDxfId="190"/>
    <tableColumn id="7" xr3:uid="{FD9AAD43-3B17-4A2F-B020-9A8BBF397BF6}" name="Delta - Baseline " dataDxfId="189" dataCellStyle="Percent"/>
    <tableColumn id="8" xr3:uid="{FB0286FF-0879-4AB0-9BF3-142294884BFE}" name="Delta - ELV" dataDxfId="188" dataCellStyle="Percen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A87F5E-12ED-43BD-B6D0-1EB5BE5F6077}" name="Table7" displayName="Table7" ref="C11:J16" totalsRowShown="0" headerRowDxfId="187" dataDxfId="186">
  <autoFilter ref="C11:J16" xr:uid="{EBA87F5E-12ED-43BD-B6D0-1EB5BE5F6077}"/>
  <tableColumns count="8">
    <tableColumn id="1" xr3:uid="{1499E7F9-5DCD-41FC-AEEF-BD126F8A4681}" name="Echelon" dataDxfId="185"/>
    <tableColumn id="2" xr3:uid="{A7EAA11D-D433-406C-BC26-3402D07DAE75}" name="Cost Type" dataDxfId="184"/>
    <tableColumn id="3" xr3:uid="{24D82A66-FE6D-489E-BC7D-7F245B8CC364}" name="Baseline" dataDxfId="183"/>
    <tableColumn id="4" xr3:uid="{60F099B5-4F4F-4C30-B01E-254B5E78CA22}" name="ELV" dataDxfId="182"/>
    <tableColumn id="5" xr3:uid="{948CA4B5-ADFE-441D-8A8E-0A10CC4500DB}" name="Delta - Baseline" dataDxfId="181" dataCellStyle="Percent"/>
    <tableColumn id="6" xr3:uid="{088F49FF-368B-4A53-A730-DB32ECD6D74E}" name="CRP" dataDxfId="180"/>
    <tableColumn id="7" xr3:uid="{C15D2D62-0C78-4999-8CE3-0F9D2E2EC97C}" name="Delta - Baseline " dataDxfId="179" dataCellStyle="Percent"/>
    <tableColumn id="8" xr3:uid="{3E666A0F-5F52-4CDD-8375-86BA51D3FC6B}" name="Delta - ELV" dataDxfId="178" dataCellStyle="Perc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EEDF833-F79F-4969-AC88-9464A8E80795}" name="Table118" displayName="Table118" ref="Q3:AB8" totalsRowShown="0" headerRowDxfId="233" dataDxfId="232" tableBorderDxfId="231" dataCellStyle="Percent">
  <tableColumns count="12">
    <tableColumn id="1" xr3:uid="{859C32FD-8DFC-4EA5-8C26-36437B4308F1}" name="Echelon" dataDxfId="230"/>
    <tableColumn id="3" xr3:uid="{43CB1F07-30E2-4793-B13B-A0C1F0C93A69}" name="Baseline" dataDxfId="229"/>
    <tableColumn id="10" xr3:uid="{26A95B94-0A31-4BDF-8C8A-D3AA1ED80238}" name="DQN" dataDxfId="18" dataCellStyle="Percent">
      <calculatedColumnFormula>'Totals DQN'!AB35</calculatedColumnFormula>
    </tableColumn>
    <tableColumn id="15" xr3:uid="{5C7AE235-C5E7-4CD1-97C7-034EE78771D4}" name="BL-DQN" dataDxfId="16" dataCellStyle="Percent">
      <calculatedColumnFormula>(Table118[[#This Row],[Baseline]]-Table118[[#This Row],[DQN]])/Table118[[#This Row],[Baseline]]</calculatedColumnFormula>
    </tableColumn>
    <tableColumn id="4" xr3:uid="{BE9A5826-AD16-4886-B90C-36FE03401A79}" name="ELV" dataDxfId="17"/>
    <tableColumn id="9" xr3:uid="{C50B6C07-7EE5-4FDF-853D-E0C7FF727749}" name=" " dataDxfId="14" dataCellStyle="Currency">
      <calculatedColumnFormula>_xlfn.STDEV.S(H4,H12,H20,H28,H36,H44,H52,H60,H68,H76)</calculatedColumnFormula>
    </tableColumn>
    <tableColumn id="5" xr3:uid="{012C4501-32DE-447C-923C-8B692F2ED1BE}" name="BL - ELV" dataDxfId="228" dataCellStyle="Percent">
      <calculatedColumnFormula>(R4-U4)/R4</calculatedColumnFormula>
    </tableColumn>
    <tableColumn id="6" xr3:uid="{A2BC2F0D-D0B1-4BA3-807C-DCCCF6051135}" name="CRP" dataDxfId="227"/>
    <tableColumn id="11" xr3:uid="{B50DFD51-4BD1-41A5-9A7F-2BFB6F37A522}" name="  " dataDxfId="15" dataCellStyle="Currency">
      <calculatedColumnFormula>_xlfn.STDEV.S(J4,J12,J20,J28,J36,J44,J52,HK60,J68,J76)</calculatedColumnFormula>
    </tableColumn>
    <tableColumn id="7" xr3:uid="{F52A7643-BA16-45BC-9F17-F88DCDE01743}" name="BL - CRP" dataDxfId="226" dataCellStyle="Percent">
      <calculatedColumnFormula>(R4-X4)/R4</calculatedColumnFormula>
    </tableColumn>
    <tableColumn id="8" xr3:uid="{941FEE4E-A759-441C-BEDF-0009F2CF1677}" name="ELV- CRP" dataDxfId="225" dataCellStyle="Percent">
      <calculatedColumnFormula>Z4-Table118[[#This Row],[BL - ELV]]</calculatedColumnFormula>
    </tableColumn>
    <tableColumn id="12" xr3:uid="{D29705C1-3E39-4730-B0E7-72C0430D408B}" name="DQN-CRP" dataDxfId="19" dataCellStyle="Percent">
      <calculatedColumnFormula>Table118[[#This Row],[BL - CRP]]-Table118[[#This Row],[BL-DQN]]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780243B-D54F-45A4-B3B3-91140BC2970D}" name="Table619" displayName="Table619" ref="C3:M8" totalsRowShown="0" headerRowDxfId="224" dataDxfId="223" tableBorderDxfId="222" dataCellStyle="Percent">
  <tableColumns count="11">
    <tableColumn id="1" xr3:uid="{5C790E82-C2CB-415F-B304-EF36D987A46A}" name="Echelon" dataDxfId="221"/>
    <tableColumn id="2" xr3:uid="{34AC37EC-3440-482D-8E6A-2BA1415DC131}" name="Cost Type" dataDxfId="220"/>
    <tableColumn id="3" xr3:uid="{D68D2784-EAE3-4DAA-A3CF-3FDADADE7CEA}" name="Baseline" dataDxfId="219"/>
    <tableColumn id="10" xr3:uid="{28CEAB70-2542-4615-B859-76AD46E1C259}" name="DQN" dataDxfId="13" dataCellStyle="Percent"/>
    <tableColumn id="9" xr3:uid="{FEBC44FE-88D6-4BFB-A30E-64F9882B27F2}" name="Delta-Baseline" dataDxfId="11" dataCellStyle="Percent">
      <calculatedColumnFormula>(Table619[[#This Row],[Baseline]]-Table619[[#This Row],[DQN]])/Table619[[#This Row],[Baseline]]</calculatedColumnFormula>
    </tableColumn>
    <tableColumn id="4" xr3:uid="{117F4195-501A-4BCD-B630-31C67D0D371F}" name="ELV" dataDxfId="12"/>
    <tableColumn id="5" xr3:uid="{ECD276FC-1496-40E0-805F-60053C311339}" name="Delta - Baseline" dataDxfId="218" dataCellStyle="Percent">
      <calculatedColumnFormula>(Table619[[#This Row],[Baseline]]-Table619[[#This Row],[ELV]])/E4</calculatedColumnFormula>
    </tableColumn>
    <tableColumn id="6" xr3:uid="{19EA0E01-F235-4993-B088-FBDA6A027F92}" name="CRP" dataDxfId="8"/>
    <tableColumn id="7" xr3:uid="{0392CB46-95FF-4BAF-917C-D696012C381C}" name="Delta - Baseline " dataDxfId="7" dataCellStyle="Percent">
      <calculatedColumnFormula>(Table619[[#This Row],[Baseline]]-Table619[[#This Row],[CRP]])/Table619[[#This Row],[Baseline]]</calculatedColumnFormula>
    </tableColumn>
    <tableColumn id="8" xr3:uid="{20A87FA1-0879-4644-8361-49342F05033F}" name="Delta - ELV" dataDxfId="4" dataCellStyle="Percent">
      <calculatedColumnFormula>Table619[[#This Row],[Delta - Baseline ]]-Table619[[#This Row],[Delta - Baseline]]</calculatedColumnFormula>
    </tableColumn>
    <tableColumn id="11" xr3:uid="{332207E2-1893-4BCC-8953-6BF296430CC8}" name="Delta- DQN" dataDxfId="3" dataCellStyle="Percent">
      <calculatedColumnFormula>Table619[[#This Row],[Delta - Baseline ]]-Table619[[#This Row],[Delta-Baseline]]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45250BC-66D4-4ECC-A8C4-9CC123A3816F}" name="Table720" displayName="Table720" ref="C11:M16" totalsRowShown="0" headerRowDxfId="217" dataDxfId="216" tableBorderDxfId="215">
  <tableColumns count="11">
    <tableColumn id="1" xr3:uid="{8DFF45E9-36FE-41BC-A793-3574EE002DAD}" name="Echelon" dataDxfId="214"/>
    <tableColumn id="2" xr3:uid="{CDB8719C-3B3F-45D7-B804-9B17CBD3A4EE}" name="Cost Type" dataDxfId="213"/>
    <tableColumn id="3" xr3:uid="{E9260F7B-4E6E-457F-896A-9E4C03090640}" name="Baseline" dataDxfId="212"/>
    <tableColumn id="10" xr3:uid="{AC90E56C-88D6-4865-A6EE-0D313F205E1F}" name="DQN" dataDxfId="10" dataCellStyle="Percent"/>
    <tableColumn id="9" xr3:uid="{FBCFAA53-DAA7-45DB-8988-B05D62AC267E}" name="Delta-Baseline" dataDxfId="9" dataCellStyle="Percent">
      <calculatedColumnFormula>(Table720[[#This Row],[Baseline]]-Table720[[#This Row],[DQN]])/Table720[[#This Row],[Baseline]]</calculatedColumnFormula>
    </tableColumn>
    <tableColumn id="4" xr3:uid="{59E1BA6D-5614-4C09-89F0-1E0A6F022C80}" name="ELV" dataDxfId="211"/>
    <tableColumn id="5" xr3:uid="{DEA5EE64-8C97-4EB1-9559-BD4C37860267}" name="Delta - Baseline" dataDxfId="210" dataCellStyle="Percent">
      <calculatedColumnFormula>(E12-H12)/E12</calculatedColumnFormula>
    </tableColumn>
    <tableColumn id="6" xr3:uid="{2E579A5B-DD40-4975-B0D6-D786194AB62C}" name="CRP" dataDxfId="6"/>
    <tableColumn id="7" xr3:uid="{084B45B4-3D21-4CE6-A200-5D0857638FFF}" name="Delta - Baseline " dataDxfId="5" dataCellStyle="Percent">
      <calculatedColumnFormula>(E12-J12)/E12</calculatedColumnFormula>
    </tableColumn>
    <tableColumn id="8" xr3:uid="{9E811664-20EF-4E1F-B28D-5D18B762FB1B}" name="Delta - ELV" dataDxfId="2" dataCellStyle="Percent">
      <calculatedColumnFormula>K12-I12</calculatedColumnFormula>
    </tableColumn>
    <tableColumn id="11" xr3:uid="{BCEF5EF7-245D-4443-B487-8D4F4AF07985}" name="Delta - DQN" dataDxfId="1" dataCellStyle="Percent">
      <calculatedColumnFormula>Table720[[#This Row],[Delta-Baseline]]-Table720[[#This Row],[Delta - Baseline ]]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8F26AE-12F3-45BA-8CE4-B7B8883947DB}" name="Table2" displayName="Table2" ref="A1:AD38" totalsRowShown="0" headerRowDxfId="177" dataDxfId="176" tableBorderDxfId="175">
  <autoFilter ref="A1:AD38" xr:uid="{138F26AE-12F3-45BA-8CE4-B7B8883947DB}"/>
  <tableColumns count="30">
    <tableColumn id="1" xr3:uid="{6782D7FB-EDE9-414E-8125-C085956B64B3}" name="t" dataDxfId="174"/>
    <tableColumn id="2" xr3:uid="{8BED244A-30A0-4654-A63F-3EEBA96927D1}" name="I Baseline" dataDxfId="173">
      <calculatedColumnFormula>SUM('Totals Baseline'!B2:E2)</calculatedColumnFormula>
    </tableColumn>
    <tableColumn id="3" xr3:uid="{97BD31FD-E507-4C67-AE81-BB12ED3F2C12}" name="I ELV" dataDxfId="172">
      <calculatedColumnFormula>SUM('Totals ELV'!B2:E2)</calculatedColumnFormula>
    </tableColumn>
    <tableColumn id="4" xr3:uid="{C049D88E-27DF-4D6D-A66E-B8DF7EDC7547}" name="I CRP" dataDxfId="171">
      <calculatedColumnFormula>SUM('Totals CRP'!B2:E2)</calculatedColumnFormula>
    </tableColumn>
    <tableColumn id="25" xr3:uid="{41BEAE48-DC79-4697-A840-CC48B021FB2F}" name="I DQN" dataDxfId="170">
      <calculatedColumnFormula>SUM('Totals DQN'!B2:E2)</calculatedColumnFormula>
    </tableColumn>
    <tableColumn id="5" xr3:uid="{402F49B6-EDC7-4205-B9B1-C00BDF921ED5}" name="t " dataDxfId="169"/>
    <tableColumn id="6" xr3:uid="{60573DB3-940B-4E89-B9C4-9A69BAEBF6E2}" name="B Baseline" dataDxfId="168">
      <calculatedColumnFormula>SUM('Totals Baseline'!G2:J2)</calculatedColumnFormula>
    </tableColumn>
    <tableColumn id="7" xr3:uid="{0AA8A2FB-E424-4200-9E48-19C7467CD515}" name="B ELV" dataDxfId="167">
      <calculatedColumnFormula>SUM('Totals ELV'!G2:J2)</calculatedColumnFormula>
    </tableColumn>
    <tableColumn id="8" xr3:uid="{3026D748-4432-48F8-9E8A-425F314F77B4}" name="B CRP" dataDxfId="166">
      <calculatedColumnFormula>SUM('Totals CRP'!G2:J2)</calculatedColumnFormula>
    </tableColumn>
    <tableColumn id="26" xr3:uid="{9BE36013-E167-48B8-9821-49930635E916}" name="B DQN" dataDxfId="165">
      <calculatedColumnFormula>SUM('Totals DQN'!G2:J2)</calculatedColumnFormula>
    </tableColumn>
    <tableColumn id="9" xr3:uid="{B66699A0-1A6A-4A05-86AA-23D62F466056}" name="t  " dataDxfId="164"/>
    <tableColumn id="10" xr3:uid="{989C7476-4469-4067-B372-E9CC3B144676}" name="O Baseline" dataDxfId="163">
      <calculatedColumnFormula>SUM('Totals Baseline'!L2:O2)</calculatedColumnFormula>
    </tableColumn>
    <tableColumn id="11" xr3:uid="{CD8C2BB3-768A-4756-9D33-08889F20A983}" name="O ELV" dataDxfId="162">
      <calculatedColumnFormula>SUM('Totals ELV'!L2:O2)</calculatedColumnFormula>
    </tableColumn>
    <tableColumn id="12" xr3:uid="{D5FB71FE-DD5F-40FC-BFEA-10BC13C1F6C0}" name="O CRP" dataDxfId="161">
      <calculatedColumnFormula>SUM('Totals CRP'!L2:O2)</calculatedColumnFormula>
    </tableColumn>
    <tableColumn id="27" xr3:uid="{4F5E3329-63DB-481E-BD1C-ACB54A4CFEF5}" name="O DQN" dataDxfId="160">
      <calculatedColumnFormula>SUM('Totals DQN'!L2:O2)</calculatedColumnFormula>
    </tableColumn>
    <tableColumn id="13" xr3:uid="{EF232D4D-245F-41C9-9B64-BBAAE8732C9B}" name="t   " dataDxfId="159"/>
    <tableColumn id="14" xr3:uid="{493A356F-9A70-45E4-A20A-E1400FE9F882}" name="IHC Baseline" dataDxfId="158">
      <calculatedColumnFormula>ROUND(SUM('Totals Baseline'!Q2:T2),0)</calculatedColumnFormula>
    </tableColumn>
    <tableColumn id="15" xr3:uid="{5F73E05B-393E-4EB0-8271-9D33CCF85327}" name="IHC ELV" dataDxfId="157">
      <calculatedColumnFormula>ROUND(SUM('Totals ELV'!Q2:T2),0)</calculatedColumnFormula>
    </tableColumn>
    <tableColumn id="16" xr3:uid="{0AB963D9-2D38-4C72-9640-4A83197410F8}" name="IHC CRP" dataDxfId="156">
      <calculatedColumnFormula>ROUND(SUM('Totals CRP'!Q2:T2),0)</calculatedColumnFormula>
    </tableColumn>
    <tableColumn id="28" xr3:uid="{683AB1C8-4ABB-416F-9C3E-29F581F651E5}" name="IHC DQN" dataDxfId="155">
      <calculatedColumnFormula>ROUND(SUM('Totals DQN'!Q2:T2),0)</calculatedColumnFormula>
    </tableColumn>
    <tableColumn id="17" xr3:uid="{D639EE2A-F9FA-4E36-BED0-62E46D99C138}" name="t    " dataDxfId="154"/>
    <tableColumn id="18" xr3:uid="{1B6054CC-38AA-4621-B2B5-13EBF797B912}" name="UBC Baseline" dataDxfId="153">
      <calculatedColumnFormula>ROUND(SUM('Totals Baseline'!V2:Y2),0)</calculatedColumnFormula>
    </tableColumn>
    <tableColumn id="19" xr3:uid="{61CD9508-0AB0-4FBA-ACF9-E0821547E622}" name="UBC ELV" dataDxfId="152">
      <calculatedColumnFormula>ROUND(SUM('Totals ELV'!V2:Y2),0)</calculatedColumnFormula>
    </tableColumn>
    <tableColumn id="20" xr3:uid="{DEF4BB2E-D643-4B73-BB1C-476832B65080}" name="UBC CRP" dataDxfId="151">
      <calculatedColumnFormula>ROUND(SUM('Totals CRP'!V2:Y2),0)</calculatedColumnFormula>
    </tableColumn>
    <tableColumn id="29" xr3:uid="{1A01C7C8-62F0-4FFF-AF15-27EAF60587D8}" name="UBC DQN" dataDxfId="150">
      <calculatedColumnFormula>ROUND(SUM('Totals DQN'!V2:Y2),0)</calculatedColumnFormula>
    </tableColumn>
    <tableColumn id="21" xr3:uid="{E6BEB0DA-0099-4765-90D6-52386331A56A}" name="t     " dataDxfId="149"/>
    <tableColumn id="22" xr3:uid="{5E5BE5CF-7DDC-4D7C-A162-D32C3762E7DE}" name="TC  Baseline" dataDxfId="148" dataCellStyle="Currency">
      <calculatedColumnFormula>SUM('Totals Baseline'!AA2:AD2)</calculatedColumnFormula>
    </tableColumn>
    <tableColumn id="23" xr3:uid="{EB38E47D-7175-4EC4-9A66-E3A9CC36569F}" name="TC ELV" dataDxfId="147">
      <calculatedColumnFormula>SUM('Totals ELV'!AA2:AD2)</calculatedColumnFormula>
    </tableColumn>
    <tableColumn id="24" xr3:uid="{5E7DAAFE-0B79-4566-9E67-E1607896DDE3}" name="TC CRP" dataDxfId="146">
      <calculatedColumnFormula>SUM('Totals CRP'!AA2:AD2)</calculatedColumnFormula>
    </tableColumn>
    <tableColumn id="30" xr3:uid="{5ED1C492-42AD-4535-9530-5BB6D220D2ED}" name="TC DQN" dataDxfId="145">
      <calculatedColumnFormula>SUM('Totals DQN'!AA2:AD2)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26E5C2-F969-433F-97FF-E01616349938}" name="Table3" displayName="Table3" ref="A1:AD38" totalsRowShown="0" headerRowDxfId="144" tableBorderDxfId="143">
  <autoFilter ref="A1:AD38" xr:uid="{9126E5C2-F969-433F-97FF-E01616349938}"/>
  <tableColumns count="30">
    <tableColumn id="1" xr3:uid="{F312A58C-C81A-4A3A-AD8D-C703D832D6DE}" name="t" dataDxfId="142"/>
    <tableColumn id="2" xr3:uid="{E696E458-812F-4210-A116-DA2F2A1021BD}" name="Avg I Retailer" dataDxfId="141">
      <calculatedColumnFormula>'Inventory Baseline'!BA2</calculatedColumnFormula>
    </tableColumn>
    <tableColumn id="3" xr3:uid="{C0D056E3-7624-4322-915F-72F4C89DEDAE}" name="Avg I Wholesaler" dataDxfId="140">
      <calculatedColumnFormula>'Inventory Baseline'!BB2</calculatedColumnFormula>
    </tableColumn>
    <tableColumn id="4" xr3:uid="{5F085996-425B-4F14-AB39-D97B24D6F02D}" name="Avg I Distributor" dataDxfId="139">
      <calculatedColumnFormula>'Inventory Baseline'!BC2</calculatedColumnFormula>
    </tableColumn>
    <tableColumn id="5" xr3:uid="{D4017D35-5524-446A-A0CF-B39A62F32A27}" name="Avg I Producer" dataDxfId="138">
      <calculatedColumnFormula>'Inventory Baseline'!BD2</calculatedColumnFormula>
    </tableColumn>
    <tableColumn id="6" xr3:uid="{F3B2960B-0C9A-4EBF-8B5C-83A1D3D99182}" name="t " dataDxfId="137"/>
    <tableColumn id="7" xr3:uid="{81E899C7-B1C9-4D51-B060-0922759C7CDB}" name="Avg B Retailer" dataDxfId="136">
      <calculatedColumnFormula>'Backlog Baseline'!BA2</calculatedColumnFormula>
    </tableColumn>
    <tableColumn id="8" xr3:uid="{887ED4F9-5F01-4BC7-8804-5D0EC54C5A93}" name="Avg B Wholesaler" dataDxfId="135">
      <calculatedColumnFormula>'Backlog Baseline'!BB2</calculatedColumnFormula>
    </tableColumn>
    <tableColumn id="9" xr3:uid="{DC071461-B091-4326-BFC1-78476EDD137D}" name="Avg B Distributor" dataDxfId="134">
      <calculatedColumnFormula>'Backlog Baseline'!BC2</calculatedColumnFormula>
    </tableColumn>
    <tableColumn id="10" xr3:uid="{5000C917-5AC4-446F-A150-CB4C86C5AB7D}" name="Avg B Producer" dataDxfId="133">
      <calculatedColumnFormula>'Backlog Baseline'!BD2</calculatedColumnFormula>
    </tableColumn>
    <tableColumn id="11" xr3:uid="{5F18405D-55B4-4C5C-BC6D-799704EB97C7}" name="t  " dataDxfId="132"/>
    <tableColumn id="12" xr3:uid="{FC9E9B24-BB7D-4262-8F49-254CD54F6774}" name="Avg O Retailer" dataDxfId="131">
      <calculatedColumnFormula>'Orders Baseline'!AZ2</calculatedColumnFormula>
    </tableColumn>
    <tableColumn id="13" xr3:uid="{1B41377A-6D10-475F-A62B-6E7F0D49C972}" name="Avg O Wholesaler" dataDxfId="130">
      <calculatedColumnFormula>'Orders Baseline'!BA2</calculatedColumnFormula>
    </tableColumn>
    <tableColumn id="14" xr3:uid="{85AD20CF-EEAD-45EF-AA2E-8D05F624A8CA}" name="Avg O Distributor" dataDxfId="129">
      <calculatedColumnFormula>'Orders Baseline'!BB2</calculatedColumnFormula>
    </tableColumn>
    <tableColumn id="15" xr3:uid="{46DDFCE6-81FC-4A0F-8CE4-01D2EF242E57}" name="Avg O Producer" dataDxfId="128">
      <calculatedColumnFormula>'Orders Baseline'!BC2</calculatedColumnFormula>
    </tableColumn>
    <tableColumn id="16" xr3:uid="{70F06E93-1387-410E-976F-3507F5D1E046}" name="t    " dataDxfId="127"/>
    <tableColumn id="17" xr3:uid="{24F731A2-EBC4-4C37-A678-58C23BD5619A}" name="Avg ihc Retailer" dataDxfId="126" dataCellStyle="Currency">
      <calculatedColumnFormula>ROUND('IHC Baseline'!AY2,0)</calculatedColumnFormula>
    </tableColumn>
    <tableColumn id="18" xr3:uid="{C5B54874-0152-4823-889F-44A3A0965834}" name="Avg ihc Wholesaler" dataDxfId="125" dataCellStyle="Currency">
      <calculatedColumnFormula>ROUND('IHC Baseline'!AZ2,0)</calculatedColumnFormula>
    </tableColumn>
    <tableColumn id="19" xr3:uid="{123043BD-BDF4-4E35-8CAB-F36756D97F13}" name="Avg ihc Distributor" dataDxfId="124" dataCellStyle="Currency">
      <calculatedColumnFormula>ROUND('IHC Baseline'!BA2,0)</calculatedColumnFormula>
    </tableColumn>
    <tableColumn id="20" xr3:uid="{73BCCCCF-DB6E-4CA4-B504-0CEEA709D289}" name="Avg ihc Producer" dataDxfId="123" dataCellStyle="Currency">
      <calculatedColumnFormula>ROUND('IHC Baseline'!BB2,0)</calculatedColumnFormula>
    </tableColumn>
    <tableColumn id="21" xr3:uid="{07EDC3D2-94D5-446B-8D74-C1EC475A0F28}" name="t     "/>
    <tableColumn id="22" xr3:uid="{D65CAC1C-56FF-4644-BBAE-814D56562C6D}" name="Avg ubc Retailer" dataDxfId="122" dataCellStyle="Currency">
      <calculatedColumnFormula>ROUND('UBC Baseline'!AZ2,0)</calculatedColumnFormula>
    </tableColumn>
    <tableColumn id="23" xr3:uid="{3B967DE4-B75A-48B6-9208-4B19ADA6CAB7}" name="Avg ubc Wholesaler" dataDxfId="121" dataCellStyle="Currency">
      <calculatedColumnFormula>ROUND('UBC Baseline'!BA2,0)</calculatedColumnFormula>
    </tableColumn>
    <tableColumn id="24" xr3:uid="{4A171C5E-FAC6-42C5-AD54-D2D023F728B3}" name="Avg ubc Distributor" dataDxfId="120" dataCellStyle="Currency">
      <calculatedColumnFormula>ROUND('UBC Baseline'!BB2,0)</calculatedColumnFormula>
    </tableColumn>
    <tableColumn id="25" xr3:uid="{5631E4FF-8D03-4244-92DD-7CF72E264D72}" name="Avg ubc Producer" dataDxfId="119" dataCellStyle="Currency">
      <calculatedColumnFormula>ROUND('UBC Baseline'!BC2,0)</calculatedColumnFormula>
    </tableColumn>
    <tableColumn id="26" xr3:uid="{10E6093F-920E-4FF8-8B17-9CEBE5558634}" name="t6" dataDxfId="118"/>
    <tableColumn id="27" xr3:uid="{D97EC78D-C903-4C65-9533-42E22F9ED78E}" name="Avg TC Retailer" dataDxfId="117">
      <calculatedColumnFormula>Q2+V2+AA1</calculatedColumnFormula>
    </tableColumn>
    <tableColumn id="28" xr3:uid="{616E6D8E-836B-4DFB-89E2-5E888D6A9822}" name="Avg TC Wholesaler" dataDxfId="116">
      <calculatedColumnFormula>R2+W2+AB1</calculatedColumnFormula>
    </tableColumn>
    <tableColumn id="29" xr3:uid="{42D90F47-A751-48E0-8799-38287D5B3F8A}" name="Avg TC Distributor" dataDxfId="115">
      <calculatedColumnFormula>S2+X2+AC1</calculatedColumnFormula>
    </tableColumn>
    <tableColumn id="30" xr3:uid="{5781B9A8-5387-4142-AAFD-47DA4383F2DA}" name="Avg TC Producer" dataDxfId="114">
      <calculatedColumnFormula>T2+Y2+AD1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C80B39C-8772-4F64-A233-8A3954D2A459}" name="Table510" displayName="Table510" ref="A1:AD38" totalsRowShown="0" headerRowDxfId="113" tableBorderDxfId="112">
  <autoFilter ref="A1:AD38" xr:uid="{9C80B39C-8772-4F64-A233-8A3954D2A459}"/>
  <tableColumns count="30">
    <tableColumn id="1" xr3:uid="{201A6964-CC85-4859-932F-F69D6B05472B}" name="t" dataDxfId="111"/>
    <tableColumn id="2" xr3:uid="{4710DC72-A75C-4D3D-BFD9-47764983E57F}" name="Avg I Retailer" dataDxfId="110">
      <calculatedColumnFormula>'Inventory CRP'!BC2</calculatedColumnFormula>
    </tableColumn>
    <tableColumn id="3" xr3:uid="{DB671123-FB07-4428-AD21-84076E80C2D7}" name="Avg I Wholesaler" dataDxfId="109">
      <calculatedColumnFormula>'Inventory CRP'!BD2</calculatedColumnFormula>
    </tableColumn>
    <tableColumn id="4" xr3:uid="{008526DC-0B8A-45A7-96A5-CB4A8AD49785}" name="Avg I Distributor" dataDxfId="108">
      <calculatedColumnFormula>'Inventory CRP'!BA2</calculatedColumnFormula>
    </tableColumn>
    <tableColumn id="5" xr3:uid="{365CEAA8-E227-4D33-B7CA-135EE967EEF5}" name="Avg I Producer" dataDxfId="107">
      <calculatedColumnFormula>'Inventory CRP'!BB2</calculatedColumnFormula>
    </tableColumn>
    <tableColumn id="6" xr3:uid="{19584035-328E-47D9-AFAD-BE1C2D9BB58F}" name="t " dataDxfId="106"/>
    <tableColumn id="7" xr3:uid="{36DBF306-6B8F-4E1F-9AD6-7946C20C55C5}" name="Avg B Retailer" dataDxfId="105">
      <calculatedColumnFormula>'Backlog CRP'!BC2</calculatedColumnFormula>
    </tableColumn>
    <tableColumn id="8" xr3:uid="{16D97BF0-15C6-4327-87E6-3115E1DB9EAA}" name="Avg B Wholesaler" dataDxfId="104">
      <calculatedColumnFormula>'Backlog CRP'!BD2</calculatedColumnFormula>
    </tableColumn>
    <tableColumn id="9" xr3:uid="{41A68797-7780-44A5-9D78-3BA9E8AD52C1}" name="Avg B Distributor" dataDxfId="103">
      <calculatedColumnFormula>'Backlog CRP'!BA2</calculatedColumnFormula>
    </tableColumn>
    <tableColumn id="10" xr3:uid="{E522F99B-E21B-4E19-BD24-66EB63CA833C}" name="Avg B Producer" dataDxfId="102">
      <calculatedColumnFormula>'Backlog CRP'!BB2</calculatedColumnFormula>
    </tableColumn>
    <tableColumn id="11" xr3:uid="{9A833122-CD74-4F7E-882C-4C1CC52F7D53}" name="t  " dataDxfId="101"/>
    <tableColumn id="12" xr3:uid="{BDC7195B-3B08-4640-8B5F-549F5F9A0431}" name="Avg O Retailer" dataDxfId="100">
      <calculatedColumnFormula>'Orders CRP'!BB2</calculatedColumnFormula>
    </tableColumn>
    <tableColumn id="13" xr3:uid="{D3DCA3A6-72BA-4A01-8E9C-5366557E363E}" name="Avg O Wholesaler" dataDxfId="99">
      <calculatedColumnFormula>'Orders CRP'!BC2</calculatedColumnFormula>
    </tableColumn>
    <tableColumn id="14" xr3:uid="{BE136031-3483-460A-955F-BF4CDEBA0527}" name="Avg O Distributor" dataDxfId="98">
      <calculatedColumnFormula>'Orders CRP'!AZ2</calculatedColumnFormula>
    </tableColumn>
    <tableColumn id="15" xr3:uid="{2228F0D7-9B07-4291-BB76-7FDD85AF4680}" name="Avg O Producer" dataDxfId="97">
      <calculatedColumnFormula>'Orders CRP'!BA2</calculatedColumnFormula>
    </tableColumn>
    <tableColumn id="16" xr3:uid="{EC863522-1A24-4E92-A1D3-1D50F64271E6}" name="t   " dataDxfId="96"/>
    <tableColumn id="17" xr3:uid="{13EBD6F1-9D67-4C53-AC42-03650C8F2F1C}" name="Avg ihc Retailer" dataDxfId="95" dataCellStyle="Currency">
      <calculatedColumnFormula>ROUND('IHC ELV'!BB2,2)</calculatedColumnFormula>
    </tableColumn>
    <tableColumn id="18" xr3:uid="{40C5BE31-BC37-4F47-A3B9-8386D85D5275}" name="Avg ihc Wholesaler" dataDxfId="94" dataCellStyle="Currency">
      <calculatedColumnFormula>ROUND('IHC ELV'!BC2,2)</calculatedColumnFormula>
    </tableColumn>
    <tableColumn id="19" xr3:uid="{66167F43-A99B-4E2D-AEF5-B9F4048C41D7}" name="Avg ihc Distributor" dataDxfId="93" dataCellStyle="Currency">
      <calculatedColumnFormula>ROUND('IHC ELV'!AZ2,2)</calculatedColumnFormula>
    </tableColumn>
    <tableColumn id="20" xr3:uid="{0F362468-99D3-4EBD-8121-30C6EEA316FF}" name="Avg ihc Producer" dataDxfId="92" dataCellStyle="Currency">
      <calculatedColumnFormula>ROUND('IHC ELV'!BA2,2)</calculatedColumnFormula>
    </tableColumn>
    <tableColumn id="21" xr3:uid="{B9B2100B-527E-4F0B-980D-10E120BEDEE3}" name="t    " dataDxfId="91"/>
    <tableColumn id="22" xr3:uid="{6972BF65-E2B3-4BE1-A72D-B8314B9C3DFA}" name="Avg ubc Retailer" dataDxfId="90" dataCellStyle="Currency">
      <calculatedColumnFormula>ROUND('UBC ELV'!BA2,2)</calculatedColumnFormula>
    </tableColumn>
    <tableColumn id="23" xr3:uid="{F3EF3589-9C5C-4002-9FE2-193FE069F7FE}" name="Avg ubc Wholesaler" dataDxfId="89" dataCellStyle="Currency">
      <calculatedColumnFormula>ROUND('UBC ELV'!BB2,2)</calculatedColumnFormula>
    </tableColumn>
    <tableColumn id="24" xr3:uid="{098A0819-F3E9-424E-A59F-7DAF999436AD}" name="Avg ubc Distributor" dataDxfId="88" dataCellStyle="Currency">
      <calculatedColumnFormula>ROUND('UBC ELV'!AY2,2)</calculatedColumnFormula>
    </tableColumn>
    <tableColumn id="25" xr3:uid="{44022EBC-0B45-47CE-9EE8-84FEA19AC206}" name="Avg ubc Producer" dataDxfId="87" dataCellStyle="Currency">
      <calculatedColumnFormula>ROUND('UBC ELV'!AZ2,2)</calculatedColumnFormula>
    </tableColumn>
    <tableColumn id="26" xr3:uid="{5BA83578-9A6A-4016-A7A4-91A72AA450BE}" name="t6" dataDxfId="86"/>
    <tableColumn id="27" xr3:uid="{6CA25C30-7C2D-44E4-925F-2C39E9CFF0BC}" name="Avg TC Retailer" dataDxfId="85">
      <calculatedColumnFormula>Q2+V2+AA1</calculatedColumnFormula>
    </tableColumn>
    <tableColumn id="28" xr3:uid="{32EFC9AA-24FC-4198-8758-0F0E9B1F23A1}" name="Avg TC Wholesaler" dataDxfId="84">
      <calculatedColumnFormula>R2+W2+AB1</calculatedColumnFormula>
    </tableColumn>
    <tableColumn id="29" xr3:uid="{CD484B62-258F-41ED-B698-836B4D6DE42A}" name="Avg TC Distributor" dataDxfId="83">
      <calculatedColumnFormula>S2+X2+AC1</calculatedColumnFormula>
    </tableColumn>
    <tableColumn id="30" xr3:uid="{BB7F68B6-D0C7-4434-97F0-B537E447E1E4}" name="Avg TC Producer" dataDxfId="82">
      <calculatedColumnFormula>T2+Y2+AD1</calculatedColumnFormula>
    </tableColumn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3429C6-579E-41F6-8DB8-BF5982A60A66}" name="Table5" displayName="Table5" ref="A1:AD38" totalsRowShown="0" headerRowDxfId="81" tableBorderDxfId="80">
  <autoFilter ref="A1:AD38" xr:uid="{E03429C6-579E-41F6-8DB8-BF5982A60A66}"/>
  <tableColumns count="30">
    <tableColumn id="1" xr3:uid="{0A152F58-F6D9-4B9B-84F1-5D24146D0CB0}" name="t" dataDxfId="79"/>
    <tableColumn id="2" xr3:uid="{07225371-2819-47D6-A445-96AA29C17DB1}" name="Avg I Retailer" dataDxfId="78">
      <calculatedColumnFormula>'Inventory CRP'!BC2</calculatedColumnFormula>
    </tableColumn>
    <tableColumn id="3" xr3:uid="{F3959FCB-BA68-451B-8342-8B54B552C26A}" name="Avg I Wholesaler" dataDxfId="77">
      <calculatedColumnFormula>'Inventory CRP'!BD2</calculatedColumnFormula>
    </tableColumn>
    <tableColumn id="4" xr3:uid="{8A66B2F6-D7D0-40F8-83BE-D365C1817159}" name="Avg I Distributor" dataDxfId="76">
      <calculatedColumnFormula>'Inventory CRP'!BA2</calculatedColumnFormula>
    </tableColumn>
    <tableColumn id="5" xr3:uid="{DB6FA97F-171F-4D85-BA50-F89FCB400E39}" name="Avg I Producer" dataDxfId="75">
      <calculatedColumnFormula>'Inventory CRP'!BB2</calculatedColumnFormula>
    </tableColumn>
    <tableColumn id="6" xr3:uid="{81B0DC57-5617-4A30-BF65-D48946F97526}" name="t " dataDxfId="74"/>
    <tableColumn id="7" xr3:uid="{AAD09690-03EE-434A-A8AA-39F32A306CD0}" name="Avg B Retailer" dataDxfId="73">
      <calculatedColumnFormula>'Backlog CRP'!BC2</calculatedColumnFormula>
    </tableColumn>
    <tableColumn id="8" xr3:uid="{F7157D61-A055-4E41-8BE4-E0F411189593}" name="Avg B Wholesaler" dataDxfId="72">
      <calculatedColumnFormula>'Backlog CRP'!BD2</calculatedColumnFormula>
    </tableColumn>
    <tableColumn id="9" xr3:uid="{432E4640-3CE2-42E5-B870-1391D2FF782D}" name="Avg B Distributor" dataDxfId="71">
      <calculatedColumnFormula>'Backlog CRP'!BA2</calculatedColumnFormula>
    </tableColumn>
    <tableColumn id="10" xr3:uid="{5F6CBFDF-5C99-4663-BBA8-E7708D74839E}" name="Avg B Producer" dataDxfId="70">
      <calculatedColumnFormula>'Backlog CRP'!BB2</calculatedColumnFormula>
    </tableColumn>
    <tableColumn id="11" xr3:uid="{6B90E7BC-AB10-458D-B06C-559AB42002BB}" name="t  " dataDxfId="69"/>
    <tableColumn id="12" xr3:uid="{FDDDC9EC-6EEA-4CD9-98E3-FF8797C122E1}" name="Avg O Retailer" dataDxfId="68">
      <calculatedColumnFormula>'Orders CRP'!BB2</calculatedColumnFormula>
    </tableColumn>
    <tableColumn id="13" xr3:uid="{030BA067-F2A3-4127-B601-6E3B860ED2DC}" name="Avg O Wholesaler" dataDxfId="67">
      <calculatedColumnFormula>'Orders CRP'!BC2</calculatedColumnFormula>
    </tableColumn>
    <tableColumn id="14" xr3:uid="{28B30250-C635-47DA-B987-9F5FD6CA0502}" name="Avg O Distributor" dataDxfId="66">
      <calculatedColumnFormula>'Orders CRP'!AZ2</calculatedColumnFormula>
    </tableColumn>
    <tableColumn id="15" xr3:uid="{8EBC2DEA-16A6-484E-B859-6E7540B8CABC}" name="Avg O Producer" dataDxfId="65">
      <calculatedColumnFormula>'Orders CRP'!BA2</calculatedColumnFormula>
    </tableColumn>
    <tableColumn id="16" xr3:uid="{77FE8C8D-56C4-4E3C-867C-70BAE51DD9F9}" name="t   " dataDxfId="64"/>
    <tableColumn id="17" xr3:uid="{8F945F48-A3F1-4816-8C67-B75E4124E817}" name="Avg ihc Retailer" dataDxfId="63" dataCellStyle="Currency">
      <calculatedColumnFormula>ROUND('IHC CRP'!BB2,2)</calculatedColumnFormula>
    </tableColumn>
    <tableColumn id="18" xr3:uid="{67DD0A5A-D67E-4ED1-B04D-B149FDB666C4}" name="Avg ihc Wholesaler" dataDxfId="0" dataCellStyle="Currency">
      <calculatedColumnFormula>ROUND('IHC CRP'!BC2,2)</calculatedColumnFormula>
    </tableColumn>
    <tableColumn id="19" xr3:uid="{E1FFDBAA-E690-40CD-A37A-79B7A19144AA}" name="Avg ihc Distributor" dataDxfId="62" dataCellStyle="Currency">
      <calculatedColumnFormula>ROUND('IHC CRP'!AZ2,2)</calculatedColumnFormula>
    </tableColumn>
    <tableColumn id="20" xr3:uid="{55ED16C0-1259-4800-BB10-9FB7AF8B5B2F}" name="Avg ihc Producer" dataDxfId="61" dataCellStyle="Currency">
      <calculatedColumnFormula>ROUND('IHC CRP'!BA2,2)</calculatedColumnFormula>
    </tableColumn>
    <tableColumn id="21" xr3:uid="{1302FECE-FBBE-44BD-842F-4116AD8D87AF}" name="t    " dataDxfId="60"/>
    <tableColumn id="22" xr3:uid="{1DAB9C1C-5EC7-4B5F-B81C-6336100F1AD6}" name="Avg ubc Retailer" dataDxfId="59" dataCellStyle="Currency">
      <calculatedColumnFormula>ROUND('UBC CRP'!BB2,2)</calculatedColumnFormula>
    </tableColumn>
    <tableColumn id="23" xr3:uid="{16A8A342-DFB0-46D2-B980-2A5E316DEC3C}" name="Avg ubc Wholesaler" dataDxfId="58" dataCellStyle="Currency">
      <calculatedColumnFormula>ROUND('UBC CRP'!BC2,2)</calculatedColumnFormula>
    </tableColumn>
    <tableColumn id="24" xr3:uid="{E0501C0D-5F47-4BC2-9482-29C0EAE1785E}" name="Avg ubc Distributor" dataDxfId="57" dataCellStyle="Currency">
      <calculatedColumnFormula>ROUND('UBC CRP'!AZ2,2)</calculatedColumnFormula>
    </tableColumn>
    <tableColumn id="25" xr3:uid="{CFDE03F6-6A33-42AE-91A8-651EC95B6E55}" name="Avg ubc Producer" dataDxfId="56" dataCellStyle="Currency">
      <calculatedColumnFormula>ROUND('UBC CRP'!BA2,2)</calculatedColumnFormula>
    </tableColumn>
    <tableColumn id="26" xr3:uid="{A336E493-C39B-46DF-88AD-3998CE583898}" name="t6" dataDxfId="55"/>
    <tableColumn id="27" xr3:uid="{01FB0D9C-57A2-43A1-8444-8D615847F4F4}" name="Avg TC Retailer" dataDxfId="54">
      <calculatedColumnFormula>Q2+V2+AA1</calculatedColumnFormula>
    </tableColumn>
    <tableColumn id="28" xr3:uid="{62123519-E253-46B2-8977-0782C98BDABD}" name="Avg TC Wholesaler" dataDxfId="53">
      <calculatedColumnFormula>R2+W2+AB1</calculatedColumnFormula>
    </tableColumn>
    <tableColumn id="29" xr3:uid="{4B1DA604-20E0-4E25-9109-30BC3FE03810}" name="Avg TC Distributor" dataDxfId="52">
      <calculatedColumnFormula>S2+X2+AC1</calculatedColumnFormula>
    </tableColumn>
    <tableColumn id="30" xr3:uid="{86A7C40F-1BC4-4FBC-9EA9-F9882F49CC06}" name="Avg TC Producer" dataDxfId="51">
      <calculatedColumnFormula>T2+Y2+AD1</calculatedColumnFormula>
    </tableColumn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1DFC5B-8997-40D4-8790-62EE7407CF82}" name="Table39" displayName="Table39" ref="A1:AD38" totalsRowShown="0" headerRowDxfId="50" tableBorderDxfId="49">
  <autoFilter ref="A1:AD38" xr:uid="{9126E5C2-F969-433F-97FF-E01616349938}"/>
  <tableColumns count="30">
    <tableColumn id="1" xr3:uid="{5F16BB7A-BDC1-408A-87DA-0E2216EDB471}" name="t" dataDxfId="48"/>
    <tableColumn id="2" xr3:uid="{110DB5C6-D2D1-43E0-9C52-B2697A9A0879}" name="Avg I Retailer" dataDxfId="47">
      <calculatedColumnFormula>'Inventory Baseline'!BA2</calculatedColumnFormula>
    </tableColumn>
    <tableColumn id="3" xr3:uid="{857427B0-7C82-45CB-8C1C-A1C68180BA53}" name="Avg I Wholesaler" dataDxfId="46">
      <calculatedColumnFormula>'Inventory Baseline'!BB2</calculatedColumnFormula>
    </tableColumn>
    <tableColumn id="4" xr3:uid="{196B3F56-1B55-462D-B752-FF344A7C11A6}" name="Avg I Distributor" dataDxfId="45">
      <calculatedColumnFormula>'Inventory Baseline'!BC2</calculatedColumnFormula>
    </tableColumn>
    <tableColumn id="5" xr3:uid="{EA32B051-70A0-44F9-97AC-267AA6ABB46E}" name="Avg I Producer" dataDxfId="44">
      <calculatedColumnFormula>'Inventory Baseline'!BD2</calculatedColumnFormula>
    </tableColumn>
    <tableColumn id="6" xr3:uid="{B77A6285-D553-49A8-9296-B62625114DA8}" name="t " dataDxfId="43"/>
    <tableColumn id="7" xr3:uid="{C2996F3F-0241-4BA0-8AFF-41B5D4078D8F}" name="Avg B Retailer" dataDxfId="42">
      <calculatedColumnFormula>'Backlog Baseline'!BA2</calculatedColumnFormula>
    </tableColumn>
    <tableColumn id="8" xr3:uid="{DF8223BB-94D1-4415-ADC1-39AC47BE6088}" name="Avg B Wholesaler" dataDxfId="41">
      <calculatedColumnFormula>'Backlog Baseline'!BB2</calculatedColumnFormula>
    </tableColumn>
    <tableColumn id="9" xr3:uid="{A47107FC-D4C0-488F-8998-DD2B4E1F0E04}" name="Avg B Distributor" dataDxfId="40">
      <calculatedColumnFormula>'Backlog Baseline'!BC2</calculatedColumnFormula>
    </tableColumn>
    <tableColumn id="10" xr3:uid="{2239C587-7B7B-4795-A68E-D1DC8F8F33E6}" name="Avg B Producer" dataDxfId="39">
      <calculatedColumnFormula>'Backlog Baseline'!BD2</calculatedColumnFormula>
    </tableColumn>
    <tableColumn id="11" xr3:uid="{7FA72D57-FF43-43DB-8141-CA2D02235C61}" name="t  " dataDxfId="38"/>
    <tableColumn id="12" xr3:uid="{4A1F8FF2-A838-4971-9A79-A1B67A5D24F8}" name="Avg O Retailer" dataDxfId="37">
      <calculatedColumnFormula>'Orders DQN'!AZ2</calculatedColumnFormula>
    </tableColumn>
    <tableColumn id="13" xr3:uid="{723E1EF2-B3BF-41F9-9224-7347E38E12B7}" name="Avg O Wholesaler" dataDxfId="36">
      <calculatedColumnFormula>'Orders DQN'!BA2</calculatedColumnFormula>
    </tableColumn>
    <tableColumn id="14" xr3:uid="{57658228-41FF-41A2-9B1B-97AC9975C053}" name="Avg O Distributor" dataDxfId="35">
      <calculatedColumnFormula>'Orders DQN'!BB2</calculatedColumnFormula>
    </tableColumn>
    <tableColumn id="15" xr3:uid="{D839A13C-F38A-48CD-80A7-8E4356C64940}" name="Avg O Producer" dataDxfId="34">
      <calculatedColumnFormula>'Orders DQN'!BC2</calculatedColumnFormula>
    </tableColumn>
    <tableColumn id="16" xr3:uid="{D1855214-D319-491E-B6C6-8B73F4A2CB34}" name="t    " dataDxfId="33"/>
    <tableColumn id="17" xr3:uid="{3885AE2E-019A-4C27-AA33-FCAF21CAB702}" name="Avg ihc Retailer" dataDxfId="32" dataCellStyle="Currency">
      <calculatedColumnFormula>ROUND('IHC DQN'!AZ2,2)</calculatedColumnFormula>
    </tableColumn>
    <tableColumn id="18" xr3:uid="{8996B8A2-6070-4A88-ABF0-9932CBABC779}" name="Avg ihc Wholesaler" dataDxfId="31" dataCellStyle="Currency">
      <calculatedColumnFormula>ROUND('IHC DQN'!BA2,2)</calculatedColumnFormula>
    </tableColumn>
    <tableColumn id="19" xr3:uid="{D32A0288-4044-47EC-9B65-547F173E4C34}" name="Avg ihc Distributor" dataDxfId="30" dataCellStyle="Currency">
      <calculatedColumnFormula>ROUND('IHC DQN'!BB2,2)</calculatedColumnFormula>
    </tableColumn>
    <tableColumn id="20" xr3:uid="{B11B0D3C-110F-4C99-94A2-0C821A752CDE}" name="Avg ihc Producer" dataDxfId="29" dataCellStyle="Currency">
      <calculatedColumnFormula>ROUND('IHC DQN'!BC2,2)</calculatedColumnFormula>
    </tableColumn>
    <tableColumn id="21" xr3:uid="{186F6FFD-7D51-4C48-96C9-D074D4F71072}" name="t     "/>
    <tableColumn id="22" xr3:uid="{C3FEC55A-806D-4FE1-B895-2BAFCF398188}" name="Avg ubc Retailer" dataDxfId="28" dataCellStyle="Currency">
      <calculatedColumnFormula>ROUND('UBC Baseline'!AZ2,2)</calculatedColumnFormula>
    </tableColumn>
    <tableColumn id="23" xr3:uid="{C7FB4CBF-344D-439B-B9B4-2E2AA0E11EB8}" name="Avg ubc Wholesaler" dataDxfId="27" dataCellStyle="Currency">
      <calculatedColumnFormula>ROUND('UBC Baseline'!BA2,2)</calculatedColumnFormula>
    </tableColumn>
    <tableColumn id="24" xr3:uid="{18F4ABFD-48A3-4004-83F5-1811C77C6512}" name="Avg ubc Distributor" dataDxfId="26" dataCellStyle="Currency">
      <calculatedColumnFormula>ROUND('UBC Baseline'!BB2,2)</calculatedColumnFormula>
    </tableColumn>
    <tableColumn id="25" xr3:uid="{27A9F82B-60DA-4C52-9894-68EF56D2FB8C}" name="Avg ubc Producer" dataDxfId="25" dataCellStyle="Currency">
      <calculatedColumnFormula>ROUND('UBC Baseline'!BC2,2)</calculatedColumnFormula>
    </tableColumn>
    <tableColumn id="26" xr3:uid="{77B14707-46D1-4CE6-9EFC-F830BCEDC03E}" name="t6" dataDxfId="24"/>
    <tableColumn id="27" xr3:uid="{65808C79-240E-4F47-95C8-421257CFF87D}" name="Avg TC Retailer" dataDxfId="23">
      <calculatedColumnFormula>Q2+V2+AA1</calculatedColumnFormula>
    </tableColumn>
    <tableColumn id="28" xr3:uid="{E453CC68-3405-4942-A0AB-958A32E0C2F0}" name="Avg TC Wholesaler" dataDxfId="22">
      <calculatedColumnFormula>R2+W2+AB1</calculatedColumnFormula>
    </tableColumn>
    <tableColumn id="29" xr3:uid="{89CEDDBD-6979-43D1-89BF-7A48F5ECE57F}" name="Avg TC Distributor" dataDxfId="21">
      <calculatedColumnFormula>S2+X2+AC1</calculatedColumnFormula>
    </tableColumn>
    <tableColumn id="30" xr3:uid="{7CC68684-C242-4DA3-B3EC-9391F34C60BD}" name="Avg TC Producer" dataDxfId="20">
      <calculatedColumnFormula>T2+Y2+AD1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F6AF-FCB9-4C55-8EF9-C5AE4EB54EEE}">
  <dimension ref="A2:W80"/>
  <sheetViews>
    <sheetView workbookViewId="0">
      <selection activeCell="P5" sqref="P5"/>
    </sheetView>
  </sheetViews>
  <sheetFormatPr defaultRowHeight="14.5" x14ac:dyDescent="0.35"/>
  <cols>
    <col min="3" max="3" width="9.1796875" customWidth="1"/>
    <col min="4" max="4" width="11.26953125" customWidth="1"/>
    <col min="5" max="5" width="10.453125" bestFit="1" customWidth="1"/>
    <col min="6" max="6" width="10" bestFit="1" customWidth="1"/>
    <col min="7" max="7" width="15.7265625" customWidth="1"/>
    <col min="8" max="8" width="8.90625" bestFit="1" customWidth="1"/>
    <col min="9" max="9" width="16.26953125" customWidth="1"/>
    <col min="10" max="10" width="12.54296875" customWidth="1"/>
    <col min="14" max="14" width="9.90625" bestFit="1" customWidth="1"/>
    <col min="15" max="15" width="9.90625" hidden="1" customWidth="1"/>
    <col min="16" max="16" width="10.453125" bestFit="1" customWidth="1"/>
    <col min="17" max="17" width="8.90625" bestFit="1" customWidth="1"/>
    <col min="18" max="19" width="8.81640625" bestFit="1" customWidth="1"/>
    <col min="20" max="20" width="8.90625" bestFit="1" customWidth="1"/>
    <col min="21" max="23" width="8.81640625" bestFit="1" customWidth="1"/>
  </cols>
  <sheetData>
    <row r="2" spans="1:23" x14ac:dyDescent="0.35">
      <c r="C2" s="56" t="s">
        <v>87</v>
      </c>
      <c r="D2" s="40"/>
      <c r="E2" s="40"/>
      <c r="F2" s="40"/>
      <c r="G2" s="40"/>
      <c r="H2" s="40"/>
      <c r="I2" s="40"/>
      <c r="J2" s="40"/>
      <c r="N2" s="56" t="s">
        <v>9</v>
      </c>
      <c r="O2" s="40"/>
      <c r="P2" s="40"/>
      <c r="Q2" s="40"/>
      <c r="R2" s="40"/>
      <c r="S2" s="40"/>
      <c r="T2" s="40"/>
      <c r="U2" s="40"/>
      <c r="V2" s="40"/>
      <c r="W2" s="40"/>
    </row>
    <row r="3" spans="1:23" ht="17" x14ac:dyDescent="0.45">
      <c r="A3" t="s">
        <v>0</v>
      </c>
      <c r="C3" s="40" t="s">
        <v>1</v>
      </c>
      <c r="D3" s="40" t="s">
        <v>2</v>
      </c>
      <c r="E3" s="51" t="s">
        <v>3</v>
      </c>
      <c r="F3" s="51" t="s">
        <v>4</v>
      </c>
      <c r="G3" s="51" t="s">
        <v>5</v>
      </c>
      <c r="H3" s="51" t="s">
        <v>6</v>
      </c>
      <c r="I3" s="51" t="s">
        <v>7</v>
      </c>
      <c r="J3" s="51" t="s">
        <v>8</v>
      </c>
      <c r="N3" s="40" t="s">
        <v>1</v>
      </c>
      <c r="O3" s="40" t="s">
        <v>2</v>
      </c>
      <c r="P3" s="51" t="s">
        <v>3</v>
      </c>
      <c r="Q3" s="51" t="s">
        <v>4</v>
      </c>
      <c r="R3" s="51" t="s">
        <v>84</v>
      </c>
      <c r="S3" s="51" t="s">
        <v>92</v>
      </c>
      <c r="T3" s="51" t="s">
        <v>6</v>
      </c>
      <c r="U3" s="51" t="s">
        <v>85</v>
      </c>
      <c r="V3" s="51" t="s">
        <v>93</v>
      </c>
      <c r="W3" s="51" t="s">
        <v>86</v>
      </c>
    </row>
    <row r="4" spans="1:23" x14ac:dyDescent="0.35">
      <c r="C4" s="40" t="s">
        <v>87</v>
      </c>
      <c r="D4" s="40" t="s">
        <v>10</v>
      </c>
      <c r="E4" s="52">
        <v>2286</v>
      </c>
      <c r="F4" s="52">
        <v>957.5</v>
      </c>
      <c r="G4" s="57">
        <v>0.5811461067366579</v>
      </c>
      <c r="H4" s="52">
        <v>740.5</v>
      </c>
      <c r="I4" s="57">
        <v>0.676071741032371</v>
      </c>
      <c r="J4" s="57">
        <v>9.4925634295713102E-2</v>
      </c>
      <c r="N4" s="40" t="s">
        <v>9</v>
      </c>
      <c r="O4" s="40" t="s">
        <v>10</v>
      </c>
      <c r="P4" s="52">
        <f>SUM(P5:P8)</f>
        <v>2286</v>
      </c>
      <c r="Q4" s="52">
        <f>SUM(Q5:Q8)</f>
        <v>880.4</v>
      </c>
      <c r="R4" s="53">
        <f>AVERAGE(R5:R8)</f>
        <v>0.60960774874767809</v>
      </c>
      <c r="S4" s="55">
        <f t="shared" ref="S4:S8" si="0">_xlfn.STDEV.S(F4,F12,F20,F28,F36,F44,F52,F60,F68,F76)</f>
        <v>166.1073615333035</v>
      </c>
      <c r="T4" s="52">
        <f>SUM(T5:T8)</f>
        <v>799.1</v>
      </c>
      <c r="U4" s="53">
        <f t="shared" ref="U4:U8" si="1">(P4-T4)/P4</f>
        <v>0.65043744531933512</v>
      </c>
      <c r="V4" s="55">
        <f>_xlfn.STDEV.S(H4,H12,H20,H28,H36)</f>
        <v>52.773809792358179</v>
      </c>
      <c r="W4" s="53">
        <f>U4-Table1[[#This Row],[  Baseline]]</f>
        <v>4.0829696571657026E-2</v>
      </c>
    </row>
    <row r="5" spans="1:23" x14ac:dyDescent="0.35">
      <c r="C5" s="40" t="s">
        <v>11</v>
      </c>
      <c r="D5" s="40" t="s">
        <v>10</v>
      </c>
      <c r="E5" s="52">
        <v>516.5</v>
      </c>
      <c r="F5" s="52">
        <v>311.5</v>
      </c>
      <c r="G5" s="57">
        <v>0.39690222652468538</v>
      </c>
      <c r="H5" s="52">
        <v>172.5</v>
      </c>
      <c r="I5" s="57">
        <v>0.6660212971926428</v>
      </c>
      <c r="J5" s="57">
        <v>0.26911907066795743</v>
      </c>
      <c r="N5" s="40" t="s">
        <v>11</v>
      </c>
      <c r="O5" s="40" t="s">
        <v>10</v>
      </c>
      <c r="P5" s="52">
        <f>AVERAGE(E5,E13,E21,E29,E37,E45,E53,E61,E69,E77)</f>
        <v>516.5</v>
      </c>
      <c r="Q5" s="52">
        <f>AVERAGE(F5,F13,F21,F29,F37,F45,F53,F61,F69,F77)</f>
        <v>202.55</v>
      </c>
      <c r="R5" s="53">
        <f t="shared" ref="R5:R8" si="2">(P5-Q5)/P5</f>
        <v>0.60784123910939014</v>
      </c>
      <c r="S5" s="55">
        <f t="shared" si="0"/>
        <v>67.229065308259493</v>
      </c>
      <c r="T5" s="52">
        <f>AVERAGE(H5,H13,H21,H29,H37,H45,H53,H61,H69,H77)</f>
        <v>183.55</v>
      </c>
      <c r="U5" s="53">
        <f t="shared" si="1"/>
        <v>0.64462729912875116</v>
      </c>
      <c r="V5" s="55">
        <f>_xlfn.STDEV.S(H5,H13,H21,H29,H37)</f>
        <v>47.443387315831487</v>
      </c>
      <c r="W5" s="53">
        <f>U5-Table1[[#This Row],[  Baseline]]</f>
        <v>3.6786060019361022E-2</v>
      </c>
    </row>
    <row r="6" spans="1:23" x14ac:dyDescent="0.35">
      <c r="C6" s="40" t="s">
        <v>12</v>
      </c>
      <c r="D6" s="40" t="s">
        <v>10</v>
      </c>
      <c r="E6" s="52">
        <v>600</v>
      </c>
      <c r="F6" s="52">
        <v>183</v>
      </c>
      <c r="G6" s="57">
        <v>0.69499999999999995</v>
      </c>
      <c r="H6" s="52">
        <v>180.5</v>
      </c>
      <c r="I6" s="57">
        <v>0.69916666666666671</v>
      </c>
      <c r="J6" s="57">
        <v>4.1666666666667629E-3</v>
      </c>
      <c r="N6" s="40" t="s">
        <v>12</v>
      </c>
      <c r="O6" s="40" t="s">
        <v>10</v>
      </c>
      <c r="P6" s="52">
        <f t="shared" ref="P6:P8" si="3">AVERAGE(E6,E14,E22,E30,E38,E46,E54,E62,E70,E78)</f>
        <v>600</v>
      </c>
      <c r="Q6" s="52">
        <f t="shared" ref="Q6:Q8" si="4">AVERAGE(F6,F14,F22,F30,F38,F46,F54,F62,F70,F78)</f>
        <v>179.75</v>
      </c>
      <c r="R6" s="53">
        <f t="shared" si="2"/>
        <v>0.70041666666666669</v>
      </c>
      <c r="S6" s="55">
        <f t="shared" si="0"/>
        <v>7.5654551159273371</v>
      </c>
      <c r="T6" s="52">
        <f t="shared" ref="T6:T8" si="5">AVERAGE(H6,H14,H22,H30,H38,H46,H54,H62,H70,H78)</f>
        <v>177.35</v>
      </c>
      <c r="U6" s="53">
        <f t="shared" si="1"/>
        <v>0.70441666666666658</v>
      </c>
      <c r="V6" s="55">
        <f>_xlfn.STDEV.S(H6,H14,H22,H30,H38)</f>
        <v>3.0536862969204939</v>
      </c>
      <c r="W6" s="53">
        <f>U6-Table1[[#This Row],[  Baseline]]</f>
        <v>3.9999999999998925E-3</v>
      </c>
    </row>
    <row r="7" spans="1:23" x14ac:dyDescent="0.35">
      <c r="C7" s="40" t="s">
        <v>13</v>
      </c>
      <c r="D7" s="40" t="s">
        <v>10</v>
      </c>
      <c r="E7" s="52">
        <v>634</v>
      </c>
      <c r="F7" s="52">
        <v>203</v>
      </c>
      <c r="G7" s="57">
        <v>0.67981072555205047</v>
      </c>
      <c r="H7" s="52">
        <v>189</v>
      </c>
      <c r="I7" s="57">
        <v>0.70189274447949523</v>
      </c>
      <c r="J7" s="57">
        <v>2.2082018927444769E-2</v>
      </c>
      <c r="N7" s="40" t="s">
        <v>13</v>
      </c>
      <c r="O7" s="40" t="s">
        <v>10</v>
      </c>
      <c r="P7" s="52">
        <f t="shared" si="3"/>
        <v>634</v>
      </c>
      <c r="Q7" s="52">
        <f t="shared" si="4"/>
        <v>207.95</v>
      </c>
      <c r="R7" s="53">
        <f t="shared" si="2"/>
        <v>0.67200315457413251</v>
      </c>
      <c r="S7" s="55">
        <f t="shared" si="0"/>
        <v>20.612091920359109</v>
      </c>
      <c r="T7" s="52">
        <f t="shared" si="5"/>
        <v>203.85</v>
      </c>
      <c r="U7" s="53">
        <f t="shared" si="1"/>
        <v>0.67847003154574126</v>
      </c>
      <c r="V7" s="55">
        <f>_xlfn.STDEV.S(H7,H15,H23,H31,H39)</f>
        <v>12.359207094308275</v>
      </c>
      <c r="W7" s="53">
        <f>U7-Table1[[#This Row],[  Baseline]]</f>
        <v>6.4668769716087482E-3</v>
      </c>
    </row>
    <row r="8" spans="1:23" x14ac:dyDescent="0.35">
      <c r="C8" s="40" t="s">
        <v>14</v>
      </c>
      <c r="D8" s="40" t="s">
        <v>10</v>
      </c>
      <c r="E8" s="52">
        <v>535.5</v>
      </c>
      <c r="F8" s="52">
        <v>260</v>
      </c>
      <c r="G8" s="57">
        <v>0.51447245564892619</v>
      </c>
      <c r="H8" s="52">
        <v>198.5</v>
      </c>
      <c r="I8" s="57">
        <v>0.62931839402427636</v>
      </c>
      <c r="J8" s="57">
        <v>0.11484593837535018</v>
      </c>
      <c r="N8" s="40" t="s">
        <v>14</v>
      </c>
      <c r="O8" s="40" t="s">
        <v>10</v>
      </c>
      <c r="P8" s="52">
        <f t="shared" si="3"/>
        <v>535.5</v>
      </c>
      <c r="Q8" s="52">
        <f t="shared" si="4"/>
        <v>290.14999999999998</v>
      </c>
      <c r="R8" s="53">
        <f t="shared" si="2"/>
        <v>0.45816993464052291</v>
      </c>
      <c r="S8" s="55">
        <f t="shared" si="0"/>
        <v>129.72493335258775</v>
      </c>
      <c r="T8" s="52">
        <f t="shared" si="5"/>
        <v>234.35</v>
      </c>
      <c r="U8" s="53">
        <f t="shared" si="1"/>
        <v>0.56237161531279178</v>
      </c>
      <c r="V8" s="55">
        <f>_xlfn.STDEV.S(H8,H16,H24,H32,H40)</f>
        <v>28.674901917879335</v>
      </c>
      <c r="W8" s="53">
        <f>U8-Table1[[#This Row],[  Baseline]]</f>
        <v>0.10420168067226887</v>
      </c>
    </row>
    <row r="9" spans="1:23" x14ac:dyDescent="0.35">
      <c r="C9" s="40"/>
      <c r="D9" s="40"/>
      <c r="E9" s="52"/>
      <c r="F9" s="52"/>
      <c r="G9" s="53"/>
      <c r="H9" s="52"/>
      <c r="I9" s="53"/>
      <c r="J9" s="53"/>
      <c r="P9" s="1"/>
      <c r="Q9" s="1"/>
      <c r="R9" s="2"/>
      <c r="S9" s="3"/>
      <c r="T9" s="1"/>
      <c r="U9" s="2"/>
      <c r="V9" s="3"/>
      <c r="W9" s="2"/>
    </row>
    <row r="10" spans="1:23" x14ac:dyDescent="0.35">
      <c r="C10" s="56" t="s">
        <v>88</v>
      </c>
      <c r="D10" s="40"/>
      <c r="E10" s="40"/>
      <c r="F10" s="40"/>
      <c r="G10" s="40"/>
      <c r="H10" s="40"/>
      <c r="I10" s="40"/>
      <c r="J10" s="40"/>
    </row>
    <row r="11" spans="1:23" x14ac:dyDescent="0.35">
      <c r="A11" t="s">
        <v>15</v>
      </c>
      <c r="C11" s="40" t="s">
        <v>1</v>
      </c>
      <c r="D11" s="40" t="s">
        <v>2</v>
      </c>
      <c r="E11" s="40" t="s">
        <v>3</v>
      </c>
      <c r="F11" s="40" t="s">
        <v>4</v>
      </c>
      <c r="G11" s="40" t="s">
        <v>5</v>
      </c>
      <c r="H11" s="40" t="s">
        <v>6</v>
      </c>
      <c r="I11" s="40" t="s">
        <v>7</v>
      </c>
      <c r="J11" s="40" t="s">
        <v>8</v>
      </c>
    </row>
    <row r="12" spans="1:23" x14ac:dyDescent="0.35">
      <c r="C12" s="40" t="s">
        <v>94</v>
      </c>
      <c r="D12" s="40" t="s">
        <v>10</v>
      </c>
      <c r="E12" s="52">
        <v>2286</v>
      </c>
      <c r="F12" s="52">
        <v>817.5</v>
      </c>
      <c r="G12" s="57">
        <v>0.6423884514435696</v>
      </c>
      <c r="H12" s="52">
        <v>727.5</v>
      </c>
      <c r="I12" s="57">
        <v>0.68175853018372701</v>
      </c>
      <c r="J12" s="57">
        <v>3.937007874015741E-2</v>
      </c>
    </row>
    <row r="13" spans="1:23" x14ac:dyDescent="0.35">
      <c r="C13" s="40" t="s">
        <v>11</v>
      </c>
      <c r="D13" s="40" t="s">
        <v>10</v>
      </c>
      <c r="E13" s="52">
        <v>516.5</v>
      </c>
      <c r="F13" s="52">
        <v>173.5</v>
      </c>
      <c r="G13" s="57">
        <v>0.6640851887705711</v>
      </c>
      <c r="H13" s="52">
        <v>178</v>
      </c>
      <c r="I13" s="57">
        <v>0.65537270087124877</v>
      </c>
      <c r="J13" s="57">
        <v>-8.7124878993223298E-3</v>
      </c>
    </row>
    <row r="14" spans="1:23" x14ac:dyDescent="0.35">
      <c r="C14" s="40" t="s">
        <v>12</v>
      </c>
      <c r="D14" s="40" t="s">
        <v>10</v>
      </c>
      <c r="E14" s="52">
        <v>600</v>
      </c>
      <c r="F14" s="52">
        <v>187.5</v>
      </c>
      <c r="G14" s="57">
        <v>0.6875</v>
      </c>
      <c r="H14" s="52">
        <v>180</v>
      </c>
      <c r="I14" s="57">
        <v>0.7</v>
      </c>
      <c r="J14" s="57">
        <v>1.2499999999999956E-2</v>
      </c>
    </row>
    <row r="15" spans="1:23" x14ac:dyDescent="0.35">
      <c r="C15" s="40" t="s">
        <v>13</v>
      </c>
      <c r="D15" s="40" t="s">
        <v>10</v>
      </c>
      <c r="E15" s="52">
        <v>634</v>
      </c>
      <c r="F15" s="52">
        <v>217.5</v>
      </c>
      <c r="G15" s="57">
        <v>0.65694006309148267</v>
      </c>
      <c r="H15" s="52">
        <v>209</v>
      </c>
      <c r="I15" s="57">
        <v>0.67034700315457418</v>
      </c>
      <c r="J15" s="57">
        <v>1.340694006309151E-2</v>
      </c>
    </row>
    <row r="16" spans="1:23" x14ac:dyDescent="0.35">
      <c r="C16" s="40" t="s">
        <v>14</v>
      </c>
      <c r="D16" s="40" t="s">
        <v>10</v>
      </c>
      <c r="E16" s="52">
        <v>535.5</v>
      </c>
      <c r="F16" s="52">
        <v>239</v>
      </c>
      <c r="G16" s="57">
        <v>0.55368814192343607</v>
      </c>
      <c r="H16" s="52">
        <v>160.5</v>
      </c>
      <c r="I16" s="57">
        <v>0.70028011204481788</v>
      </c>
      <c r="J16" s="57">
        <v>0.14659197012138181</v>
      </c>
    </row>
    <row r="17" spans="1:10" x14ac:dyDescent="0.35">
      <c r="C17" s="40"/>
      <c r="D17" s="40"/>
      <c r="E17" s="40"/>
      <c r="F17" s="40"/>
      <c r="G17" s="54"/>
      <c r="H17" s="40"/>
      <c r="I17" s="54"/>
      <c r="J17" s="40"/>
    </row>
    <row r="18" spans="1:10" ht="14" customHeight="1" x14ac:dyDescent="0.35">
      <c r="C18" s="56" t="s">
        <v>89</v>
      </c>
      <c r="D18" s="40"/>
      <c r="E18" s="40"/>
      <c r="F18" s="40"/>
      <c r="G18" s="40"/>
      <c r="H18" s="40"/>
      <c r="I18" s="40"/>
      <c r="J18" s="40"/>
    </row>
    <row r="19" spans="1:10" x14ac:dyDescent="0.35">
      <c r="A19" t="s">
        <v>16</v>
      </c>
      <c r="C19" s="58" t="s">
        <v>1</v>
      </c>
      <c r="D19" s="59" t="s">
        <v>2</v>
      </c>
      <c r="E19" s="59" t="s">
        <v>3</v>
      </c>
      <c r="F19" s="59" t="s">
        <v>4</v>
      </c>
      <c r="G19" s="59" t="s">
        <v>5</v>
      </c>
      <c r="H19" s="59" t="s">
        <v>6</v>
      </c>
      <c r="I19" s="59" t="s">
        <v>7</v>
      </c>
      <c r="J19" s="60" t="s">
        <v>8</v>
      </c>
    </row>
    <row r="20" spans="1:10" x14ac:dyDescent="0.35">
      <c r="C20" s="61" t="s">
        <v>89</v>
      </c>
      <c r="D20" s="62" t="s">
        <v>10</v>
      </c>
      <c r="E20" s="65">
        <v>2286</v>
      </c>
      <c r="F20" s="65">
        <v>914</v>
      </c>
      <c r="G20" s="66">
        <v>0.60017497812773402</v>
      </c>
      <c r="H20" s="65">
        <v>750</v>
      </c>
      <c r="I20" s="66">
        <v>0.67191601049868765</v>
      </c>
      <c r="J20" s="67">
        <v>7.1741032370953639E-2</v>
      </c>
    </row>
    <row r="21" spans="1:10" x14ac:dyDescent="0.35">
      <c r="C21" s="61" t="s">
        <v>11</v>
      </c>
      <c r="D21" s="62" t="s">
        <v>10</v>
      </c>
      <c r="E21" s="65">
        <v>516.5</v>
      </c>
      <c r="F21" s="65">
        <v>236</v>
      </c>
      <c r="G21" s="66">
        <v>0.54307841239109389</v>
      </c>
      <c r="H21" s="65">
        <v>184.5</v>
      </c>
      <c r="I21" s="66">
        <v>0.64278799612778315</v>
      </c>
      <c r="J21" s="67">
        <v>9.9709583736689256E-2</v>
      </c>
    </row>
    <row r="22" spans="1:10" x14ac:dyDescent="0.35">
      <c r="C22" s="61" t="s">
        <v>12</v>
      </c>
      <c r="D22" s="62" t="s">
        <v>10</v>
      </c>
      <c r="E22" s="65">
        <v>600</v>
      </c>
      <c r="F22" s="65">
        <v>197</v>
      </c>
      <c r="G22" s="66">
        <v>0.67166666666666663</v>
      </c>
      <c r="H22" s="65">
        <v>179.5</v>
      </c>
      <c r="I22" s="66">
        <v>0.70083333333333331</v>
      </c>
      <c r="J22" s="67">
        <v>2.9166666666666674E-2</v>
      </c>
    </row>
    <row r="23" spans="1:10" x14ac:dyDescent="0.35">
      <c r="C23" s="61" t="s">
        <v>13</v>
      </c>
      <c r="D23" s="62" t="s">
        <v>10</v>
      </c>
      <c r="E23" s="65">
        <v>634</v>
      </c>
      <c r="F23" s="65">
        <v>223.5</v>
      </c>
      <c r="G23" s="66">
        <v>0.64747634069400628</v>
      </c>
      <c r="H23" s="65">
        <v>188</v>
      </c>
      <c r="I23" s="66">
        <v>0.70347003154574128</v>
      </c>
      <c r="J23" s="67">
        <v>5.5993690851735001E-2</v>
      </c>
    </row>
    <row r="24" spans="1:10" x14ac:dyDescent="0.35">
      <c r="C24" s="63" t="s">
        <v>14</v>
      </c>
      <c r="D24" s="64" t="s">
        <v>10</v>
      </c>
      <c r="E24" s="68">
        <v>535.5</v>
      </c>
      <c r="F24" s="68">
        <v>257.5</v>
      </c>
      <c r="G24" s="69">
        <v>0.51914098972922507</v>
      </c>
      <c r="H24" s="68">
        <v>198</v>
      </c>
      <c r="I24" s="69">
        <v>0.63025210084033612</v>
      </c>
      <c r="J24" s="70">
        <v>0.11111111111111105</v>
      </c>
    </row>
    <row r="25" spans="1:10" x14ac:dyDescent="0.35">
      <c r="C25" s="40"/>
      <c r="D25" s="40"/>
      <c r="E25" s="40"/>
      <c r="F25" s="40"/>
      <c r="G25" s="54"/>
      <c r="H25" s="40"/>
      <c r="I25" s="54"/>
      <c r="J25" s="40"/>
    </row>
    <row r="26" spans="1:10" x14ac:dyDescent="0.35">
      <c r="C26" s="56" t="s">
        <v>90</v>
      </c>
      <c r="D26" s="40"/>
      <c r="E26" s="40"/>
      <c r="F26" s="40"/>
      <c r="G26" s="40"/>
      <c r="H26" s="40"/>
      <c r="I26" s="40"/>
      <c r="J26" s="40"/>
    </row>
    <row r="27" spans="1:10" x14ac:dyDescent="0.35">
      <c r="A27" t="s">
        <v>17</v>
      </c>
      <c r="C27" s="58" t="s">
        <v>1</v>
      </c>
      <c r="D27" s="59" t="s">
        <v>2</v>
      </c>
      <c r="E27" s="59" t="s">
        <v>3</v>
      </c>
      <c r="F27" s="59" t="s">
        <v>4</v>
      </c>
      <c r="G27" s="59" t="s">
        <v>5</v>
      </c>
      <c r="H27" s="59" t="s">
        <v>6</v>
      </c>
      <c r="I27" s="59" t="s">
        <v>7</v>
      </c>
      <c r="J27" s="60" t="s">
        <v>8</v>
      </c>
    </row>
    <row r="28" spans="1:10" x14ac:dyDescent="0.35">
      <c r="C28" s="61" t="s">
        <v>90</v>
      </c>
      <c r="D28" s="62" t="s">
        <v>10</v>
      </c>
      <c r="E28" s="65">
        <v>2286</v>
      </c>
      <c r="F28" s="65">
        <v>913.5</v>
      </c>
      <c r="G28" s="66">
        <v>0.60039370078740162</v>
      </c>
      <c r="H28" s="65">
        <v>815.5</v>
      </c>
      <c r="I28" s="66">
        <v>0.64326334208223968</v>
      </c>
      <c r="J28" s="67">
        <v>4.2869641294838057E-2</v>
      </c>
    </row>
    <row r="29" spans="1:10" x14ac:dyDescent="0.35">
      <c r="C29" s="61" t="s">
        <v>11</v>
      </c>
      <c r="D29" s="62" t="s">
        <v>10</v>
      </c>
      <c r="E29" s="65">
        <v>516.5</v>
      </c>
      <c r="F29" s="65">
        <v>212</v>
      </c>
      <c r="G29" s="66">
        <v>0.5895450145208132</v>
      </c>
      <c r="H29" s="65">
        <v>175.5</v>
      </c>
      <c r="I29" s="66">
        <v>0.66021297192642792</v>
      </c>
      <c r="J29" s="67">
        <v>7.0667957405614712E-2</v>
      </c>
    </row>
    <row r="30" spans="1:10" x14ac:dyDescent="0.35">
      <c r="C30" s="61" t="s">
        <v>12</v>
      </c>
      <c r="D30" s="62" t="s">
        <v>10</v>
      </c>
      <c r="E30" s="65">
        <v>600</v>
      </c>
      <c r="F30" s="65">
        <v>177</v>
      </c>
      <c r="G30" s="66">
        <v>0.70499999999999996</v>
      </c>
      <c r="H30" s="65">
        <v>185</v>
      </c>
      <c r="I30" s="66">
        <v>0.69166666666666665</v>
      </c>
      <c r="J30" s="67">
        <v>-1.3333333333333308E-2</v>
      </c>
    </row>
    <row r="31" spans="1:10" x14ac:dyDescent="0.35">
      <c r="C31" s="61" t="s">
        <v>13</v>
      </c>
      <c r="D31" s="62" t="s">
        <v>10</v>
      </c>
      <c r="E31" s="65">
        <v>634</v>
      </c>
      <c r="F31" s="65">
        <v>212.5</v>
      </c>
      <c r="G31" s="66">
        <v>0.66482649842271291</v>
      </c>
      <c r="H31" s="65">
        <v>215.5</v>
      </c>
      <c r="I31" s="66">
        <v>0.66009463722397477</v>
      </c>
      <c r="J31" s="67">
        <v>-4.7318611987381409E-3</v>
      </c>
    </row>
    <row r="32" spans="1:10" x14ac:dyDescent="0.35">
      <c r="C32" s="63" t="s">
        <v>14</v>
      </c>
      <c r="D32" s="64" t="s">
        <v>10</v>
      </c>
      <c r="E32" s="68">
        <v>535.5</v>
      </c>
      <c r="F32" s="68">
        <v>312</v>
      </c>
      <c r="G32" s="69">
        <v>0.4173669467787115</v>
      </c>
      <c r="H32" s="68">
        <v>239.5</v>
      </c>
      <c r="I32" s="69">
        <v>0.55275443510737632</v>
      </c>
      <c r="J32" s="70">
        <v>0.13538748832866482</v>
      </c>
    </row>
    <row r="33" spans="1:10" x14ac:dyDescent="0.35">
      <c r="C33" s="40"/>
      <c r="D33" s="40"/>
      <c r="E33" s="40"/>
      <c r="F33" s="40"/>
      <c r="G33" s="54"/>
      <c r="H33" s="40"/>
      <c r="I33" s="54"/>
      <c r="J33" s="40"/>
    </row>
    <row r="34" spans="1:10" x14ac:dyDescent="0.35">
      <c r="C34" s="56" t="s">
        <v>91</v>
      </c>
      <c r="D34" s="40"/>
      <c r="E34" s="40"/>
      <c r="F34" s="40"/>
      <c r="G34" s="40"/>
      <c r="H34" s="40"/>
      <c r="I34" s="40"/>
      <c r="J34" s="40"/>
    </row>
    <row r="35" spans="1:10" x14ac:dyDescent="0.35">
      <c r="A35" t="s">
        <v>18</v>
      </c>
      <c r="C35" s="58" t="s">
        <v>1</v>
      </c>
      <c r="D35" s="59" t="s">
        <v>2</v>
      </c>
      <c r="E35" s="59" t="s">
        <v>3</v>
      </c>
      <c r="F35" s="59" t="s">
        <v>4</v>
      </c>
      <c r="G35" s="59" t="s">
        <v>5</v>
      </c>
      <c r="H35" s="59" t="s">
        <v>6</v>
      </c>
      <c r="I35" s="59" t="s">
        <v>7</v>
      </c>
      <c r="J35" s="60" t="s">
        <v>8</v>
      </c>
    </row>
    <row r="36" spans="1:10" x14ac:dyDescent="0.35">
      <c r="C36" s="61" t="s">
        <v>91</v>
      </c>
      <c r="D36" s="62" t="s">
        <v>10</v>
      </c>
      <c r="E36" s="65">
        <v>2286</v>
      </c>
      <c r="F36" s="65">
        <v>896.5</v>
      </c>
      <c r="G36" s="66">
        <v>0.60783027121609801</v>
      </c>
      <c r="H36" s="65">
        <v>668</v>
      </c>
      <c r="I36" s="66">
        <v>0.70778652668416453</v>
      </c>
      <c r="J36" s="67">
        <v>9.9956255468066524E-2</v>
      </c>
    </row>
    <row r="37" spans="1:10" x14ac:dyDescent="0.35">
      <c r="C37" s="61" t="s">
        <v>11</v>
      </c>
      <c r="D37" s="62" t="s">
        <v>10</v>
      </c>
      <c r="E37" s="65">
        <v>516.5</v>
      </c>
      <c r="F37" s="65">
        <v>208</v>
      </c>
      <c r="G37" s="66">
        <v>0.59728944820909968</v>
      </c>
      <c r="H37" s="65">
        <v>72</v>
      </c>
      <c r="I37" s="66">
        <v>0.86060019361084217</v>
      </c>
      <c r="J37" s="67">
        <v>0.26331074540174249</v>
      </c>
    </row>
    <row r="38" spans="1:10" x14ac:dyDescent="0.35">
      <c r="C38" s="61" t="s">
        <v>12</v>
      </c>
      <c r="D38" s="62" t="s">
        <v>10</v>
      </c>
      <c r="E38" s="65">
        <v>600</v>
      </c>
      <c r="F38" s="65">
        <v>180</v>
      </c>
      <c r="G38" s="66">
        <v>0.7</v>
      </c>
      <c r="H38" s="65">
        <v>176.5</v>
      </c>
      <c r="I38" s="66">
        <v>0.70583333333333331</v>
      </c>
      <c r="J38" s="67">
        <v>5.833333333333357E-3</v>
      </c>
    </row>
    <row r="39" spans="1:10" x14ac:dyDescent="0.35">
      <c r="C39" s="61" t="s">
        <v>13</v>
      </c>
      <c r="D39" s="62" t="s">
        <v>10</v>
      </c>
      <c r="E39" s="65">
        <v>634</v>
      </c>
      <c r="F39" s="65">
        <v>194</v>
      </c>
      <c r="G39" s="66">
        <v>0.694006309148265</v>
      </c>
      <c r="H39" s="65">
        <v>206</v>
      </c>
      <c r="I39" s="66">
        <v>0.67507886435331232</v>
      </c>
      <c r="J39" s="67">
        <v>-1.8927444794952675E-2</v>
      </c>
    </row>
    <row r="40" spans="1:10" x14ac:dyDescent="0.35">
      <c r="C40" s="63" t="s">
        <v>14</v>
      </c>
      <c r="D40" s="64" t="s">
        <v>10</v>
      </c>
      <c r="E40" s="68">
        <v>535.5</v>
      </c>
      <c r="F40" s="68">
        <v>314.5</v>
      </c>
      <c r="G40" s="69">
        <v>0.41269841269841268</v>
      </c>
      <c r="H40" s="68">
        <v>213.5</v>
      </c>
      <c r="I40" s="69">
        <v>0.60130718954248363</v>
      </c>
      <c r="J40" s="70">
        <v>0.18860877684407096</v>
      </c>
    </row>
    <row r="42" spans="1:10" x14ac:dyDescent="0.35">
      <c r="C42" s="33" t="s">
        <v>96</v>
      </c>
    </row>
    <row r="43" spans="1:10" x14ac:dyDescent="0.35">
      <c r="A43" t="s">
        <v>95</v>
      </c>
      <c r="C43" s="58" t="s">
        <v>1</v>
      </c>
      <c r="D43" s="59" t="s">
        <v>2</v>
      </c>
      <c r="E43" s="59" t="s">
        <v>3</v>
      </c>
      <c r="F43" s="59" t="s">
        <v>4</v>
      </c>
      <c r="G43" s="59" t="s">
        <v>5</v>
      </c>
      <c r="H43" s="59" t="s">
        <v>6</v>
      </c>
      <c r="I43" s="59" t="s">
        <v>7</v>
      </c>
      <c r="J43" s="60" t="s">
        <v>8</v>
      </c>
    </row>
    <row r="44" spans="1:10" x14ac:dyDescent="0.35">
      <c r="C44" s="61" t="s">
        <v>96</v>
      </c>
      <c r="D44" s="62" t="s">
        <v>10</v>
      </c>
      <c r="E44" s="65">
        <v>2286</v>
      </c>
      <c r="F44" s="65">
        <v>774.5</v>
      </c>
      <c r="G44" s="66">
        <v>0.66119860017497811</v>
      </c>
      <c r="H44" s="65">
        <v>822.5</v>
      </c>
      <c r="I44" s="66">
        <v>0.64020122484689412</v>
      </c>
      <c r="J44" s="67">
        <v>-2.0997375328083989E-2</v>
      </c>
    </row>
    <row r="45" spans="1:10" x14ac:dyDescent="0.35">
      <c r="C45" s="61" t="s">
        <v>11</v>
      </c>
      <c r="D45" s="62" t="s">
        <v>10</v>
      </c>
      <c r="E45" s="65">
        <v>516.5</v>
      </c>
      <c r="F45" s="65">
        <v>212</v>
      </c>
      <c r="G45" s="66">
        <v>0.5895450145208132</v>
      </c>
      <c r="H45" s="65">
        <v>212</v>
      </c>
      <c r="I45" s="66">
        <v>0.5895450145208132</v>
      </c>
      <c r="J45" s="67">
        <v>0</v>
      </c>
    </row>
    <row r="46" spans="1:10" x14ac:dyDescent="0.35">
      <c r="C46" s="61" t="s">
        <v>12</v>
      </c>
      <c r="D46" s="62" t="s">
        <v>10</v>
      </c>
      <c r="E46" s="65">
        <v>600</v>
      </c>
      <c r="F46" s="65">
        <v>174</v>
      </c>
      <c r="G46" s="66">
        <v>0.71</v>
      </c>
      <c r="H46" s="65">
        <v>172.5</v>
      </c>
      <c r="I46" s="66">
        <v>0.71250000000000002</v>
      </c>
      <c r="J46" s="67">
        <v>2.5000000000000577E-3</v>
      </c>
    </row>
    <row r="47" spans="1:10" x14ac:dyDescent="0.35">
      <c r="C47" s="61" t="s">
        <v>13</v>
      </c>
      <c r="D47" s="62" t="s">
        <v>10</v>
      </c>
      <c r="E47" s="65">
        <v>634</v>
      </c>
      <c r="F47" s="65">
        <v>187</v>
      </c>
      <c r="G47" s="66">
        <v>0.70504731861198733</v>
      </c>
      <c r="H47" s="65">
        <v>205.5</v>
      </c>
      <c r="I47" s="66">
        <v>0.67586750788643535</v>
      </c>
      <c r="J47" s="67">
        <v>-2.917981072555198E-2</v>
      </c>
    </row>
    <row r="48" spans="1:10" x14ac:dyDescent="0.35">
      <c r="C48" s="63" t="s">
        <v>14</v>
      </c>
      <c r="D48" s="64" t="s">
        <v>10</v>
      </c>
      <c r="E48" s="68">
        <v>535.5</v>
      </c>
      <c r="F48" s="68">
        <v>201.5</v>
      </c>
      <c r="G48" s="69">
        <v>0.62371615312791784</v>
      </c>
      <c r="H48" s="68">
        <v>232.5</v>
      </c>
      <c r="I48" s="69">
        <v>0.56582633053221287</v>
      </c>
      <c r="J48" s="70">
        <v>-5.7889822595704965E-2</v>
      </c>
    </row>
    <row r="50" spans="1:10" x14ac:dyDescent="0.35">
      <c r="C50" s="56" t="s">
        <v>97</v>
      </c>
    </row>
    <row r="51" spans="1:10" x14ac:dyDescent="0.35">
      <c r="A51" t="s">
        <v>98</v>
      </c>
      <c r="C51" s="58" t="s">
        <v>1</v>
      </c>
      <c r="D51" s="59" t="s">
        <v>2</v>
      </c>
      <c r="E51" s="59" t="s">
        <v>3</v>
      </c>
      <c r="F51" s="59" t="s">
        <v>4</v>
      </c>
      <c r="G51" s="59" t="s">
        <v>5</v>
      </c>
      <c r="H51" s="59" t="s">
        <v>6</v>
      </c>
      <c r="I51" s="59" t="s">
        <v>7</v>
      </c>
      <c r="J51" s="60" t="s">
        <v>8</v>
      </c>
    </row>
    <row r="52" spans="1:10" x14ac:dyDescent="0.35">
      <c r="C52" s="61" t="s">
        <v>97</v>
      </c>
      <c r="D52" s="62" t="s">
        <v>10</v>
      </c>
      <c r="E52" s="65">
        <v>2286</v>
      </c>
      <c r="F52" s="65">
        <v>1278</v>
      </c>
      <c r="G52" s="66">
        <v>0.44094488188976377</v>
      </c>
      <c r="H52" s="65">
        <v>720</v>
      </c>
      <c r="I52" s="66">
        <v>0.68503937007874016</v>
      </c>
      <c r="J52" s="67">
        <v>0.24409448818897639</v>
      </c>
    </row>
    <row r="53" spans="1:10" x14ac:dyDescent="0.35">
      <c r="C53" s="61" t="s">
        <v>11</v>
      </c>
      <c r="D53" s="62" t="s">
        <v>10</v>
      </c>
      <c r="E53" s="65">
        <v>516.5</v>
      </c>
      <c r="F53" s="65">
        <v>208.5</v>
      </c>
      <c r="G53" s="66">
        <v>0.59632139399806394</v>
      </c>
      <c r="H53" s="65">
        <v>209.5</v>
      </c>
      <c r="I53" s="66">
        <v>0.59438528557599224</v>
      </c>
      <c r="J53" s="67">
        <v>-1.9361084220717029E-3</v>
      </c>
    </row>
    <row r="54" spans="1:10" x14ac:dyDescent="0.35">
      <c r="C54" s="61" t="s">
        <v>12</v>
      </c>
      <c r="D54" s="62" t="s">
        <v>10</v>
      </c>
      <c r="E54" s="65">
        <v>600</v>
      </c>
      <c r="F54" s="65">
        <v>173.5</v>
      </c>
      <c r="G54" s="66">
        <v>0.71083333333333332</v>
      </c>
      <c r="H54" s="65">
        <v>173</v>
      </c>
      <c r="I54" s="66">
        <v>0.71166666666666667</v>
      </c>
      <c r="J54" s="67">
        <v>8.3333333333335258E-4</v>
      </c>
    </row>
    <row r="55" spans="1:10" x14ac:dyDescent="0.35">
      <c r="C55" s="61" t="s">
        <v>13</v>
      </c>
      <c r="D55" s="62" t="s">
        <v>10</v>
      </c>
      <c r="E55" s="65">
        <v>634</v>
      </c>
      <c r="F55" s="65">
        <v>252.5</v>
      </c>
      <c r="G55" s="66">
        <v>0.6017350157728707</v>
      </c>
      <c r="H55" s="65">
        <v>180</v>
      </c>
      <c r="I55" s="66">
        <v>0.71608832807570977</v>
      </c>
      <c r="J55" s="67">
        <v>0.11435331230283907</v>
      </c>
    </row>
    <row r="56" spans="1:10" x14ac:dyDescent="0.35">
      <c r="C56" s="63" t="s">
        <v>14</v>
      </c>
      <c r="D56" s="64" t="s">
        <v>10</v>
      </c>
      <c r="E56" s="68">
        <v>535.5</v>
      </c>
      <c r="F56" s="68">
        <v>643.5</v>
      </c>
      <c r="G56" s="69">
        <v>-0.20168067226890757</v>
      </c>
      <c r="H56" s="68">
        <v>157.5</v>
      </c>
      <c r="I56" s="69">
        <v>0.70588235294117652</v>
      </c>
      <c r="J56" s="70">
        <v>0.90756302521008414</v>
      </c>
    </row>
    <row r="58" spans="1:10" x14ac:dyDescent="0.35">
      <c r="C58" s="56" t="s">
        <v>99</v>
      </c>
    </row>
    <row r="59" spans="1:10" x14ac:dyDescent="0.35">
      <c r="A59" t="s">
        <v>100</v>
      </c>
      <c r="C59" s="58" t="s">
        <v>1</v>
      </c>
      <c r="D59" s="59" t="s">
        <v>2</v>
      </c>
      <c r="E59" s="59" t="s">
        <v>3</v>
      </c>
      <c r="F59" s="59" t="s">
        <v>4</v>
      </c>
      <c r="G59" s="59" t="s">
        <v>5</v>
      </c>
      <c r="H59" s="59" t="s">
        <v>6</v>
      </c>
      <c r="I59" s="59" t="s">
        <v>7</v>
      </c>
      <c r="J59" s="60" t="s">
        <v>8</v>
      </c>
    </row>
    <row r="60" spans="1:10" x14ac:dyDescent="0.35">
      <c r="C60" s="61" t="s">
        <v>99</v>
      </c>
      <c r="D60" s="62" t="s">
        <v>10</v>
      </c>
      <c r="E60" s="65">
        <v>2286</v>
      </c>
      <c r="F60" s="65">
        <v>810</v>
      </c>
      <c r="G60" s="66">
        <v>0.64566929133858264</v>
      </c>
      <c r="H60" s="65">
        <v>1060.5</v>
      </c>
      <c r="I60" s="66">
        <v>0.53608923884514437</v>
      </c>
      <c r="J60" s="67">
        <v>-0.10958005249343827</v>
      </c>
    </row>
    <row r="61" spans="1:10" x14ac:dyDescent="0.35">
      <c r="C61" s="61" t="s">
        <v>11</v>
      </c>
      <c r="D61" s="62" t="s">
        <v>10</v>
      </c>
      <c r="E61" s="65">
        <v>516.5</v>
      </c>
      <c r="F61" s="65">
        <v>212</v>
      </c>
      <c r="G61" s="66">
        <v>0.5895450145208132</v>
      </c>
      <c r="H61" s="65">
        <v>207.5</v>
      </c>
      <c r="I61" s="66">
        <v>0.59825750242013553</v>
      </c>
      <c r="J61" s="67">
        <v>8.7124878993223298E-3</v>
      </c>
    </row>
    <row r="62" spans="1:10" x14ac:dyDescent="0.35">
      <c r="C62" s="61" t="s">
        <v>12</v>
      </c>
      <c r="D62" s="62" t="s">
        <v>10</v>
      </c>
      <c r="E62" s="65">
        <v>600</v>
      </c>
      <c r="F62" s="65">
        <v>176</v>
      </c>
      <c r="G62" s="66">
        <v>0.70666666666666667</v>
      </c>
      <c r="H62" s="65">
        <v>185</v>
      </c>
      <c r="I62" s="66">
        <v>0.69166666666666665</v>
      </c>
      <c r="J62" s="67">
        <v>-1.5000000000000013E-2</v>
      </c>
    </row>
    <row r="63" spans="1:10" x14ac:dyDescent="0.35">
      <c r="C63" s="61" t="s">
        <v>13</v>
      </c>
      <c r="D63" s="62" t="s">
        <v>10</v>
      </c>
      <c r="E63" s="65">
        <v>634</v>
      </c>
      <c r="F63" s="65">
        <v>187.5</v>
      </c>
      <c r="G63" s="66">
        <v>0.7042586750788643</v>
      </c>
      <c r="H63" s="65">
        <v>210.5</v>
      </c>
      <c r="I63" s="66">
        <v>0.667981072555205</v>
      </c>
      <c r="J63" s="67">
        <v>-3.6277602523659302E-2</v>
      </c>
    </row>
    <row r="64" spans="1:10" x14ac:dyDescent="0.35">
      <c r="C64" s="63" t="s">
        <v>14</v>
      </c>
      <c r="D64" s="64" t="s">
        <v>10</v>
      </c>
      <c r="E64" s="68">
        <v>535.5</v>
      </c>
      <c r="F64" s="68">
        <v>234.5</v>
      </c>
      <c r="G64" s="69">
        <v>0.56209150326797386</v>
      </c>
      <c r="H64" s="68">
        <v>457.5</v>
      </c>
      <c r="I64" s="69">
        <v>0.14565826330532214</v>
      </c>
      <c r="J64" s="70">
        <v>-0.41643323996265169</v>
      </c>
    </row>
    <row r="66" spans="1:10" x14ac:dyDescent="0.35">
      <c r="C66" s="56" t="s">
        <v>101</v>
      </c>
    </row>
    <row r="67" spans="1:10" x14ac:dyDescent="0.35">
      <c r="A67" t="s">
        <v>102</v>
      </c>
      <c r="C67" s="58" t="s">
        <v>1</v>
      </c>
      <c r="D67" s="59" t="s">
        <v>2</v>
      </c>
      <c r="E67" s="59" t="s">
        <v>3</v>
      </c>
      <c r="F67" s="59" t="s">
        <v>4</v>
      </c>
      <c r="G67" s="59" t="s">
        <v>5</v>
      </c>
      <c r="H67" s="59" t="s">
        <v>6</v>
      </c>
      <c r="I67" s="59" t="s">
        <v>7</v>
      </c>
      <c r="J67" s="60" t="s">
        <v>8</v>
      </c>
    </row>
    <row r="68" spans="1:10" x14ac:dyDescent="0.35">
      <c r="C68" s="61" t="s">
        <v>101</v>
      </c>
      <c r="D68" s="62" t="s">
        <v>10</v>
      </c>
      <c r="E68" s="65">
        <v>2286</v>
      </c>
      <c r="F68" s="65">
        <v>647</v>
      </c>
      <c r="G68" s="66">
        <v>0.71697287839020118</v>
      </c>
      <c r="H68" s="65">
        <v>816.5</v>
      </c>
      <c r="I68" s="66">
        <v>0.64282589676290469</v>
      </c>
      <c r="J68" s="67">
        <v>-7.4146981627296493E-2</v>
      </c>
    </row>
    <row r="69" spans="1:10" x14ac:dyDescent="0.35">
      <c r="C69" s="61" t="s">
        <v>11</v>
      </c>
      <c r="D69" s="62" t="s">
        <v>10</v>
      </c>
      <c r="E69" s="65">
        <v>516.5</v>
      </c>
      <c r="F69" s="65">
        <v>40</v>
      </c>
      <c r="G69" s="66">
        <v>0.92255566311713455</v>
      </c>
      <c r="H69" s="65">
        <v>212</v>
      </c>
      <c r="I69" s="66">
        <v>0.5895450145208132</v>
      </c>
      <c r="J69" s="67">
        <v>-0.33301064859632135</v>
      </c>
    </row>
    <row r="70" spans="1:10" x14ac:dyDescent="0.35">
      <c r="C70" s="61" t="s">
        <v>12</v>
      </c>
      <c r="D70" s="62" t="s">
        <v>10</v>
      </c>
      <c r="E70" s="65">
        <v>600</v>
      </c>
      <c r="F70" s="65">
        <v>173.5</v>
      </c>
      <c r="G70" s="66">
        <v>0.71083333333333332</v>
      </c>
      <c r="H70" s="65">
        <v>176</v>
      </c>
      <c r="I70" s="66">
        <v>0.70666666666666667</v>
      </c>
      <c r="J70" s="67">
        <v>-4.1666666666666519E-3</v>
      </c>
    </row>
    <row r="71" spans="1:10" x14ac:dyDescent="0.35">
      <c r="C71" s="61" t="s">
        <v>13</v>
      </c>
      <c r="D71" s="62" t="s">
        <v>10</v>
      </c>
      <c r="E71" s="65">
        <v>634</v>
      </c>
      <c r="F71" s="65">
        <v>213.5</v>
      </c>
      <c r="G71" s="66">
        <v>0.66324921135646686</v>
      </c>
      <c r="H71" s="65">
        <v>191</v>
      </c>
      <c r="I71" s="66">
        <v>0.69873817034700314</v>
      </c>
      <c r="J71" s="67">
        <v>3.5488958990536279E-2</v>
      </c>
    </row>
    <row r="72" spans="1:10" x14ac:dyDescent="0.35">
      <c r="C72" s="63" t="s">
        <v>14</v>
      </c>
      <c r="D72" s="64" t="s">
        <v>10</v>
      </c>
      <c r="E72" s="68">
        <v>535.5</v>
      </c>
      <c r="F72" s="68">
        <v>220</v>
      </c>
      <c r="G72" s="69">
        <v>0.58916900093370683</v>
      </c>
      <c r="H72" s="68">
        <v>237.5</v>
      </c>
      <c r="I72" s="69">
        <v>0.55648926237161533</v>
      </c>
      <c r="J72" s="70">
        <v>-3.2679738562091498E-2</v>
      </c>
    </row>
    <row r="74" spans="1:10" x14ac:dyDescent="0.35">
      <c r="C74" s="40" t="s">
        <v>103</v>
      </c>
    </row>
    <row r="75" spans="1:10" x14ac:dyDescent="0.35">
      <c r="C75" s="58" t="s">
        <v>1</v>
      </c>
      <c r="D75" s="59" t="s">
        <v>2</v>
      </c>
      <c r="E75" s="59" t="s">
        <v>3</v>
      </c>
      <c r="F75" s="59" t="s">
        <v>4</v>
      </c>
      <c r="G75" s="59" t="s">
        <v>5</v>
      </c>
      <c r="H75" s="59" t="s">
        <v>6</v>
      </c>
      <c r="I75" s="59" t="s">
        <v>7</v>
      </c>
      <c r="J75" s="60" t="s">
        <v>8</v>
      </c>
    </row>
    <row r="76" spans="1:10" x14ac:dyDescent="0.35">
      <c r="A76" t="s">
        <v>104</v>
      </c>
      <c r="C76" s="61" t="s">
        <v>103</v>
      </c>
      <c r="D76" s="62" t="s">
        <v>10</v>
      </c>
      <c r="E76" s="65">
        <v>2286</v>
      </c>
      <c r="F76" s="65">
        <v>795.5</v>
      </c>
      <c r="G76" s="66">
        <v>0.65201224846894135</v>
      </c>
      <c r="H76" s="65">
        <v>870</v>
      </c>
      <c r="I76" s="66">
        <v>0.61942257217847774</v>
      </c>
      <c r="J76" s="67">
        <v>-3.2589676290463609E-2</v>
      </c>
    </row>
    <row r="77" spans="1:10" x14ac:dyDescent="0.35">
      <c r="C77" s="61" t="s">
        <v>11</v>
      </c>
      <c r="D77" s="62" t="s">
        <v>10</v>
      </c>
      <c r="E77" s="65">
        <v>516.5</v>
      </c>
      <c r="F77" s="65">
        <v>212</v>
      </c>
      <c r="G77" s="66">
        <v>0.5895450145208132</v>
      </c>
      <c r="H77" s="65">
        <v>212</v>
      </c>
      <c r="I77" s="66">
        <v>0.5895450145208132</v>
      </c>
      <c r="J77" s="67">
        <v>0</v>
      </c>
    </row>
    <row r="78" spans="1:10" x14ac:dyDescent="0.35">
      <c r="C78" s="61" t="s">
        <v>12</v>
      </c>
      <c r="D78" s="62" t="s">
        <v>10</v>
      </c>
      <c r="E78" s="65">
        <v>600</v>
      </c>
      <c r="F78" s="65">
        <v>176</v>
      </c>
      <c r="G78" s="66">
        <v>0.70666666666666667</v>
      </c>
      <c r="H78" s="65">
        <v>165.5</v>
      </c>
      <c r="I78" s="66">
        <v>0.72416666666666663</v>
      </c>
      <c r="J78" s="67">
        <v>1.749999999999996E-2</v>
      </c>
    </row>
    <row r="79" spans="1:10" x14ac:dyDescent="0.35">
      <c r="C79" s="61" t="s">
        <v>13</v>
      </c>
      <c r="D79" s="62" t="s">
        <v>10</v>
      </c>
      <c r="E79" s="65">
        <v>634</v>
      </c>
      <c r="F79" s="65">
        <v>188.5</v>
      </c>
      <c r="G79" s="66">
        <v>0.70268138801261826</v>
      </c>
      <c r="H79" s="65">
        <v>244</v>
      </c>
      <c r="I79" s="66">
        <v>0.6151419558359621</v>
      </c>
      <c r="J79" s="67">
        <v>-8.7539432176656162E-2</v>
      </c>
    </row>
    <row r="80" spans="1:10" x14ac:dyDescent="0.35">
      <c r="C80" s="63" t="s">
        <v>14</v>
      </c>
      <c r="D80" s="64" t="s">
        <v>10</v>
      </c>
      <c r="E80" s="68">
        <v>535.5</v>
      </c>
      <c r="F80" s="68">
        <v>219</v>
      </c>
      <c r="G80" s="69">
        <v>0.59103641456582634</v>
      </c>
      <c r="H80" s="68">
        <v>248.5</v>
      </c>
      <c r="I80" s="69">
        <v>0.53594771241830064</v>
      </c>
      <c r="J80" s="70">
        <v>-5.5088702147525703E-2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66AD-28E6-4FB1-854C-109F777CD733}">
  <dimension ref="A2:AB80"/>
  <sheetViews>
    <sheetView topLeftCell="J1" workbookViewId="0">
      <selection activeCell="AC11" sqref="AC11"/>
    </sheetView>
  </sheetViews>
  <sheetFormatPr defaultRowHeight="14.5" x14ac:dyDescent="0.35"/>
  <cols>
    <col min="3" max="3" width="10.26953125" customWidth="1"/>
    <col min="4" max="4" width="11.26953125" customWidth="1"/>
    <col min="5" max="6" width="10.453125" bestFit="1" customWidth="1"/>
    <col min="7" max="7" width="15.7265625" customWidth="1"/>
    <col min="8" max="8" width="12.6328125" customWidth="1"/>
    <col min="9" max="9" width="16.26953125" customWidth="1"/>
    <col min="10" max="10" width="12.54296875" customWidth="1"/>
    <col min="11" max="11" width="14.90625" bestFit="1" customWidth="1"/>
    <col min="12" max="12" width="11.1796875" bestFit="1" customWidth="1"/>
    <col min="13" max="13" width="11.54296875" bestFit="1" customWidth="1"/>
    <col min="15" max="15" width="9.90625" bestFit="1" customWidth="1"/>
    <col min="16" max="16" width="9.90625" hidden="1" customWidth="1"/>
    <col min="17" max="17" width="10.453125" bestFit="1" customWidth="1"/>
    <col min="18" max="18" width="11.1796875" customWidth="1"/>
    <col min="19" max="19" width="8.90625" bestFit="1" customWidth="1"/>
    <col min="20" max="20" width="14.453125" customWidth="1"/>
    <col min="21" max="22" width="8.90625" bestFit="1" customWidth="1"/>
    <col min="23" max="23" width="11.6328125" customWidth="1"/>
    <col min="25" max="25" width="8.81640625" bestFit="1" customWidth="1"/>
    <col min="26" max="26" width="14.453125" customWidth="1"/>
    <col min="27" max="27" width="13.36328125" customWidth="1"/>
    <col min="28" max="28" width="16.81640625" customWidth="1"/>
    <col min="29" max="29" width="10.1796875" bestFit="1" customWidth="1"/>
    <col min="30" max="30" width="15.36328125" customWidth="1"/>
  </cols>
  <sheetData>
    <row r="2" spans="1:28" x14ac:dyDescent="0.35">
      <c r="C2" s="56" t="s">
        <v>87</v>
      </c>
      <c r="D2" s="40"/>
      <c r="E2" s="40"/>
      <c r="F2" s="40"/>
      <c r="G2" s="40"/>
      <c r="H2" s="40"/>
      <c r="I2" s="40"/>
      <c r="J2" s="40"/>
      <c r="O2" s="56" t="s">
        <v>9</v>
      </c>
      <c r="P2" s="40"/>
      <c r="Q2" s="40"/>
      <c r="S2" s="40"/>
      <c r="T2" s="40"/>
      <c r="U2" s="40"/>
      <c r="V2" s="40"/>
      <c r="W2" s="40"/>
      <c r="X2" s="40"/>
      <c r="Z2" s="40"/>
    </row>
    <row r="3" spans="1:28" x14ac:dyDescent="0.35">
      <c r="A3" t="s">
        <v>0</v>
      </c>
      <c r="C3" s="40" t="s">
        <v>1</v>
      </c>
      <c r="D3" s="40" t="s">
        <v>2</v>
      </c>
      <c r="E3" s="51" t="s">
        <v>3</v>
      </c>
      <c r="F3" s="51" t="s">
        <v>115</v>
      </c>
      <c r="G3" s="51" t="s">
        <v>137</v>
      </c>
      <c r="H3" s="51" t="s">
        <v>4</v>
      </c>
      <c r="I3" s="51" t="s">
        <v>5</v>
      </c>
      <c r="J3" s="51" t="s">
        <v>6</v>
      </c>
      <c r="K3" s="51" t="s">
        <v>7</v>
      </c>
      <c r="L3" s="51" t="s">
        <v>8</v>
      </c>
      <c r="M3" s="51" t="s">
        <v>139</v>
      </c>
      <c r="Q3" s="40" t="s">
        <v>1</v>
      </c>
      <c r="R3" s="51" t="s">
        <v>3</v>
      </c>
      <c r="S3" s="40" t="s">
        <v>115</v>
      </c>
      <c r="T3" s="51" t="s">
        <v>122</v>
      </c>
      <c r="U3" s="51" t="s">
        <v>4</v>
      </c>
      <c r="V3" s="51" t="s">
        <v>113</v>
      </c>
      <c r="W3" s="51" t="s">
        <v>123</v>
      </c>
      <c r="X3" s="51" t="s">
        <v>6</v>
      </c>
      <c r="Y3" s="51" t="s">
        <v>114</v>
      </c>
      <c r="Z3" s="51" t="s">
        <v>124</v>
      </c>
      <c r="AA3" s="51" t="s">
        <v>125</v>
      </c>
      <c r="AB3" s="51" t="s">
        <v>126</v>
      </c>
    </row>
    <row r="4" spans="1:28" x14ac:dyDescent="0.35">
      <c r="C4" s="40" t="s">
        <v>87</v>
      </c>
      <c r="D4" s="40" t="s">
        <v>10</v>
      </c>
      <c r="E4" s="52">
        <f>SUM(E5:E8)</f>
        <v>2286</v>
      </c>
      <c r="F4" s="84">
        <v>788.5</v>
      </c>
      <c r="G4" s="53">
        <f>(Table619[[#This Row],[Baseline]]-Table619[[#This Row],[DQN]])/Table619[[#This Row],[Baseline]]</f>
        <v>0.65507436570428701</v>
      </c>
      <c r="H4" s="52">
        <f>SUM(H5:H8)</f>
        <v>830</v>
      </c>
      <c r="I4" s="72">
        <f>(Table619[[#This Row],[Baseline]]-Table619[[#This Row],[ELV]])/E4</f>
        <v>0.63692038495188097</v>
      </c>
      <c r="J4" s="52">
        <f>SUM(J5:J8)</f>
        <v>930</v>
      </c>
      <c r="K4" s="83">
        <f>(Table619[[#This Row],[Baseline]]-Table619[[#This Row],[CRP]])/Table619[[#This Row],[Baseline]]</f>
        <v>0.59317585301837272</v>
      </c>
      <c r="L4" s="83">
        <f>Table619[[#This Row],[Delta - Baseline ]]-Table619[[#This Row],[Delta - Baseline]]</f>
        <v>-4.3744531933508246E-2</v>
      </c>
      <c r="M4" s="90">
        <f>Table619[[#This Row],[Delta - Baseline ]]-Table619[[#This Row],[Delta-Baseline]]</f>
        <v>-6.1898512685914286E-2</v>
      </c>
      <c r="Q4" s="40" t="s">
        <v>9</v>
      </c>
      <c r="R4" s="52">
        <f>SUM(R5:R8)</f>
        <v>2286</v>
      </c>
      <c r="S4" s="84">
        <f>'Totals All'!AD38</f>
        <v>788.5</v>
      </c>
      <c r="T4" s="85">
        <f>(Table118[[#This Row],[Baseline]]-Table118[[#This Row],[DQN]])/Table118[[#This Row],[Baseline]]</f>
        <v>0.65507436570428701</v>
      </c>
      <c r="U4" s="52">
        <f>SUM(U5:U8)</f>
        <v>891.05000000000007</v>
      </c>
      <c r="V4" s="82">
        <f>_xlfn.STDEV.S(H4,H12,H20,H28,H36,H44,H52,H60,H68,H76)</f>
        <v>110.3956143452566</v>
      </c>
      <c r="W4" s="81">
        <f>AVERAGE(W5:W8)</f>
        <v>0.60363248325191665</v>
      </c>
      <c r="X4" s="52">
        <f>SUM(X5:X8)</f>
        <v>860.15000000000009</v>
      </c>
      <c r="Y4" s="82">
        <f>_xlfn.STDEV.S(J4,J12,J20,J28,J36,J44,J52,HK60,J68,J76)</f>
        <v>80.105009206665727</v>
      </c>
      <c r="Z4" s="81">
        <f>(R4-X4)/R4</f>
        <v>0.62373140857392817</v>
      </c>
      <c r="AA4" s="81">
        <f>Z4-Table118[[#This Row],[BL - ELV]]</f>
        <v>2.0098925322011518E-2</v>
      </c>
      <c r="AB4" s="81">
        <f>Table118[[#This Row],[BL - CRP]]-Table118[[#This Row],[BL-DQN]]</f>
        <v>-3.1342957130358839E-2</v>
      </c>
    </row>
    <row r="5" spans="1:28" x14ac:dyDescent="0.35">
      <c r="C5" s="40" t="s">
        <v>11</v>
      </c>
      <c r="D5" s="40" t="s">
        <v>10</v>
      </c>
      <c r="E5" s="52">
        <f>'IHC Baseline'!B$40+'UBC Baseline'!B$40</f>
        <v>634</v>
      </c>
      <c r="F5" s="84">
        <v>118</v>
      </c>
      <c r="G5" s="53">
        <f>(Table619[[#This Row],[Baseline]]-Table619[[#This Row],[DQN]])/Table619[[#This Row],[Baseline]]</f>
        <v>0.81388012618296535</v>
      </c>
      <c r="H5" s="52">
        <f>'IHC ELV'!B$40+'UBC ELV'!B$40</f>
        <v>193.5</v>
      </c>
      <c r="I5" s="72">
        <f>(Table619[[#This Row],[Baseline]]-Table619[[#This Row],[ELV]])/E5</f>
        <v>0.69479495268138802</v>
      </c>
      <c r="J5" s="52">
        <f>'IHC CRP'!B$40+'UBC CRP'!B$40</f>
        <v>188</v>
      </c>
      <c r="K5" s="83">
        <f>(Table619[[#This Row],[Baseline]]-Table619[[#This Row],[CRP]])/Table619[[#This Row],[Baseline]]</f>
        <v>0.70347003154574128</v>
      </c>
      <c r="L5" s="83">
        <f>Table619[[#This Row],[Delta - Baseline ]]-Table619[[#This Row],[Delta - Baseline]]</f>
        <v>8.6750788643532584E-3</v>
      </c>
      <c r="M5" s="90">
        <f>Table619[[#This Row],[Delta - Baseline ]]-Table619[[#This Row],[Delta-Baseline]]</f>
        <v>-0.11041009463722407</v>
      </c>
      <c r="Q5" s="40" t="s">
        <v>11</v>
      </c>
      <c r="R5" s="52">
        <f>AVERAGE(E5,E13,E21,E29,E37,E45,E53,E61,E69,E77)</f>
        <v>634</v>
      </c>
      <c r="S5" s="84">
        <f>'Totals DQN'!AA38</f>
        <v>118</v>
      </c>
      <c r="T5" s="86">
        <f>(Table118[[#This Row],[Baseline]]-Table118[[#This Row],[DQN]])/Table118[[#This Row],[Baseline]]</f>
        <v>0.81388012618296535</v>
      </c>
      <c r="U5" s="52">
        <f>AVERAGE(H5,H13,H21,H29,H37,H45,H53,H61,H69,H77)</f>
        <v>195.8</v>
      </c>
      <c r="V5" s="82">
        <f>_xlfn.STDEV.S(H5,H13,H21,H29,H37,H45,H53,H61,H69,H77)</f>
        <v>22.859717116943159</v>
      </c>
      <c r="W5" s="83">
        <f>(R5-U5)/R5</f>
        <v>0.69116719242902203</v>
      </c>
      <c r="X5" s="52">
        <f>AVERAGE(J5,J13,J21,J29,J37,J45,J53,J61,J69,J77)</f>
        <v>187.7</v>
      </c>
      <c r="Y5" s="82">
        <f>_xlfn.STDEV.S(J5,J13,J21,J29,J37,J45,J53,HK61,J69,J77)</f>
        <v>5.6316318929576514</v>
      </c>
      <c r="Z5" s="83">
        <f>(R5-X5)/R5</f>
        <v>0.70394321766561518</v>
      </c>
      <c r="AA5" s="83">
        <f>Z5-Table118[[#This Row],[BL - ELV]]</f>
        <v>1.2776025236593158E-2</v>
      </c>
      <c r="AB5" s="83">
        <f>Table118[[#This Row],[BL - CRP]]-Table118[[#This Row],[BL-DQN]]</f>
        <v>-0.10993690851735016</v>
      </c>
    </row>
    <row r="6" spans="1:28" x14ac:dyDescent="0.35">
      <c r="C6" s="40" t="s">
        <v>12</v>
      </c>
      <c r="D6" s="40" t="s">
        <v>10</v>
      </c>
      <c r="E6" s="52">
        <f>'IHC Baseline'!C$40+'UBC Baseline'!C$40</f>
        <v>535.5</v>
      </c>
      <c r="F6" s="84">
        <v>212.5</v>
      </c>
      <c r="G6" s="53">
        <f>(Table619[[#This Row],[Baseline]]-Table619[[#This Row],[DQN]])/Table619[[#This Row],[Baseline]]</f>
        <v>0.60317460317460314</v>
      </c>
      <c r="H6" s="52">
        <f>'IHC ELV'!C$40+'UBC ELV'!C$40</f>
        <v>227</v>
      </c>
      <c r="I6" s="72">
        <f>(Table619[[#This Row],[Baseline]]-Table619[[#This Row],[ELV]])/E6</f>
        <v>0.57609710550887017</v>
      </c>
      <c r="J6" s="52">
        <f>'IHC CRP'!C$40+'UBC CRP'!C$40</f>
        <v>325.5</v>
      </c>
      <c r="K6" s="83">
        <f>(Table619[[#This Row],[Baseline]]-Table619[[#This Row],[CRP]])/Table619[[#This Row],[Baseline]]</f>
        <v>0.39215686274509803</v>
      </c>
      <c r="L6" s="83">
        <f>Table619[[#This Row],[Delta - Baseline ]]-Table619[[#This Row],[Delta - Baseline]]</f>
        <v>-0.18394024276377213</v>
      </c>
      <c r="M6" s="90">
        <f>Table619[[#This Row],[Delta - Baseline ]]-Table619[[#This Row],[Delta-Baseline]]</f>
        <v>-0.21101774042950511</v>
      </c>
      <c r="Q6" s="40" t="s">
        <v>12</v>
      </c>
      <c r="R6" s="52">
        <f>AVERAGE(E6,E14,E22,E30,E38,E46,E54,E62,E70,E78)</f>
        <v>535.5</v>
      </c>
      <c r="S6" s="84">
        <f>'Totals DQN'!AB38</f>
        <v>212.5</v>
      </c>
      <c r="T6" s="86">
        <f>(Table118[[#This Row],[Baseline]]-Table118[[#This Row],[DQN]])/Table118[[#This Row],[Baseline]]</f>
        <v>0.60317460317460314</v>
      </c>
      <c r="U6" s="52">
        <f>AVERAGE(H6,H14,H22,H30,H38,H46,H54,H62,H70,H78)</f>
        <v>300.55</v>
      </c>
      <c r="V6" s="82">
        <f>_xlfn.STDEV.S(H6,H14,H22,H30,H38,H46,H54,H62,H70,H78)</f>
        <v>94.526730493431202</v>
      </c>
      <c r="W6" s="83">
        <f>(R6-U6)/R6</f>
        <v>0.43874883286647992</v>
      </c>
      <c r="X6" s="52">
        <f>AVERAGE(J6,J14,J22,J30,J38,J46,J54,J62,J70,J78)</f>
        <v>273.75</v>
      </c>
      <c r="Y6" s="82">
        <f>_xlfn.STDEV.S(J6,J14,J22,J30,J38,J46,J54,HK62,J70,J78)</f>
        <v>68.296229764167805</v>
      </c>
      <c r="Z6" s="83">
        <f>(R6-X6)/R6</f>
        <v>0.4887955182072829</v>
      </c>
      <c r="AA6" s="83">
        <f>Z6-Table118[[#This Row],[BL - ELV]]</f>
        <v>5.0046685340802977E-2</v>
      </c>
      <c r="AB6" s="83">
        <f>Table118[[#This Row],[BL - CRP]]-Table118[[#This Row],[BL-DQN]]</f>
        <v>-0.11437908496732024</v>
      </c>
    </row>
    <row r="7" spans="1:28" x14ac:dyDescent="0.35">
      <c r="C7" s="40" t="s">
        <v>13</v>
      </c>
      <c r="D7" s="40" t="s">
        <v>10</v>
      </c>
      <c r="E7" s="52">
        <f>'IHC Baseline'!D$40+'UBC Baseline'!D$40</f>
        <v>516.5</v>
      </c>
      <c r="F7" s="84">
        <v>297</v>
      </c>
      <c r="G7" s="53">
        <f>(Table619[[#This Row],[Baseline]]-Table619[[#This Row],[DQN]])/Table619[[#This Row],[Baseline]]</f>
        <v>0.42497579864472412</v>
      </c>
      <c r="H7" s="52">
        <f>'IHC ELV'!D$40+'UBC ELV'!D$40</f>
        <v>220.5</v>
      </c>
      <c r="I7" s="72">
        <f>(Table619[[#This Row],[Baseline]]-Table619[[#This Row],[ELV]])/E7</f>
        <v>0.57308809293320429</v>
      </c>
      <c r="J7" s="52">
        <f>'IHC CRP'!D$40+'UBC CRP'!D$40</f>
        <v>226.5</v>
      </c>
      <c r="K7" s="83">
        <f>(Table619[[#This Row],[Baseline]]-Table619[[#This Row],[CRP]])/Table619[[#This Row],[Baseline]]</f>
        <v>0.5614714424007744</v>
      </c>
      <c r="L7" s="83">
        <f>Table619[[#This Row],[Delta - Baseline ]]-Table619[[#This Row],[Delta - Baseline]]</f>
        <v>-1.1616650532429884E-2</v>
      </c>
      <c r="M7" s="90">
        <f>Table619[[#This Row],[Delta - Baseline ]]-Table619[[#This Row],[Delta-Baseline]]</f>
        <v>0.13649564375605028</v>
      </c>
      <c r="Q7" s="40" t="s">
        <v>13</v>
      </c>
      <c r="R7" s="52">
        <f>AVERAGE(E7,E15,E23,E31,E39,E47,E55,E63,E71,E79)</f>
        <v>516.5</v>
      </c>
      <c r="S7" s="84">
        <f>'Totals DQN'!AC38</f>
        <v>297</v>
      </c>
      <c r="T7" s="86">
        <f>(Table118[[#This Row],[Baseline]]-Table118[[#This Row],[DQN]])/Table118[[#This Row],[Baseline]]</f>
        <v>0.42497579864472412</v>
      </c>
      <c r="U7" s="52">
        <f>AVERAGE(H7,H15,H23,H31,H39,H47,H55,H63,H71,H79)</f>
        <v>213.6</v>
      </c>
      <c r="V7" s="82">
        <f>_xlfn.STDEV.S(H7,H15,H23,H31,H39,H47,H55,H63,H71,H79)</f>
        <v>20.00805393390927</v>
      </c>
      <c r="W7" s="83">
        <f>(R7-U7)/R7</f>
        <v>0.5864472410454985</v>
      </c>
      <c r="X7" s="52">
        <f>AVERAGE(J7,J15,J23,J31,J39,J47,J55,J63,J71,J79)</f>
        <v>214.4</v>
      </c>
      <c r="Y7" s="82">
        <f>_xlfn.STDEV.S(J7,J15,J23,J31,J39,J47,J55,HK63,J71,J79)</f>
        <v>22.339862229755234</v>
      </c>
      <c r="Z7" s="83">
        <f>(R7-X7)/R7</f>
        <v>0.58489835430784132</v>
      </c>
      <c r="AA7" s="83">
        <f>Z7-Table118[[#This Row],[BL - ELV]]</f>
        <v>-1.5488867376571847E-3</v>
      </c>
      <c r="AB7" s="83">
        <f>Table118[[#This Row],[BL - CRP]]-Table118[[#This Row],[BL-DQN]]</f>
        <v>0.15992255566311719</v>
      </c>
    </row>
    <row r="8" spans="1:28" x14ac:dyDescent="0.35">
      <c r="C8" s="40" t="s">
        <v>14</v>
      </c>
      <c r="D8" s="40" t="s">
        <v>10</v>
      </c>
      <c r="E8" s="52">
        <f>'IHC Baseline'!E$40+'UBC Baseline'!E$40</f>
        <v>600</v>
      </c>
      <c r="F8" s="84">
        <v>161</v>
      </c>
      <c r="G8" s="53">
        <f>(Table619[[#This Row],[Baseline]]-Table619[[#This Row],[DQN]])/Table619[[#This Row],[Baseline]]</f>
        <v>0.73166666666666669</v>
      </c>
      <c r="H8" s="52">
        <f>'IHC ELV'!E$40+'UBC ELV'!E$40</f>
        <v>189</v>
      </c>
      <c r="I8" s="72">
        <f>(Table619[[#This Row],[Baseline]]-Table619[[#This Row],[ELV]])/E8</f>
        <v>0.68500000000000005</v>
      </c>
      <c r="J8" s="52">
        <f>'IHC CRP'!E$40+'UBC CRP'!E$40</f>
        <v>190</v>
      </c>
      <c r="K8" s="83">
        <f>(Table619[[#This Row],[Baseline]]-Table619[[#This Row],[CRP]])/Table619[[#This Row],[Baseline]]</f>
        <v>0.68333333333333335</v>
      </c>
      <c r="L8" s="83">
        <f>Table619[[#This Row],[Delta - Baseline ]]-Table619[[#This Row],[Delta - Baseline]]</f>
        <v>-1.6666666666667052E-3</v>
      </c>
      <c r="M8" s="90">
        <f>Table619[[#This Row],[Delta - Baseline ]]-Table619[[#This Row],[Delta-Baseline]]</f>
        <v>-4.8333333333333339E-2</v>
      </c>
      <c r="Q8" s="40" t="s">
        <v>14</v>
      </c>
      <c r="R8" s="52">
        <f>AVERAGE(E8,E16,E24,E32,E40,E48,E56,E64,E72,E80)</f>
        <v>600</v>
      </c>
      <c r="S8" s="84">
        <f>'Totals DQN'!AD38</f>
        <v>161</v>
      </c>
      <c r="T8" s="86">
        <f>(Table118[[#This Row],[Baseline]]-Table118[[#This Row],[DQN]])/Table118[[#This Row],[Baseline]]</f>
        <v>0.73166666666666669</v>
      </c>
      <c r="U8" s="52">
        <f>AVERAGE(H8,H16,H24,H32,H40,H48,H56,H64,H72,H80)</f>
        <v>181.1</v>
      </c>
      <c r="V8" s="82">
        <f>_xlfn.STDEV.S(H8,H16,H24,H32,H40,H48,H56,H64,H72,H80)</f>
        <v>7.7452494400689833</v>
      </c>
      <c r="W8" s="83">
        <f>(R8-U8)/R8</f>
        <v>0.6981666666666666</v>
      </c>
      <c r="X8" s="52">
        <f>AVERAGE(J8,J16,J24,J32,J40,J48,J56,J64,J72,J80)</f>
        <v>184.3</v>
      </c>
      <c r="Y8" s="82">
        <f>_xlfn.STDEV.S(J8,J16,J24,J32,J40,J48,J56,HK64,J72,J80)</f>
        <v>9.1035707280165621</v>
      </c>
      <c r="Z8" s="83">
        <f>(R8-X8)/R8</f>
        <v>0.6928333333333333</v>
      </c>
      <c r="AA8" s="83">
        <f>Z8-Table118[[#This Row],[BL - ELV]]</f>
        <v>-5.3333333333333011E-3</v>
      </c>
      <c r="AB8" s="83">
        <f>Table118[[#This Row],[BL - CRP]]-Table118[[#This Row],[BL-DQN]]</f>
        <v>-3.8833333333333386E-2</v>
      </c>
    </row>
    <row r="9" spans="1:28" x14ac:dyDescent="0.35">
      <c r="C9" s="40"/>
      <c r="D9" s="40"/>
      <c r="E9" s="52"/>
      <c r="F9" s="52"/>
      <c r="G9" s="53"/>
      <c r="H9" s="52"/>
      <c r="I9" s="53"/>
      <c r="J9" s="53"/>
      <c r="Q9" s="1"/>
      <c r="S9" s="1"/>
      <c r="T9" s="2"/>
      <c r="U9" s="3"/>
      <c r="V9" s="2"/>
      <c r="W9" s="1"/>
      <c r="Y9" s="3"/>
      <c r="AA9" s="2"/>
    </row>
    <row r="10" spans="1:28" x14ac:dyDescent="0.35">
      <c r="C10" s="56" t="s">
        <v>88</v>
      </c>
      <c r="D10" s="40"/>
      <c r="E10" s="40"/>
      <c r="F10" s="40"/>
      <c r="G10" s="40"/>
      <c r="H10" s="40"/>
      <c r="I10" s="40"/>
      <c r="J10" s="40"/>
    </row>
    <row r="11" spans="1:28" x14ac:dyDescent="0.35">
      <c r="A11" t="s">
        <v>15</v>
      </c>
      <c r="C11" s="40" t="s">
        <v>1</v>
      </c>
      <c r="D11" s="40" t="s">
        <v>2</v>
      </c>
      <c r="E11" s="40" t="s">
        <v>3</v>
      </c>
      <c r="F11" s="51" t="s">
        <v>115</v>
      </c>
      <c r="G11" s="51" t="s">
        <v>137</v>
      </c>
      <c r="H11" s="40" t="s">
        <v>4</v>
      </c>
      <c r="I11" s="40" t="s">
        <v>5</v>
      </c>
      <c r="J11" s="40" t="s">
        <v>6</v>
      </c>
      <c r="K11" s="40" t="s">
        <v>7</v>
      </c>
      <c r="L11" s="40" t="s">
        <v>8</v>
      </c>
      <c r="M11" s="40" t="s">
        <v>138</v>
      </c>
    </row>
    <row r="12" spans="1:28" x14ac:dyDescent="0.35">
      <c r="C12" s="40" t="s">
        <v>94</v>
      </c>
      <c r="D12" s="40" t="s">
        <v>10</v>
      </c>
      <c r="E12" s="52">
        <f>SUM(E13:E16)</f>
        <v>2286</v>
      </c>
      <c r="F12" s="84">
        <v>788.5</v>
      </c>
      <c r="G12" s="53">
        <f>(Table720[[#This Row],[Baseline]]-Table720[[#This Row],[DQN]])/Table720[[#This Row],[Baseline]]</f>
        <v>0.65507436570428701</v>
      </c>
      <c r="H12" s="52">
        <f>SUM(H13:H16)</f>
        <v>958</v>
      </c>
      <c r="I12" s="72">
        <f>(E12-H12)/E12</f>
        <v>0.58092738407699041</v>
      </c>
      <c r="J12" s="52">
        <f>SUM(J13:J16)</f>
        <v>872.5</v>
      </c>
      <c r="K12" s="83">
        <f>(E12-J12)/E12</f>
        <v>0.61832895888013995</v>
      </c>
      <c r="L12" s="83">
        <f>K12-I12</f>
        <v>3.740157480314954E-2</v>
      </c>
      <c r="M12" s="90">
        <f>Table720[[#This Row],[Delta-Baseline]]-Table720[[#This Row],[Delta - Baseline ]]</f>
        <v>3.6745406824147064E-2</v>
      </c>
      <c r="W12" s="71"/>
    </row>
    <row r="13" spans="1:28" x14ac:dyDescent="0.35">
      <c r="C13" s="40" t="s">
        <v>11</v>
      </c>
      <c r="D13" s="40" t="s">
        <v>10</v>
      </c>
      <c r="E13" s="52">
        <f>'IHC Baseline'!G$40+'UBC Baseline'!G$40</f>
        <v>634</v>
      </c>
      <c r="F13" s="84">
        <v>118</v>
      </c>
      <c r="G13" s="53">
        <f>(Table720[[#This Row],[Baseline]]-Table720[[#This Row],[DQN]])/Table720[[#This Row],[Baseline]]</f>
        <v>0.81388012618296535</v>
      </c>
      <c r="H13" s="52">
        <f>'IHC ELV'!G$40+'UBC ELV'!G$40</f>
        <v>181.5</v>
      </c>
      <c r="I13" s="72">
        <f>(E13-H13)/E13</f>
        <v>0.7137223974763407</v>
      </c>
      <c r="J13" s="52">
        <f>'IHC CRP'!G$40+'UBC CRP'!G$40</f>
        <v>189.5</v>
      </c>
      <c r="K13" s="83">
        <f>(E13-J13)/E13</f>
        <v>0.70110410094637221</v>
      </c>
      <c r="L13" s="83">
        <f t="shared" ref="L13:L16" si="0">K13-I13</f>
        <v>-1.2618296529968487E-2</v>
      </c>
      <c r="M13" s="90">
        <f>Table720[[#This Row],[Delta-Baseline]]-Table720[[#This Row],[Delta - Baseline ]]</f>
        <v>0.11277602523659314</v>
      </c>
    </row>
    <row r="14" spans="1:28" x14ac:dyDescent="0.35">
      <c r="C14" s="40" t="s">
        <v>12</v>
      </c>
      <c r="D14" s="40" t="s">
        <v>10</v>
      </c>
      <c r="E14" s="52">
        <f>'IHC Baseline'!H$40+'UBC Baseline'!H$40</f>
        <v>535.5</v>
      </c>
      <c r="F14" s="84">
        <v>212.5</v>
      </c>
      <c r="G14" s="53">
        <f>(Table720[[#This Row],[Baseline]]-Table720[[#This Row],[DQN]])/Table720[[#This Row],[Baseline]]</f>
        <v>0.60317460317460314</v>
      </c>
      <c r="H14" s="52">
        <f>'IHC ELV'!H$40+'UBC ELV'!H$40</f>
        <v>374.5</v>
      </c>
      <c r="I14" s="72">
        <f>(E14-H14)/E14</f>
        <v>0.30065359477124182</v>
      </c>
      <c r="J14" s="52">
        <f>'IHC CRP'!H$40+'UBC CRP'!H$40</f>
        <v>269</v>
      </c>
      <c r="K14" s="83">
        <f>(E14-J14)/E14</f>
        <v>0.49766573295985062</v>
      </c>
      <c r="L14" s="83">
        <f t="shared" si="0"/>
        <v>0.1970121381886088</v>
      </c>
      <c r="M14" s="90">
        <f>Table720[[#This Row],[Delta-Baseline]]-Table720[[#This Row],[Delta - Baseline ]]</f>
        <v>0.10550887021475253</v>
      </c>
    </row>
    <row r="15" spans="1:28" x14ac:dyDescent="0.35">
      <c r="C15" s="40" t="s">
        <v>13</v>
      </c>
      <c r="D15" s="40" t="s">
        <v>10</v>
      </c>
      <c r="E15" s="52">
        <f>'IHC Baseline'!I$40+'UBC Baseline'!I$40</f>
        <v>516.5</v>
      </c>
      <c r="F15" s="84">
        <v>297</v>
      </c>
      <c r="G15" s="53">
        <f>(Table720[[#This Row],[Baseline]]-Table720[[#This Row],[DQN]])/Table720[[#This Row],[Baseline]]</f>
        <v>0.42497579864472412</v>
      </c>
      <c r="H15" s="52">
        <f>'IHC ELV'!I$40+'UBC ELV'!I$40</f>
        <v>219</v>
      </c>
      <c r="I15" s="72">
        <f>(E15-H15)/E15</f>
        <v>0.57599225556631173</v>
      </c>
      <c r="J15" s="52">
        <f>'IHC CRP'!I$40+'UBC CRP'!I$40</f>
        <v>227.5</v>
      </c>
      <c r="K15" s="83">
        <f>(E15-J15)/E15</f>
        <v>0.55953533397870281</v>
      </c>
      <c r="L15" s="83">
        <f t="shared" si="0"/>
        <v>-1.6456921587608919E-2</v>
      </c>
      <c r="M15" s="90">
        <f>Table720[[#This Row],[Delta-Baseline]]-Table720[[#This Row],[Delta - Baseline ]]</f>
        <v>-0.13455953533397869</v>
      </c>
    </row>
    <row r="16" spans="1:28" x14ac:dyDescent="0.35">
      <c r="C16" s="40" t="s">
        <v>14</v>
      </c>
      <c r="D16" s="40" t="s">
        <v>10</v>
      </c>
      <c r="E16" s="52">
        <f>'IHC Baseline'!J$40+'UBC Baseline'!J$40</f>
        <v>600</v>
      </c>
      <c r="F16" s="84">
        <v>161</v>
      </c>
      <c r="G16" s="53">
        <f>(Table720[[#This Row],[Baseline]]-Table720[[#This Row],[DQN]])/Table720[[#This Row],[Baseline]]</f>
        <v>0.73166666666666669</v>
      </c>
      <c r="H16" s="52">
        <f>'IHC ELV'!J$40+'UBC ELV'!J$40</f>
        <v>183</v>
      </c>
      <c r="I16" s="72">
        <f>(E16-H16)/E16</f>
        <v>0.69499999999999995</v>
      </c>
      <c r="J16" s="52">
        <f>'IHC CRP'!J$40+'UBC CRP'!J$40</f>
        <v>186.5</v>
      </c>
      <c r="K16" s="83">
        <f>(E16-J16)/E16</f>
        <v>0.68916666666666671</v>
      </c>
      <c r="L16" s="83">
        <f t="shared" si="0"/>
        <v>-5.833333333333246E-3</v>
      </c>
      <c r="M16" s="90">
        <f>Table720[[#This Row],[Delta-Baseline]]-Table720[[#This Row],[Delta - Baseline ]]</f>
        <v>4.2499999999999982E-2</v>
      </c>
    </row>
    <row r="17" spans="1:13" x14ac:dyDescent="0.35">
      <c r="C17" s="40"/>
      <c r="D17" s="40"/>
      <c r="E17" s="40"/>
      <c r="F17" s="40"/>
      <c r="G17" s="54"/>
      <c r="H17" s="40"/>
      <c r="I17" s="54"/>
      <c r="J17" s="40"/>
    </row>
    <row r="18" spans="1:13" ht="14" customHeight="1" thickBot="1" x14ac:dyDescent="0.4">
      <c r="C18" s="56" t="s">
        <v>89</v>
      </c>
      <c r="D18" s="40"/>
      <c r="E18" s="40"/>
      <c r="F18" s="40"/>
      <c r="G18" s="40"/>
      <c r="H18" s="40"/>
      <c r="I18" s="40"/>
      <c r="J18" s="40"/>
    </row>
    <row r="19" spans="1:13" x14ac:dyDescent="0.35">
      <c r="A19" t="s">
        <v>16</v>
      </c>
      <c r="C19" s="73" t="s">
        <v>1</v>
      </c>
      <c r="D19" s="74" t="s">
        <v>2</v>
      </c>
      <c r="E19" s="74" t="s">
        <v>3</v>
      </c>
      <c r="F19" s="74"/>
      <c r="G19" s="74"/>
      <c r="H19" s="74" t="s">
        <v>4</v>
      </c>
      <c r="I19" s="74" t="s">
        <v>5</v>
      </c>
      <c r="J19" s="74" t="s">
        <v>6</v>
      </c>
      <c r="K19" s="74" t="s">
        <v>7</v>
      </c>
      <c r="L19" s="74" t="s">
        <v>8</v>
      </c>
      <c r="M19" s="75" t="s">
        <v>138</v>
      </c>
    </row>
    <row r="20" spans="1:13" x14ac:dyDescent="0.35">
      <c r="C20" s="76" t="s">
        <v>89</v>
      </c>
      <c r="D20" s="62" t="s">
        <v>10</v>
      </c>
      <c r="E20" s="65">
        <f>SUM(E21:E24)</f>
        <v>2286</v>
      </c>
      <c r="F20" s="87">
        <v>788.5</v>
      </c>
      <c r="G20" s="89">
        <f>(E20-F20)/E20</f>
        <v>0.65507436570428701</v>
      </c>
      <c r="H20" s="65">
        <f>SUM(H21:H24)</f>
        <v>936</v>
      </c>
      <c r="I20" s="66">
        <f>(E20-H20)/E20</f>
        <v>0.59055118110236215</v>
      </c>
      <c r="J20" s="65">
        <f>SUM(J21:J24)</f>
        <v>801.5</v>
      </c>
      <c r="K20" s="89">
        <f>(E20-J20)/E20</f>
        <v>0.64938757655293089</v>
      </c>
      <c r="L20" s="89">
        <f>K20-I20</f>
        <v>5.8836395450568735E-2</v>
      </c>
      <c r="M20" s="91">
        <f>G20-K20</f>
        <v>5.6867891513561197E-3</v>
      </c>
    </row>
    <row r="21" spans="1:13" x14ac:dyDescent="0.35">
      <c r="C21" s="76" t="s">
        <v>11</v>
      </c>
      <c r="D21" s="62" t="s">
        <v>10</v>
      </c>
      <c r="E21" s="65">
        <f>'IHC Baseline'!L$40+'UBC Baseline'!L$40</f>
        <v>634</v>
      </c>
      <c r="F21" s="87">
        <v>118</v>
      </c>
      <c r="G21" s="89">
        <f t="shared" ref="G21:G24" si="1">(E21-F21)/E21</f>
        <v>0.81388012618296535</v>
      </c>
      <c r="H21" s="65">
        <f>'IHC ELV'!L$40+'UBC ELV'!L$40</f>
        <v>182</v>
      </c>
      <c r="I21" s="66">
        <f>(E21-H21)/E21</f>
        <v>0.71293375394321767</v>
      </c>
      <c r="J21" s="65">
        <f>'IHC CRP'!L$40+'UBC CRP'!L$40</f>
        <v>181.5</v>
      </c>
      <c r="K21" s="89">
        <f>(E21-J21)/E21</f>
        <v>0.7137223974763407</v>
      </c>
      <c r="L21" s="89">
        <f t="shared" ref="L21:L24" si="2">K21-I21</f>
        <v>7.8864353312302349E-4</v>
      </c>
      <c r="M21" s="91">
        <f t="shared" ref="M21:M24" si="3">G21-K21</f>
        <v>0.10015772870662465</v>
      </c>
    </row>
    <row r="22" spans="1:13" x14ac:dyDescent="0.35">
      <c r="C22" s="76" t="s">
        <v>12</v>
      </c>
      <c r="D22" s="62" t="s">
        <v>10</v>
      </c>
      <c r="E22" s="65">
        <f>'IHC Baseline'!M$40+'UBC Baseline'!M$40</f>
        <v>535.5</v>
      </c>
      <c r="F22" s="87">
        <v>212.5</v>
      </c>
      <c r="G22" s="89">
        <f t="shared" si="1"/>
        <v>0.60317460317460314</v>
      </c>
      <c r="H22" s="65">
        <f>'IHC ELV'!M$40+'UBC ELV'!M$40</f>
        <v>350</v>
      </c>
      <c r="I22" s="66">
        <f>(E22-H22)/E22</f>
        <v>0.34640522875816993</v>
      </c>
      <c r="J22" s="65">
        <f>'IHC CRP'!M$40+'UBC CRP'!M$40</f>
        <v>208.5</v>
      </c>
      <c r="K22" s="89">
        <f>(E22-J22)/E22</f>
        <v>0.61064425770308128</v>
      </c>
      <c r="L22" s="89">
        <f t="shared" si="2"/>
        <v>0.26423902894491136</v>
      </c>
      <c r="M22" s="91">
        <f t="shared" si="3"/>
        <v>-7.4696545284781424E-3</v>
      </c>
    </row>
    <row r="23" spans="1:13" x14ac:dyDescent="0.35">
      <c r="C23" s="76" t="s">
        <v>13</v>
      </c>
      <c r="D23" s="62" t="s">
        <v>10</v>
      </c>
      <c r="E23" s="65">
        <f>'IHC Baseline'!N$40+'UBC Baseline'!N$40</f>
        <v>516.5</v>
      </c>
      <c r="F23" s="87">
        <v>297</v>
      </c>
      <c r="G23" s="89">
        <f t="shared" si="1"/>
        <v>0.42497579864472412</v>
      </c>
      <c r="H23" s="65">
        <f>'IHC ELV'!N$40+'UBC ELV'!N$40</f>
        <v>220.5</v>
      </c>
      <c r="I23" s="66">
        <f>(E23-H23)/E23</f>
        <v>0.57308809293320429</v>
      </c>
      <c r="J23" s="65">
        <f>'IHC CRP'!N$40+'UBC CRP'!N$40</f>
        <v>226.5</v>
      </c>
      <c r="K23" s="89">
        <f>(E23-J23)/E23</f>
        <v>0.5614714424007744</v>
      </c>
      <c r="L23" s="89">
        <f t="shared" si="2"/>
        <v>-1.1616650532429884E-2</v>
      </c>
      <c r="M23" s="91">
        <f t="shared" si="3"/>
        <v>-0.13649564375605028</v>
      </c>
    </row>
    <row r="24" spans="1:13" ht="15" thickBot="1" x14ac:dyDescent="0.4">
      <c r="C24" s="77" t="s">
        <v>14</v>
      </c>
      <c r="D24" s="78" t="s">
        <v>10</v>
      </c>
      <c r="E24" s="79">
        <f>'IHC Baseline'!O$40+'UBC Baseline'!O$40</f>
        <v>600</v>
      </c>
      <c r="F24" s="88">
        <v>161</v>
      </c>
      <c r="G24" s="89">
        <f t="shared" si="1"/>
        <v>0.73166666666666669</v>
      </c>
      <c r="H24" s="79">
        <f>'IHC ELV'!O$40+'UBC ELV'!O$40</f>
        <v>183.5</v>
      </c>
      <c r="I24" s="80">
        <f>(E24-H24)/E24</f>
        <v>0.69416666666666671</v>
      </c>
      <c r="J24" s="79">
        <f>'IHC CRP'!O$40+'UBC CRP'!O$40</f>
        <v>185</v>
      </c>
      <c r="K24" s="92">
        <f>(E24-J24)/E24</f>
        <v>0.69166666666666665</v>
      </c>
      <c r="L24" s="92">
        <f t="shared" si="2"/>
        <v>-2.5000000000000577E-3</v>
      </c>
      <c r="M24" s="93">
        <f t="shared" si="3"/>
        <v>4.0000000000000036E-2</v>
      </c>
    </row>
    <row r="25" spans="1:13" x14ac:dyDescent="0.35">
      <c r="C25" s="40"/>
      <c r="D25" s="40"/>
      <c r="E25" s="40"/>
      <c r="F25" s="40"/>
      <c r="G25" s="40"/>
      <c r="H25" s="40"/>
      <c r="I25" s="54"/>
      <c r="J25" s="40"/>
      <c r="K25" s="94"/>
      <c r="L25" s="95"/>
      <c r="M25" s="95"/>
    </row>
    <row r="26" spans="1:13" ht="15" thickBot="1" x14ac:dyDescent="0.4">
      <c r="C26" s="56" t="s">
        <v>90</v>
      </c>
      <c r="D26" s="40"/>
      <c r="E26" s="40"/>
      <c r="F26" s="40"/>
      <c r="G26" s="40"/>
      <c r="H26" s="40"/>
      <c r="I26" s="40"/>
      <c r="J26" s="40"/>
      <c r="K26" s="95"/>
      <c r="L26" s="95"/>
      <c r="M26" s="95"/>
    </row>
    <row r="27" spans="1:13" x14ac:dyDescent="0.35">
      <c r="A27" t="s">
        <v>17</v>
      </c>
      <c r="C27" s="73" t="s">
        <v>1</v>
      </c>
      <c r="D27" s="74" t="s">
        <v>2</v>
      </c>
      <c r="E27" s="74" t="s">
        <v>3</v>
      </c>
      <c r="F27" s="74"/>
      <c r="G27" s="74"/>
      <c r="H27" s="74" t="s">
        <v>4</v>
      </c>
      <c r="I27" s="74" t="s">
        <v>5</v>
      </c>
      <c r="J27" s="74" t="s">
        <v>6</v>
      </c>
      <c r="K27" s="96" t="s">
        <v>7</v>
      </c>
      <c r="L27" s="74" t="s">
        <v>8</v>
      </c>
      <c r="M27" s="75" t="s">
        <v>138</v>
      </c>
    </row>
    <row r="28" spans="1:13" x14ac:dyDescent="0.35">
      <c r="C28" s="76" t="s">
        <v>90</v>
      </c>
      <c r="D28" s="62" t="s">
        <v>10</v>
      </c>
      <c r="E28" s="65">
        <f>SUM(E29:E32)</f>
        <v>2286</v>
      </c>
      <c r="F28" s="87">
        <v>788.5</v>
      </c>
      <c r="G28" s="89">
        <f>(E28-F28)/E28</f>
        <v>0.65507436570428701</v>
      </c>
      <c r="H28" s="65">
        <f>SUM(H29:H32)</f>
        <v>847.5</v>
      </c>
      <c r="I28" s="66">
        <f>(E28-H28)/E28</f>
        <v>0.62926509186351709</v>
      </c>
      <c r="J28" s="65">
        <f>SUM(J29:J32)</f>
        <v>863</v>
      </c>
      <c r="K28" s="89">
        <f>(E28-J28)/E28</f>
        <v>0.62248468941382329</v>
      </c>
      <c r="L28" s="89">
        <f>K28-I28</f>
        <v>-6.7804024496938009E-3</v>
      </c>
      <c r="M28" s="91">
        <f>G28-K28</f>
        <v>3.258967629046372E-2</v>
      </c>
    </row>
    <row r="29" spans="1:13" x14ac:dyDescent="0.35">
      <c r="C29" s="76" t="s">
        <v>11</v>
      </c>
      <c r="D29" s="62" t="s">
        <v>10</v>
      </c>
      <c r="E29" s="65">
        <f>'IHC Baseline'!Q$40+'UBC Baseline'!Q$40</f>
        <v>634</v>
      </c>
      <c r="F29" s="87">
        <v>118</v>
      </c>
      <c r="G29" s="89">
        <f t="shared" ref="G29:G32" si="4">(E29-F29)/E29</f>
        <v>0.81388012618296535</v>
      </c>
      <c r="H29" s="65">
        <f>'IHC ELV'!Q$40+'UBC ELV'!Q$40</f>
        <v>202</v>
      </c>
      <c r="I29" s="66">
        <f>(E29-H29)/E29</f>
        <v>0.68138801261829651</v>
      </c>
      <c r="J29" s="65">
        <f>'IHC CRP'!Q$40+'UBC CRP'!Q$40</f>
        <v>183</v>
      </c>
      <c r="K29" s="89">
        <f>(E29-J29)/E29</f>
        <v>0.71135646687697163</v>
      </c>
      <c r="L29" s="89">
        <f t="shared" ref="L29:L32" si="5">K29-I29</f>
        <v>2.9968454258675115E-2</v>
      </c>
      <c r="M29" s="91">
        <f t="shared" ref="M29:M32" si="6">G29-K29</f>
        <v>0.10252365930599372</v>
      </c>
    </row>
    <row r="30" spans="1:13" x14ac:dyDescent="0.35">
      <c r="C30" s="76" t="s">
        <v>12</v>
      </c>
      <c r="D30" s="62" t="s">
        <v>10</v>
      </c>
      <c r="E30" s="65">
        <f>'IHC Baseline'!R$40+'UBC Baseline'!R$40</f>
        <v>535.5</v>
      </c>
      <c r="F30" s="87">
        <v>212.5</v>
      </c>
      <c r="G30" s="89">
        <f t="shared" si="4"/>
        <v>0.60317460317460314</v>
      </c>
      <c r="H30" s="65">
        <f>'IHC ELV'!R$40+'UBC ELV'!R$40</f>
        <v>238</v>
      </c>
      <c r="I30" s="66">
        <f>(E30-H30)/E30</f>
        <v>0.55555555555555558</v>
      </c>
      <c r="J30" s="65">
        <f>'IHC CRP'!R$40+'UBC CRP'!R$40</f>
        <v>265</v>
      </c>
      <c r="K30" s="89">
        <f>(E30-J30)/E30</f>
        <v>0.50513538748832865</v>
      </c>
      <c r="L30" s="89">
        <f t="shared" si="5"/>
        <v>-5.0420168067226934E-2</v>
      </c>
      <c r="M30" s="91">
        <f t="shared" si="6"/>
        <v>9.8039215686274495E-2</v>
      </c>
    </row>
    <row r="31" spans="1:13" x14ac:dyDescent="0.35">
      <c r="C31" s="76" t="s">
        <v>13</v>
      </c>
      <c r="D31" s="62" t="s">
        <v>10</v>
      </c>
      <c r="E31" s="65">
        <f>'IHC Baseline'!S$40+'UBC Baseline'!S$40</f>
        <v>516.5</v>
      </c>
      <c r="F31" s="87">
        <v>297</v>
      </c>
      <c r="G31" s="89">
        <f t="shared" si="4"/>
        <v>0.42497579864472412</v>
      </c>
      <c r="H31" s="65">
        <f>'IHC ELV'!S$40+'UBC ELV'!S$40</f>
        <v>220.5</v>
      </c>
      <c r="I31" s="66">
        <f>(E31-H31)/E31</f>
        <v>0.57308809293320429</v>
      </c>
      <c r="J31" s="65">
        <f>'IHC CRP'!S$40+'UBC CRP'!S$40</f>
        <v>232.5</v>
      </c>
      <c r="K31" s="89">
        <f>(E31-J31)/E31</f>
        <v>0.54985479186834463</v>
      </c>
      <c r="L31" s="89">
        <f t="shared" si="5"/>
        <v>-2.3233301064859657E-2</v>
      </c>
      <c r="M31" s="91">
        <f t="shared" si="6"/>
        <v>-0.1248789932236205</v>
      </c>
    </row>
    <row r="32" spans="1:13" ht="15" thickBot="1" x14ac:dyDescent="0.4">
      <c r="C32" s="77" t="s">
        <v>14</v>
      </c>
      <c r="D32" s="78" t="s">
        <v>10</v>
      </c>
      <c r="E32" s="79">
        <f>'IHC Baseline'!T$40+'UBC Baseline'!T$40</f>
        <v>600</v>
      </c>
      <c r="F32" s="88">
        <v>161</v>
      </c>
      <c r="G32" s="89">
        <f t="shared" si="4"/>
        <v>0.73166666666666669</v>
      </c>
      <c r="H32" s="79">
        <f>'IHC ELV'!T$40+'UBC ELV'!T$40</f>
        <v>187</v>
      </c>
      <c r="I32" s="80">
        <f>(E32-H32)/E32</f>
        <v>0.68833333333333335</v>
      </c>
      <c r="J32" s="79">
        <f>'IHC CRP'!T$40+'UBC CRP'!T$40</f>
        <v>182.5</v>
      </c>
      <c r="K32" s="92">
        <f>(E32-J32)/E32</f>
        <v>0.6958333333333333</v>
      </c>
      <c r="L32" s="92">
        <f t="shared" si="5"/>
        <v>7.4999999999999512E-3</v>
      </c>
      <c r="M32" s="93">
        <f t="shared" si="6"/>
        <v>3.5833333333333384E-2</v>
      </c>
    </row>
    <row r="33" spans="1:13" x14ac:dyDescent="0.35">
      <c r="C33" s="40"/>
      <c r="D33" s="40"/>
      <c r="E33" s="40"/>
      <c r="F33" s="40"/>
      <c r="G33" s="40"/>
      <c r="H33" s="40"/>
      <c r="I33" s="54"/>
      <c r="J33" s="40"/>
      <c r="K33" s="94"/>
      <c r="L33" s="95"/>
      <c r="M33" s="95"/>
    </row>
    <row r="34" spans="1:13" ht="15" thickBot="1" x14ac:dyDescent="0.4">
      <c r="C34" s="56" t="s">
        <v>91</v>
      </c>
      <c r="D34" s="40"/>
      <c r="E34" s="40"/>
      <c r="F34" s="40"/>
      <c r="G34" s="40"/>
      <c r="H34" s="40"/>
      <c r="I34" s="40"/>
      <c r="J34" s="40"/>
      <c r="K34" s="95"/>
      <c r="L34" s="95"/>
      <c r="M34" s="95"/>
    </row>
    <row r="35" spans="1:13" x14ac:dyDescent="0.35">
      <c r="A35" t="s">
        <v>18</v>
      </c>
      <c r="C35" s="73" t="s">
        <v>1</v>
      </c>
      <c r="D35" s="74" t="s">
        <v>2</v>
      </c>
      <c r="E35" s="74" t="s">
        <v>3</v>
      </c>
      <c r="F35" s="74"/>
      <c r="G35" s="74"/>
      <c r="H35" s="74" t="s">
        <v>4</v>
      </c>
      <c r="I35" s="74" t="s">
        <v>5</v>
      </c>
      <c r="J35" s="74" t="s">
        <v>6</v>
      </c>
      <c r="K35" s="96" t="s">
        <v>7</v>
      </c>
      <c r="L35" s="74" t="s">
        <v>8</v>
      </c>
      <c r="M35" s="75" t="s">
        <v>138</v>
      </c>
    </row>
    <row r="36" spans="1:13" x14ac:dyDescent="0.35">
      <c r="C36" s="76" t="s">
        <v>91</v>
      </c>
      <c r="D36" s="62" t="s">
        <v>10</v>
      </c>
      <c r="E36" s="65">
        <f>SUM(E37:E40)</f>
        <v>2286</v>
      </c>
      <c r="F36" s="87">
        <v>788.5</v>
      </c>
      <c r="G36" s="89">
        <f>(E36-F36)/E36</f>
        <v>0.65507436570428701</v>
      </c>
      <c r="H36" s="65">
        <f>SUM(H37:H40)</f>
        <v>764.5</v>
      </c>
      <c r="I36" s="66">
        <f>(E36-H36)/E36</f>
        <v>0.66557305336832895</v>
      </c>
      <c r="J36" s="65">
        <f>SUM(J37:J40)</f>
        <v>865.5</v>
      </c>
      <c r="K36" s="89">
        <f>(E36-J36)/E36</f>
        <v>0.62139107611548561</v>
      </c>
      <c r="L36" s="89">
        <f>K36-I36</f>
        <v>-4.4181977252843341E-2</v>
      </c>
      <c r="M36" s="91">
        <f>G36-K36</f>
        <v>3.3683289588801402E-2</v>
      </c>
    </row>
    <row r="37" spans="1:13" x14ac:dyDescent="0.35">
      <c r="C37" s="76" t="s">
        <v>11</v>
      </c>
      <c r="D37" s="62" t="s">
        <v>10</v>
      </c>
      <c r="E37" s="65">
        <f>'IHC Baseline'!V$40+'UBC Baseline'!V$40</f>
        <v>634</v>
      </c>
      <c r="F37" s="87">
        <v>118</v>
      </c>
      <c r="G37" s="89">
        <f t="shared" ref="G37:G40" si="7">(E37-F37)/E37</f>
        <v>0.81388012618296535</v>
      </c>
      <c r="H37" s="65">
        <f>'IHC ELV'!V$40+'UBC ELV'!V$40</f>
        <v>207.5</v>
      </c>
      <c r="I37" s="66">
        <f>(E37-H37)/E37</f>
        <v>0.67271293375394325</v>
      </c>
      <c r="J37" s="65">
        <f>'IHC CRP'!V$40+'UBC CRP'!V$40</f>
        <v>185</v>
      </c>
      <c r="K37" s="89">
        <f>(E37-J37)/E37</f>
        <v>0.70820189274447953</v>
      </c>
      <c r="L37" s="89">
        <f t="shared" ref="L37:L40" si="8">K37-I37</f>
        <v>3.5488958990536279E-2</v>
      </c>
      <c r="M37" s="91">
        <f t="shared" ref="M37:M40" si="9">G37-K37</f>
        <v>0.10567823343848581</v>
      </c>
    </row>
    <row r="38" spans="1:13" x14ac:dyDescent="0.35">
      <c r="C38" s="76" t="s">
        <v>12</v>
      </c>
      <c r="D38" s="62" t="s">
        <v>10</v>
      </c>
      <c r="E38" s="65">
        <f>'IHC Baseline'!W$40+'UBC Baseline'!W$40</f>
        <v>535.5</v>
      </c>
      <c r="F38" s="87">
        <v>212.5</v>
      </c>
      <c r="G38" s="89">
        <f t="shared" si="7"/>
        <v>0.60317460317460314</v>
      </c>
      <c r="H38" s="65">
        <f>'IHC ELV'!W$40+'UBC ELV'!W$40</f>
        <v>190</v>
      </c>
      <c r="I38" s="66">
        <f>(E38-H38)/E38</f>
        <v>0.64519140989729229</v>
      </c>
      <c r="J38" s="65">
        <f>'IHC CRP'!W$40+'UBC CRP'!W$40</f>
        <v>267.5</v>
      </c>
      <c r="K38" s="89">
        <f>(E38-J38)/E38</f>
        <v>0.50046685340802988</v>
      </c>
      <c r="L38" s="89">
        <f t="shared" si="8"/>
        <v>-0.14472455648926241</v>
      </c>
      <c r="M38" s="91">
        <f t="shared" si="9"/>
        <v>0.10270774976657326</v>
      </c>
    </row>
    <row r="39" spans="1:13" x14ac:dyDescent="0.35">
      <c r="C39" s="76" t="s">
        <v>13</v>
      </c>
      <c r="D39" s="62" t="s">
        <v>10</v>
      </c>
      <c r="E39" s="65">
        <f>'IHC Baseline'!X$40+'UBC Baseline'!X$40</f>
        <v>516.5</v>
      </c>
      <c r="F39" s="87">
        <v>297</v>
      </c>
      <c r="G39" s="89">
        <f t="shared" si="7"/>
        <v>0.42497579864472412</v>
      </c>
      <c r="H39" s="65">
        <f>'IHC ELV'!X$40+'UBC ELV'!X$40</f>
        <v>177.5</v>
      </c>
      <c r="I39" s="66">
        <f>(E39-H39)/E39</f>
        <v>0.65634075508228462</v>
      </c>
      <c r="J39" s="65">
        <f>'IHC CRP'!X$40+'UBC CRP'!X$40</f>
        <v>220</v>
      </c>
      <c r="K39" s="89">
        <f>(E39-J39)/E39</f>
        <v>0.57405614714424003</v>
      </c>
      <c r="L39" s="89">
        <f t="shared" si="8"/>
        <v>-8.2284607938044596E-2</v>
      </c>
      <c r="M39" s="91">
        <f t="shared" si="9"/>
        <v>-0.1490803484995159</v>
      </c>
    </row>
    <row r="40" spans="1:13" ht="15" thickBot="1" x14ac:dyDescent="0.4">
      <c r="C40" s="77" t="s">
        <v>14</v>
      </c>
      <c r="D40" s="78" t="s">
        <v>10</v>
      </c>
      <c r="E40" s="79">
        <f>'IHC Baseline'!Y$40+'UBC Baseline'!Y$40</f>
        <v>600</v>
      </c>
      <c r="F40" s="88">
        <v>161</v>
      </c>
      <c r="G40" s="89">
        <f t="shared" si="7"/>
        <v>0.73166666666666669</v>
      </c>
      <c r="H40" s="79">
        <f>'IHC ELV'!Y$40+'UBC ELV'!Y$40</f>
        <v>189.5</v>
      </c>
      <c r="I40" s="80">
        <f>(E40-H40)/E40</f>
        <v>0.6841666666666667</v>
      </c>
      <c r="J40" s="79">
        <f>'IHC CRP'!Y$40+'UBC CRP'!Y$40</f>
        <v>193</v>
      </c>
      <c r="K40" s="92">
        <f>(E40-J40)/E40</f>
        <v>0.67833333333333334</v>
      </c>
      <c r="L40" s="92">
        <f t="shared" si="8"/>
        <v>-5.833333333333357E-3</v>
      </c>
      <c r="M40" s="93">
        <f t="shared" si="9"/>
        <v>5.3333333333333344E-2</v>
      </c>
    </row>
    <row r="41" spans="1:13" x14ac:dyDescent="0.35">
      <c r="K41" s="97"/>
      <c r="L41" s="97"/>
      <c r="M41" s="97"/>
    </row>
    <row r="42" spans="1:13" ht="15" thickBot="1" x14ac:dyDescent="0.4">
      <c r="C42" s="33" t="s">
        <v>96</v>
      </c>
      <c r="K42" s="97"/>
      <c r="L42" s="97"/>
      <c r="M42" s="97"/>
    </row>
    <row r="43" spans="1:13" x14ac:dyDescent="0.35">
      <c r="A43" t="s">
        <v>95</v>
      </c>
      <c r="C43" s="73" t="s">
        <v>1</v>
      </c>
      <c r="D43" s="74" t="s">
        <v>2</v>
      </c>
      <c r="E43" s="74" t="s">
        <v>3</v>
      </c>
      <c r="F43" s="74"/>
      <c r="G43" s="74"/>
      <c r="H43" s="74" t="s">
        <v>4</v>
      </c>
      <c r="I43" s="74" t="s">
        <v>5</v>
      </c>
      <c r="J43" s="74" t="s">
        <v>6</v>
      </c>
      <c r="K43" s="96" t="s">
        <v>7</v>
      </c>
      <c r="L43" s="74" t="s">
        <v>8</v>
      </c>
      <c r="M43" s="75" t="s">
        <v>138</v>
      </c>
    </row>
    <row r="44" spans="1:13" x14ac:dyDescent="0.35">
      <c r="C44" s="76" t="s">
        <v>96</v>
      </c>
      <c r="D44" s="62" t="s">
        <v>10</v>
      </c>
      <c r="E44" s="65">
        <f>SUM(E45:E48)</f>
        <v>2286</v>
      </c>
      <c r="F44" s="87">
        <v>788.5</v>
      </c>
      <c r="G44" s="89">
        <f>(E44-F44)/E44</f>
        <v>0.65507436570428701</v>
      </c>
      <c r="H44" s="65">
        <f>SUM(H45:H48)</f>
        <v>914.5</v>
      </c>
      <c r="I44" s="66">
        <f>(E44-H44)/E44</f>
        <v>0.59995625546806652</v>
      </c>
      <c r="J44" s="65">
        <f>SUM(J45:J48)</f>
        <v>865.5</v>
      </c>
      <c r="K44" s="89">
        <f>(E44-J44)/E44</f>
        <v>0.62139107611548561</v>
      </c>
      <c r="L44" s="89">
        <f>K44-I44</f>
        <v>2.1434820647419084E-2</v>
      </c>
      <c r="M44" s="91">
        <f>G44-K44</f>
        <v>3.3683289588801402E-2</v>
      </c>
    </row>
    <row r="45" spans="1:13" x14ac:dyDescent="0.35">
      <c r="C45" s="76" t="s">
        <v>11</v>
      </c>
      <c r="D45" s="62" t="s">
        <v>10</v>
      </c>
      <c r="E45" s="65">
        <f>'IHC Baseline'!AA$40+'UBC Baseline'!AA$40</f>
        <v>634</v>
      </c>
      <c r="F45" s="87">
        <v>118</v>
      </c>
      <c r="G45" s="89">
        <f t="shared" ref="G45:G48" si="10">(E45-F45)/E45</f>
        <v>0.81388012618296535</v>
      </c>
      <c r="H45" s="65">
        <f>'IHC ELV'!AA$40+'UBC ELV'!AA$40</f>
        <v>201.5</v>
      </c>
      <c r="I45" s="66">
        <f>(E45-H45)/E45</f>
        <v>0.68217665615141954</v>
      </c>
      <c r="J45" s="65">
        <f>'IHC CRP'!AA$40+'UBC CRP'!AA$40</f>
        <v>185</v>
      </c>
      <c r="K45" s="89">
        <f>(E45-J45)/E45</f>
        <v>0.70820189274447953</v>
      </c>
      <c r="L45" s="89">
        <f t="shared" ref="L45:L48" si="11">K45-I45</f>
        <v>2.6025236593059997E-2</v>
      </c>
      <c r="M45" s="91">
        <f t="shared" ref="M45:M48" si="12">G45-K45</f>
        <v>0.10567823343848581</v>
      </c>
    </row>
    <row r="46" spans="1:13" x14ac:dyDescent="0.35">
      <c r="C46" s="76" t="s">
        <v>12</v>
      </c>
      <c r="D46" s="62" t="s">
        <v>10</v>
      </c>
      <c r="E46" s="65">
        <f>'IHC Baseline'!AB$40+'UBC Baseline'!AB$40</f>
        <v>535.5</v>
      </c>
      <c r="F46" s="87">
        <v>212.5</v>
      </c>
      <c r="G46" s="89">
        <f t="shared" si="10"/>
        <v>0.60317460317460314</v>
      </c>
      <c r="H46" s="65">
        <f>'IHC ELV'!AB$40+'UBC ELV'!AB$40</f>
        <v>304.5</v>
      </c>
      <c r="I46" s="66">
        <f>(E46-H46)/E46</f>
        <v>0.43137254901960786</v>
      </c>
      <c r="J46" s="65">
        <f>'IHC CRP'!AB$40+'UBC CRP'!AB$40</f>
        <v>267.5</v>
      </c>
      <c r="K46" s="89">
        <f>(E46-J46)/E46</f>
        <v>0.50046685340802988</v>
      </c>
      <c r="L46" s="89">
        <f t="shared" si="11"/>
        <v>6.9094304388422012E-2</v>
      </c>
      <c r="M46" s="91">
        <f t="shared" si="12"/>
        <v>0.10270774976657326</v>
      </c>
    </row>
    <row r="47" spans="1:13" x14ac:dyDescent="0.35">
      <c r="C47" s="76" t="s">
        <v>13</v>
      </c>
      <c r="D47" s="62" t="s">
        <v>10</v>
      </c>
      <c r="E47" s="65">
        <f>'IHC Baseline'!AC$40+'UBC Baseline'!AC$40</f>
        <v>516.5</v>
      </c>
      <c r="F47" s="87">
        <v>297</v>
      </c>
      <c r="G47" s="89">
        <f t="shared" si="10"/>
        <v>0.42497579864472412</v>
      </c>
      <c r="H47" s="65">
        <f>'IHC ELV'!AC$40+'UBC ELV'!AC$40</f>
        <v>227.5</v>
      </c>
      <c r="I47" s="66">
        <f>(E47-H47)/E47</f>
        <v>0.55953533397870281</v>
      </c>
      <c r="J47" s="65">
        <f>'IHC CRP'!AC$40+'UBC CRP'!AC$40</f>
        <v>220</v>
      </c>
      <c r="K47" s="89">
        <f>(E47-J47)/E47</f>
        <v>0.57405614714424003</v>
      </c>
      <c r="L47" s="89">
        <f t="shared" si="11"/>
        <v>1.4520813165537216E-2</v>
      </c>
      <c r="M47" s="91">
        <f t="shared" si="12"/>
        <v>-0.1490803484995159</v>
      </c>
    </row>
    <row r="48" spans="1:13" ht="15" thickBot="1" x14ac:dyDescent="0.4">
      <c r="C48" s="77" t="s">
        <v>14</v>
      </c>
      <c r="D48" s="78" t="s">
        <v>10</v>
      </c>
      <c r="E48" s="79">
        <f>'IHC Baseline'!AD$40+'UBC Baseline'!AD$40</f>
        <v>600</v>
      </c>
      <c r="F48" s="88">
        <v>161</v>
      </c>
      <c r="G48" s="89">
        <f t="shared" si="10"/>
        <v>0.73166666666666669</v>
      </c>
      <c r="H48" s="79">
        <f>'IHC ELV'!AD$40+'UBC ELV'!AD$40</f>
        <v>181</v>
      </c>
      <c r="I48" s="80">
        <f>(E48-H48)/E48</f>
        <v>0.69833333333333336</v>
      </c>
      <c r="J48" s="79">
        <f>'IHC CRP'!AD$40+'UBC CRP'!AD$40</f>
        <v>193</v>
      </c>
      <c r="K48" s="92">
        <f>(E48-J48)/E48</f>
        <v>0.67833333333333334</v>
      </c>
      <c r="L48" s="92">
        <f t="shared" si="11"/>
        <v>-2.0000000000000018E-2</v>
      </c>
      <c r="M48" s="93">
        <f t="shared" si="12"/>
        <v>5.3333333333333344E-2</v>
      </c>
    </row>
    <row r="49" spans="1:13" x14ac:dyDescent="0.35">
      <c r="K49" s="97"/>
      <c r="L49" s="97"/>
      <c r="M49" s="97"/>
    </row>
    <row r="50" spans="1:13" ht="15" thickBot="1" x14ac:dyDescent="0.4">
      <c r="C50" s="56" t="s">
        <v>97</v>
      </c>
      <c r="K50" s="97"/>
      <c r="L50" s="97"/>
      <c r="M50" s="97"/>
    </row>
    <row r="51" spans="1:13" x14ac:dyDescent="0.35">
      <c r="A51" t="s">
        <v>98</v>
      </c>
      <c r="C51" s="73" t="s">
        <v>1</v>
      </c>
      <c r="D51" s="74" t="s">
        <v>2</v>
      </c>
      <c r="E51" s="74" t="s">
        <v>3</v>
      </c>
      <c r="F51" s="74"/>
      <c r="G51" s="74"/>
      <c r="H51" s="74" t="s">
        <v>4</v>
      </c>
      <c r="I51" s="74" t="s">
        <v>5</v>
      </c>
      <c r="J51" s="74" t="s">
        <v>6</v>
      </c>
      <c r="K51" s="96" t="s">
        <v>7</v>
      </c>
      <c r="L51" s="74" t="s">
        <v>8</v>
      </c>
      <c r="M51" s="75" t="s">
        <v>138</v>
      </c>
    </row>
    <row r="52" spans="1:13" x14ac:dyDescent="0.35">
      <c r="C52" s="76" t="s">
        <v>97</v>
      </c>
      <c r="D52" s="62" t="s">
        <v>10</v>
      </c>
      <c r="E52" s="65">
        <f>SUM(E53:E56)</f>
        <v>2286</v>
      </c>
      <c r="F52" s="87">
        <v>788.5</v>
      </c>
      <c r="G52" s="89">
        <f>(E52-F52)/E52</f>
        <v>0.65507436570428701</v>
      </c>
      <c r="H52" s="65">
        <f>SUM(H53:H56)</f>
        <v>907.5</v>
      </c>
      <c r="I52" s="66">
        <f>(E52-H52)/E52</f>
        <v>0.60301837270341208</v>
      </c>
      <c r="J52" s="65">
        <f>SUM(J53:J56)</f>
        <v>1018</v>
      </c>
      <c r="K52" s="89">
        <f>(E52-J52)/E52</f>
        <v>0.55468066491688539</v>
      </c>
      <c r="L52" s="89">
        <f>K52-I52</f>
        <v>-4.8337707786526685E-2</v>
      </c>
      <c r="M52" s="91">
        <f>G52-K52</f>
        <v>0.10039370078740162</v>
      </c>
    </row>
    <row r="53" spans="1:13" x14ac:dyDescent="0.35">
      <c r="C53" s="76" t="s">
        <v>11</v>
      </c>
      <c r="D53" s="62" t="s">
        <v>10</v>
      </c>
      <c r="E53" s="65">
        <f>'IHC Baseline'!AF$40+'UBC Baseline'!AF$40</f>
        <v>634</v>
      </c>
      <c r="F53" s="87">
        <v>118</v>
      </c>
      <c r="G53" s="89">
        <f t="shared" ref="G53:G56" si="13">(E53-F53)/E53</f>
        <v>0.81388012618296535</v>
      </c>
      <c r="H53" s="65">
        <f>'IHC ELV'!AF$40+'UBC ELV'!AF$40</f>
        <v>203.5</v>
      </c>
      <c r="I53" s="66">
        <f>(E53-H53)/E53</f>
        <v>0.67902208201892744</v>
      </c>
      <c r="J53" s="65">
        <f>'IHC CRP'!AF$40+'UBC CRP'!AF$40</f>
        <v>184</v>
      </c>
      <c r="K53" s="89">
        <f>(E53-J53)/E53</f>
        <v>0.70977917981072558</v>
      </c>
      <c r="L53" s="89">
        <f t="shared" ref="L53:L56" si="14">K53-I53</f>
        <v>3.0757097791798138E-2</v>
      </c>
      <c r="M53" s="91">
        <f t="shared" ref="M53:M56" si="15">G53-K53</f>
        <v>0.10410094637223977</v>
      </c>
    </row>
    <row r="54" spans="1:13" x14ac:dyDescent="0.35">
      <c r="C54" s="76" t="s">
        <v>12</v>
      </c>
      <c r="D54" s="62" t="s">
        <v>10</v>
      </c>
      <c r="E54" s="65">
        <f>'IHC Baseline'!AG$40+'UBC Baseline'!AG$40</f>
        <v>535.5</v>
      </c>
      <c r="F54" s="87">
        <v>212.5</v>
      </c>
      <c r="G54" s="89">
        <f t="shared" si="13"/>
        <v>0.60317460317460314</v>
      </c>
      <c r="H54" s="65">
        <f>'IHC ELV'!AG$40+'UBC ELV'!AG$40</f>
        <v>289</v>
      </c>
      <c r="I54" s="66">
        <f>(E54-H54)/E54</f>
        <v>0.46031746031746029</v>
      </c>
      <c r="J54" s="65">
        <f>'IHC CRP'!AG$40+'UBC CRP'!AG$40</f>
        <v>423.5</v>
      </c>
      <c r="K54" s="89">
        <f>(E54-J54)/E54</f>
        <v>0.20915032679738563</v>
      </c>
      <c r="L54" s="89">
        <f t="shared" si="14"/>
        <v>-0.25116713352007469</v>
      </c>
      <c r="M54" s="91">
        <f t="shared" si="15"/>
        <v>0.39402427637721749</v>
      </c>
    </row>
    <row r="55" spans="1:13" x14ac:dyDescent="0.35">
      <c r="C55" s="76" t="s">
        <v>13</v>
      </c>
      <c r="D55" s="62" t="s">
        <v>10</v>
      </c>
      <c r="E55" s="65">
        <f>'IHC Baseline'!AH$40+'UBC Baseline'!AH$40</f>
        <v>516.5</v>
      </c>
      <c r="F55" s="87">
        <v>297</v>
      </c>
      <c r="G55" s="89">
        <f t="shared" si="13"/>
        <v>0.42497579864472412</v>
      </c>
      <c r="H55" s="65">
        <f>'IHC ELV'!AH$40+'UBC ELV'!AH$40</f>
        <v>229</v>
      </c>
      <c r="I55" s="66">
        <f>(E55-H55)/E55</f>
        <v>0.55663117134559537</v>
      </c>
      <c r="J55" s="65">
        <f>'IHC CRP'!AH$40+'UBC CRP'!AH$40</f>
        <v>220.5</v>
      </c>
      <c r="K55" s="89">
        <f>(E55-J55)/E55</f>
        <v>0.57308809293320429</v>
      </c>
      <c r="L55" s="89">
        <f t="shared" si="14"/>
        <v>1.6456921587608919E-2</v>
      </c>
      <c r="M55" s="91">
        <f t="shared" si="15"/>
        <v>-0.14811229428848016</v>
      </c>
    </row>
    <row r="56" spans="1:13" ht="15" thickBot="1" x14ac:dyDescent="0.4">
      <c r="C56" s="77" t="s">
        <v>14</v>
      </c>
      <c r="D56" s="78" t="s">
        <v>10</v>
      </c>
      <c r="E56" s="79">
        <f>'IHC Baseline'!AI$40+'UBC Baseline'!AI$40</f>
        <v>600</v>
      </c>
      <c r="F56" s="88">
        <v>161</v>
      </c>
      <c r="G56" s="89">
        <f t="shared" si="13"/>
        <v>0.73166666666666669</v>
      </c>
      <c r="H56" s="79">
        <f>'IHC ELV'!AI$40+'UBC ELV'!AI$40</f>
        <v>186</v>
      </c>
      <c r="I56" s="80">
        <f>(E56-H56)/E56</f>
        <v>0.69</v>
      </c>
      <c r="J56" s="79">
        <f>'IHC CRP'!AI$40+'UBC CRP'!AI$40</f>
        <v>190</v>
      </c>
      <c r="K56" s="92">
        <f>(E56-J56)/E56</f>
        <v>0.68333333333333335</v>
      </c>
      <c r="L56" s="92">
        <f t="shared" si="14"/>
        <v>-6.6666666666665986E-3</v>
      </c>
      <c r="M56" s="93">
        <f t="shared" si="15"/>
        <v>4.8333333333333339E-2</v>
      </c>
    </row>
    <row r="57" spans="1:13" x14ac:dyDescent="0.35">
      <c r="K57" s="97"/>
      <c r="L57" s="97"/>
      <c r="M57" s="97"/>
    </row>
    <row r="58" spans="1:13" ht="15" thickBot="1" x14ac:dyDescent="0.4">
      <c r="C58" s="56" t="s">
        <v>99</v>
      </c>
      <c r="K58" s="97"/>
      <c r="L58" s="97"/>
      <c r="M58" s="97"/>
    </row>
    <row r="59" spans="1:13" x14ac:dyDescent="0.35">
      <c r="A59" t="s">
        <v>100</v>
      </c>
      <c r="C59" s="73" t="s">
        <v>1</v>
      </c>
      <c r="D59" s="74" t="s">
        <v>2</v>
      </c>
      <c r="E59" s="74" t="s">
        <v>3</v>
      </c>
      <c r="F59" s="74"/>
      <c r="G59" s="74"/>
      <c r="H59" s="74" t="s">
        <v>4</v>
      </c>
      <c r="I59" s="74" t="s">
        <v>5</v>
      </c>
      <c r="J59" s="74" t="s">
        <v>6</v>
      </c>
      <c r="K59" s="96" t="s">
        <v>7</v>
      </c>
      <c r="L59" s="74" t="s">
        <v>8</v>
      </c>
      <c r="M59" s="75" t="s">
        <v>138</v>
      </c>
    </row>
    <row r="60" spans="1:13" x14ac:dyDescent="0.35">
      <c r="C60" s="76" t="s">
        <v>99</v>
      </c>
      <c r="D60" s="62" t="s">
        <v>10</v>
      </c>
      <c r="E60" s="65">
        <f>SUM(E61:E64)</f>
        <v>2286</v>
      </c>
      <c r="F60" s="87">
        <v>788.5</v>
      </c>
      <c r="G60" s="89">
        <f>(E60-F60)/E60</f>
        <v>0.65507436570428701</v>
      </c>
      <c r="H60" s="65">
        <f>SUM(H61:H64)</f>
        <v>725.5</v>
      </c>
      <c r="I60" s="66">
        <f>(E60-H60)/E60</f>
        <v>0.6826334208223972</v>
      </c>
      <c r="J60" s="65">
        <f>SUM(J61:J64)</f>
        <v>807.5</v>
      </c>
      <c r="K60" s="89">
        <f>(E60-J60)/E60</f>
        <v>0.64676290463692043</v>
      </c>
      <c r="L60" s="89">
        <f>K60-I60</f>
        <v>-3.5870516185476764E-2</v>
      </c>
      <c r="M60" s="91">
        <f>G60-K60</f>
        <v>8.3114610673665767E-3</v>
      </c>
    </row>
    <row r="61" spans="1:13" x14ac:dyDescent="0.35">
      <c r="C61" s="76" t="s">
        <v>11</v>
      </c>
      <c r="D61" s="62" t="s">
        <v>10</v>
      </c>
      <c r="E61" s="65">
        <f>'IHC Baseline'!AK$40+'UBC Baseline'!AK$40</f>
        <v>634</v>
      </c>
      <c r="F61" s="87">
        <v>118</v>
      </c>
      <c r="G61" s="89">
        <f t="shared" ref="G61:G64" si="16">(E61-F61)/E61</f>
        <v>0.81388012618296535</v>
      </c>
      <c r="H61" s="65">
        <f>'IHC ELV'!AK$40+'UBC ELV'!AK$40</f>
        <v>191</v>
      </c>
      <c r="I61" s="66">
        <f>(E61-H61)/E61</f>
        <v>0.69873817034700314</v>
      </c>
      <c r="J61" s="65">
        <f>'IHC CRP'!AK$40+'UBC CRP'!AK$40</f>
        <v>190</v>
      </c>
      <c r="K61" s="89">
        <f>(E61-J61)/E61</f>
        <v>0.70031545741324919</v>
      </c>
      <c r="L61" s="89">
        <f t="shared" ref="L61:L64" si="17">K61-I61</f>
        <v>1.577287066246047E-3</v>
      </c>
      <c r="M61" s="91">
        <f t="shared" ref="M61:M64" si="18">G61-K61</f>
        <v>0.11356466876971616</v>
      </c>
    </row>
    <row r="62" spans="1:13" x14ac:dyDescent="0.35">
      <c r="C62" s="76" t="s">
        <v>12</v>
      </c>
      <c r="D62" s="62" t="s">
        <v>10</v>
      </c>
      <c r="E62" s="65">
        <f>'IHC Baseline'!AL$40+'UBC Baseline'!AL$40</f>
        <v>535.5</v>
      </c>
      <c r="F62" s="87">
        <v>212.5</v>
      </c>
      <c r="G62" s="89">
        <f t="shared" si="16"/>
        <v>0.60317460317460314</v>
      </c>
      <c r="H62" s="65">
        <f>'IHC ELV'!AL$40+'UBC ELV'!AL$40</f>
        <v>190</v>
      </c>
      <c r="I62" s="66">
        <f>(E62-H62)/E62</f>
        <v>0.64519140989729229</v>
      </c>
      <c r="J62" s="65">
        <f>'IHC CRP'!AL$40+'UBC CRP'!AL$40</f>
        <v>213</v>
      </c>
      <c r="K62" s="89">
        <f>(E62-J62)/E62</f>
        <v>0.60224089635854339</v>
      </c>
      <c r="L62" s="89">
        <f t="shared" si="17"/>
        <v>-4.2950513538748902E-2</v>
      </c>
      <c r="M62" s="91">
        <f t="shared" si="18"/>
        <v>9.3370681605975392E-4</v>
      </c>
    </row>
    <row r="63" spans="1:13" x14ac:dyDescent="0.35">
      <c r="C63" s="76" t="s">
        <v>13</v>
      </c>
      <c r="D63" s="62" t="s">
        <v>10</v>
      </c>
      <c r="E63" s="65">
        <f>'IHC Baseline'!AM$40+'UBC Baseline'!AM$40</f>
        <v>516.5</v>
      </c>
      <c r="F63" s="87">
        <v>297</v>
      </c>
      <c r="G63" s="89">
        <f t="shared" si="16"/>
        <v>0.42497579864472412</v>
      </c>
      <c r="H63" s="65">
        <f>'IHC ELV'!AM$40+'UBC ELV'!AM$40</f>
        <v>175</v>
      </c>
      <c r="I63" s="66">
        <f>(E63-H63)/E63</f>
        <v>0.66118102613746366</v>
      </c>
      <c r="J63" s="65">
        <f>'IHC CRP'!AM$40+'UBC CRP'!AM$40</f>
        <v>220.5</v>
      </c>
      <c r="K63" s="89">
        <f>(E63-J63)/E63</f>
        <v>0.57308809293320429</v>
      </c>
      <c r="L63" s="89">
        <f t="shared" si="17"/>
        <v>-8.8092933204259372E-2</v>
      </c>
      <c r="M63" s="91">
        <f t="shared" si="18"/>
        <v>-0.14811229428848016</v>
      </c>
    </row>
    <row r="64" spans="1:13" ht="15" thickBot="1" x14ac:dyDescent="0.4">
      <c r="C64" s="77" t="s">
        <v>14</v>
      </c>
      <c r="D64" s="78" t="s">
        <v>10</v>
      </c>
      <c r="E64" s="79">
        <f>'IHC Baseline'!AN$40+'UBC Baseline'!AN$40</f>
        <v>600</v>
      </c>
      <c r="F64" s="88">
        <v>161</v>
      </c>
      <c r="G64" s="89">
        <f t="shared" si="16"/>
        <v>0.73166666666666669</v>
      </c>
      <c r="H64" s="79">
        <f>'IHC ELV'!AN$40+'UBC ELV'!AN$40</f>
        <v>169.5</v>
      </c>
      <c r="I64" s="80">
        <f>(E64-H64)/E64</f>
        <v>0.71750000000000003</v>
      </c>
      <c r="J64" s="79">
        <f>'IHC CRP'!AN$40+'UBC CRP'!AN$40</f>
        <v>184</v>
      </c>
      <c r="K64" s="92">
        <f>(E64-J64)/E64</f>
        <v>0.69333333333333336</v>
      </c>
      <c r="L64" s="92">
        <f t="shared" si="17"/>
        <v>-2.416666666666667E-2</v>
      </c>
      <c r="M64" s="93">
        <f t="shared" si="18"/>
        <v>3.833333333333333E-2</v>
      </c>
    </row>
    <row r="65" spans="1:13" x14ac:dyDescent="0.35">
      <c r="K65" s="97"/>
      <c r="L65" s="97"/>
      <c r="M65" s="97"/>
    </row>
    <row r="66" spans="1:13" ht="15" thickBot="1" x14ac:dyDescent="0.4">
      <c r="C66" s="56" t="s">
        <v>101</v>
      </c>
      <c r="K66" s="97"/>
      <c r="L66" s="97"/>
      <c r="M66" s="97"/>
    </row>
    <row r="67" spans="1:13" x14ac:dyDescent="0.35">
      <c r="A67" t="s">
        <v>102</v>
      </c>
      <c r="C67" s="73" t="s">
        <v>1</v>
      </c>
      <c r="D67" s="74" t="s">
        <v>2</v>
      </c>
      <c r="E67" s="74" t="s">
        <v>3</v>
      </c>
      <c r="F67" s="74"/>
      <c r="G67" s="74"/>
      <c r="H67" s="74" t="s">
        <v>4</v>
      </c>
      <c r="I67" s="74" t="s">
        <v>5</v>
      </c>
      <c r="J67" s="74" t="s">
        <v>6</v>
      </c>
      <c r="K67" s="96" t="s">
        <v>7</v>
      </c>
      <c r="L67" s="74" t="s">
        <v>8</v>
      </c>
      <c r="M67" s="75" t="s">
        <v>138</v>
      </c>
    </row>
    <row r="68" spans="1:13" x14ac:dyDescent="0.35">
      <c r="C68" s="76" t="s">
        <v>101</v>
      </c>
      <c r="D68" s="62" t="s">
        <v>10</v>
      </c>
      <c r="E68" s="65">
        <f>SUM(E69:E72)</f>
        <v>2286</v>
      </c>
      <c r="F68" s="87">
        <v>788.5</v>
      </c>
      <c r="G68" s="89">
        <f>(E68-F68)/E68</f>
        <v>0.65507436570428701</v>
      </c>
      <c r="H68" s="65">
        <f>SUM(H69:H72)</f>
        <v>905.5</v>
      </c>
      <c r="I68" s="66">
        <f>(E68-H68)/E68</f>
        <v>0.60389326334208226</v>
      </c>
      <c r="J68" s="65">
        <f>SUM(J69:J72)</f>
        <v>725.5</v>
      </c>
      <c r="K68" s="89">
        <f>(E68-J68)/E68</f>
        <v>0.6826334208223972</v>
      </c>
      <c r="L68" s="89">
        <f>K68-I68</f>
        <v>7.8740157480314932E-2</v>
      </c>
      <c r="M68" s="91">
        <f>G68-K68</f>
        <v>-2.7559055118110187E-2</v>
      </c>
    </row>
    <row r="69" spans="1:13" x14ac:dyDescent="0.35">
      <c r="C69" s="76" t="s">
        <v>11</v>
      </c>
      <c r="D69" s="62" t="s">
        <v>10</v>
      </c>
      <c r="E69" s="65">
        <f>'IHC Baseline'!AP$40+'UBC Baseline'!AP$40</f>
        <v>634</v>
      </c>
      <c r="F69" s="87">
        <v>118</v>
      </c>
      <c r="G69" s="89">
        <f t="shared" ref="G69:G72" si="19">(E69-F69)/E69</f>
        <v>0.81388012618296535</v>
      </c>
      <c r="H69" s="65">
        <f>'IHC ELV'!AP$40+'UBC ELV'!AP$40</f>
        <v>153</v>
      </c>
      <c r="I69" s="66">
        <f>(E69-H69)/E69</f>
        <v>0.75867507886435326</v>
      </c>
      <c r="J69" s="65">
        <f>'IHC CRP'!AP$40+'UBC CRP'!AP$40</f>
        <v>191</v>
      </c>
      <c r="K69" s="89">
        <f>(E69-J69)/E69</f>
        <v>0.69873817034700314</v>
      </c>
      <c r="L69" s="89">
        <f t="shared" ref="L69:L72" si="20">K69-I69</f>
        <v>-5.9936908517350118E-2</v>
      </c>
      <c r="M69" s="91">
        <f t="shared" ref="M69:M72" si="21">G69-K69</f>
        <v>0.11514195583596221</v>
      </c>
    </row>
    <row r="70" spans="1:13" x14ac:dyDescent="0.35">
      <c r="C70" s="76" t="s">
        <v>12</v>
      </c>
      <c r="D70" s="62" t="s">
        <v>10</v>
      </c>
      <c r="E70" s="65">
        <f>'IHC Baseline'!AQ$40+'UBC Baseline'!AQ$40</f>
        <v>535.5</v>
      </c>
      <c r="F70" s="87">
        <v>212.5</v>
      </c>
      <c r="G70" s="89">
        <f t="shared" si="19"/>
        <v>0.60317460317460314</v>
      </c>
      <c r="H70" s="65">
        <f>'IHC ELV'!AQ$40+'UBC ELV'!AQ$40</f>
        <v>352.5</v>
      </c>
      <c r="I70" s="66">
        <f>(E70-H70)/E70</f>
        <v>0.34173669467787116</v>
      </c>
      <c r="J70" s="65">
        <f>'IHC CRP'!AQ$40+'UBC CRP'!AQ$40</f>
        <v>190</v>
      </c>
      <c r="K70" s="89">
        <f>(E70-J70)/E70</f>
        <v>0.64519140989729229</v>
      </c>
      <c r="L70" s="89">
        <f t="shared" si="20"/>
        <v>0.30345471521942113</v>
      </c>
      <c r="M70" s="91">
        <f t="shared" si="21"/>
        <v>-4.2016806722689148E-2</v>
      </c>
    </row>
    <row r="71" spans="1:13" x14ac:dyDescent="0.35">
      <c r="C71" s="76" t="s">
        <v>13</v>
      </c>
      <c r="D71" s="62" t="s">
        <v>10</v>
      </c>
      <c r="E71" s="65">
        <f>'IHC Baseline'!AR$40+'UBC Baseline'!AR$40</f>
        <v>516.5</v>
      </c>
      <c r="F71" s="87">
        <v>297</v>
      </c>
      <c r="G71" s="89">
        <f t="shared" si="19"/>
        <v>0.42497579864472412</v>
      </c>
      <c r="H71" s="65">
        <f>'IHC ELV'!AR$40+'UBC ELV'!AR$40</f>
        <v>226.5</v>
      </c>
      <c r="I71" s="66">
        <f>(E71-H71)/E71</f>
        <v>0.5614714424007744</v>
      </c>
      <c r="J71" s="65">
        <f>'IHC CRP'!AR$40+'UBC CRP'!AR$40</f>
        <v>175</v>
      </c>
      <c r="K71" s="89">
        <f>(E71-J71)/E71</f>
        <v>0.66118102613746366</v>
      </c>
      <c r="L71" s="89">
        <f t="shared" si="20"/>
        <v>9.9709583736689256E-2</v>
      </c>
      <c r="M71" s="91">
        <f t="shared" si="21"/>
        <v>-0.23620522749273953</v>
      </c>
    </row>
    <row r="72" spans="1:13" ht="15" thickBot="1" x14ac:dyDescent="0.4">
      <c r="C72" s="77" t="s">
        <v>14</v>
      </c>
      <c r="D72" s="78" t="s">
        <v>10</v>
      </c>
      <c r="E72" s="79">
        <f>'IHC Baseline'!AS$40+'UBC Baseline'!AS$40</f>
        <v>600</v>
      </c>
      <c r="F72" s="88">
        <v>161</v>
      </c>
      <c r="G72" s="89">
        <f t="shared" si="19"/>
        <v>0.73166666666666669</v>
      </c>
      <c r="H72" s="79">
        <f>'IHC ELV'!AS$40+'UBC ELV'!AS$40</f>
        <v>173.5</v>
      </c>
      <c r="I72" s="80">
        <f>(E72-H72)/E72</f>
        <v>0.71083333333333332</v>
      </c>
      <c r="J72" s="79">
        <f>'IHC CRP'!AS$40+'UBC CRP'!AS$40</f>
        <v>169.5</v>
      </c>
      <c r="K72" s="92">
        <f>(E72-J72)/E72</f>
        <v>0.71750000000000003</v>
      </c>
      <c r="L72" s="92">
        <f t="shared" si="20"/>
        <v>6.6666666666667096E-3</v>
      </c>
      <c r="M72" s="93">
        <f t="shared" si="21"/>
        <v>1.4166666666666661E-2</v>
      </c>
    </row>
    <row r="73" spans="1:13" x14ac:dyDescent="0.35">
      <c r="K73" s="97"/>
      <c r="L73" s="97"/>
      <c r="M73" s="97"/>
    </row>
    <row r="74" spans="1:13" ht="15" thickBot="1" x14ac:dyDescent="0.4">
      <c r="C74" s="56" t="s">
        <v>103</v>
      </c>
      <c r="K74" s="97"/>
      <c r="L74" s="97"/>
      <c r="M74" s="97"/>
    </row>
    <row r="75" spans="1:13" x14ac:dyDescent="0.35">
      <c r="C75" s="73" t="s">
        <v>1</v>
      </c>
      <c r="D75" s="74" t="s">
        <v>2</v>
      </c>
      <c r="E75" s="74" t="s">
        <v>3</v>
      </c>
      <c r="F75" s="74"/>
      <c r="G75" s="74"/>
      <c r="H75" s="74" t="s">
        <v>4</v>
      </c>
      <c r="I75" s="74" t="s">
        <v>5</v>
      </c>
      <c r="J75" s="74" t="s">
        <v>6</v>
      </c>
      <c r="K75" s="96" t="s">
        <v>7</v>
      </c>
      <c r="L75" s="74" t="s">
        <v>8</v>
      </c>
      <c r="M75" s="75" t="s">
        <v>138</v>
      </c>
    </row>
    <row r="76" spans="1:13" x14ac:dyDescent="0.35">
      <c r="A76" t="s">
        <v>104</v>
      </c>
      <c r="C76" s="76" t="s">
        <v>103</v>
      </c>
      <c r="D76" s="62" t="s">
        <v>10</v>
      </c>
      <c r="E76" s="65">
        <f>SUM(E77:E80)</f>
        <v>2286</v>
      </c>
      <c r="F76" s="87">
        <v>788.5</v>
      </c>
      <c r="G76" s="89">
        <f>(E76-F76)/E76</f>
        <v>0.65507436570428701</v>
      </c>
      <c r="H76" s="65">
        <f>SUM(H77:H80)</f>
        <v>1121.5</v>
      </c>
      <c r="I76" s="66">
        <f>(E76-H76)/E76</f>
        <v>0.50940507436570426</v>
      </c>
      <c r="J76" s="65">
        <f>SUM(J77:J80)</f>
        <v>852.5</v>
      </c>
      <c r="K76" s="89">
        <f>(E76-J76)/E76</f>
        <v>0.62707786526684162</v>
      </c>
      <c r="L76" s="89">
        <f>K76-I76</f>
        <v>0.11767279090113736</v>
      </c>
      <c r="M76" s="91">
        <f>G76-K76</f>
        <v>2.7996500437445393E-2</v>
      </c>
    </row>
    <row r="77" spans="1:13" x14ac:dyDescent="0.35">
      <c r="C77" s="76" t="s">
        <v>11</v>
      </c>
      <c r="D77" s="62" t="s">
        <v>10</v>
      </c>
      <c r="E77" s="65">
        <f>'IHC Baseline'!AU$40+'UBC Baseline'!AU$40</f>
        <v>634</v>
      </c>
      <c r="F77" s="87">
        <v>118</v>
      </c>
      <c r="G77" s="89">
        <f t="shared" ref="G77:G80" si="22">(E77-F77)/E77</f>
        <v>0.81388012618296535</v>
      </c>
      <c r="H77" s="65">
        <f>'IHC ELV'!AU$40+'UBC ELV'!AU$40</f>
        <v>242.5</v>
      </c>
      <c r="I77" s="66">
        <f>(E77-H77)/E77</f>
        <v>0.61750788643533128</v>
      </c>
      <c r="J77" s="65">
        <f>'IHC CRP'!AU$40+'UBC CRP'!AU$40</f>
        <v>200</v>
      </c>
      <c r="K77" s="89">
        <f>(E77-J77)/E77</f>
        <v>0.68454258675078861</v>
      </c>
      <c r="L77" s="89">
        <f t="shared" ref="L77:L80" si="23">K77-I77</f>
        <v>6.703470031545733E-2</v>
      </c>
      <c r="M77" s="91">
        <f t="shared" ref="M77:M80" si="24">G77-K77</f>
        <v>0.12933753943217674</v>
      </c>
    </row>
    <row r="78" spans="1:13" x14ac:dyDescent="0.35">
      <c r="C78" s="76" t="s">
        <v>12</v>
      </c>
      <c r="D78" s="62" t="s">
        <v>10</v>
      </c>
      <c r="E78" s="65">
        <f>'IHC Baseline'!AV$40+'UBC Baseline'!AV$40</f>
        <v>535.5</v>
      </c>
      <c r="F78" s="87">
        <v>212.5</v>
      </c>
      <c r="G78" s="89">
        <f t="shared" si="22"/>
        <v>0.60317460317460314</v>
      </c>
      <c r="H78" s="65">
        <f>'IHC ELV'!AV$40+'UBC ELV'!AV$40</f>
        <v>490</v>
      </c>
      <c r="I78" s="66">
        <f>(E78-H78)/E78</f>
        <v>8.4967320261437912E-2</v>
      </c>
      <c r="J78" s="65">
        <f>'IHC CRP'!AV$40+'UBC CRP'!AV$40</f>
        <v>308</v>
      </c>
      <c r="K78" s="89">
        <f>(E78-J78)/E78</f>
        <v>0.42483660130718953</v>
      </c>
      <c r="L78" s="89">
        <f t="shared" si="23"/>
        <v>0.33986928104575165</v>
      </c>
      <c r="M78" s="91">
        <f t="shared" si="24"/>
        <v>0.17833800186741361</v>
      </c>
    </row>
    <row r="79" spans="1:13" x14ac:dyDescent="0.35">
      <c r="C79" s="76" t="s">
        <v>13</v>
      </c>
      <c r="D79" s="62" t="s">
        <v>10</v>
      </c>
      <c r="E79" s="65">
        <f>'IHC Baseline'!AW$40+'UBC Baseline'!AW$40</f>
        <v>516.5</v>
      </c>
      <c r="F79" s="87">
        <v>297</v>
      </c>
      <c r="G79" s="89">
        <f t="shared" si="22"/>
        <v>0.42497579864472412</v>
      </c>
      <c r="H79" s="65">
        <f>'IHC ELV'!AW$40+'UBC ELV'!AW$40</f>
        <v>220</v>
      </c>
      <c r="I79" s="66">
        <f>(E79-H79)/E79</f>
        <v>0.57405614714424003</v>
      </c>
      <c r="J79" s="65">
        <f>'IHC CRP'!AW$40+'UBC CRP'!AW$40</f>
        <v>175</v>
      </c>
      <c r="K79" s="89">
        <f>(E79-J79)/E79</f>
        <v>0.66118102613746366</v>
      </c>
      <c r="L79" s="89">
        <f t="shared" si="23"/>
        <v>8.7124878993223631E-2</v>
      </c>
      <c r="M79" s="91">
        <f t="shared" si="24"/>
        <v>-0.23620522749273953</v>
      </c>
    </row>
    <row r="80" spans="1:13" ht="15" thickBot="1" x14ac:dyDescent="0.4">
      <c r="C80" s="77" t="s">
        <v>14</v>
      </c>
      <c r="D80" s="78" t="s">
        <v>10</v>
      </c>
      <c r="E80" s="79">
        <f>'IHC Baseline'!AX$40+'UBC Baseline'!AX$40</f>
        <v>600</v>
      </c>
      <c r="F80" s="88">
        <v>161</v>
      </c>
      <c r="G80" s="89">
        <f t="shared" si="22"/>
        <v>0.73166666666666669</v>
      </c>
      <c r="H80" s="79">
        <f>'IHC ELV'!AX$40+'UBC ELV'!AX$40</f>
        <v>169</v>
      </c>
      <c r="I80" s="80">
        <f>(E80-H80)/E80</f>
        <v>0.71833333333333338</v>
      </c>
      <c r="J80" s="79">
        <f>'IHC CRP'!AX$40+'UBC CRP'!AX$40</f>
        <v>169.5</v>
      </c>
      <c r="K80" s="92">
        <f>(E80-J80)/E80</f>
        <v>0.71750000000000003</v>
      </c>
      <c r="L80" s="92">
        <f t="shared" si="23"/>
        <v>-8.3333333333335258E-4</v>
      </c>
      <c r="M80" s="93">
        <f t="shared" si="24"/>
        <v>1.4166666666666661E-2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96D7-35CF-4A6E-8B3A-1D1407697518}">
  <dimension ref="A1"/>
  <sheetViews>
    <sheetView tabSelected="1" topLeftCell="A31" workbookViewId="0">
      <selection activeCell="N64" sqref="N6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7898-D674-4432-BC25-9B0A2C78E74E}">
  <dimension ref="A1:AH38"/>
  <sheetViews>
    <sheetView topLeftCell="C1" workbookViewId="0">
      <selection activeCell="S4" sqref="S4"/>
    </sheetView>
  </sheetViews>
  <sheetFormatPr defaultRowHeight="14" x14ac:dyDescent="0.3"/>
  <cols>
    <col min="1" max="1" width="3.81640625" style="40" bestFit="1" customWidth="1"/>
    <col min="2" max="13" width="6.90625" style="40" bestFit="1" customWidth="1"/>
    <col min="14" max="17" width="7.90625" style="40" bestFit="1" customWidth="1"/>
    <col min="18" max="18" width="8.90625" style="40" bestFit="1" customWidth="1"/>
    <col min="19" max="20" width="7.90625" style="40" bestFit="1" customWidth="1"/>
    <col min="21" max="21" width="6.90625" style="40" bestFit="1" customWidth="1"/>
    <col min="22" max="22" width="10.453125" style="40" bestFit="1" customWidth="1"/>
    <col min="23" max="24" width="8.90625" style="40" bestFit="1" customWidth="1"/>
    <col min="25" max="26" width="8.7265625" style="40"/>
    <col min="27" max="29" width="10.453125" style="40" bestFit="1" customWidth="1"/>
    <col min="30" max="16384" width="8.7265625" style="40"/>
  </cols>
  <sheetData>
    <row r="1" spans="1:34" ht="56.5" x14ac:dyDescent="0.3">
      <c r="A1" s="35" t="s">
        <v>19</v>
      </c>
      <c r="B1" s="36" t="s">
        <v>63</v>
      </c>
      <c r="C1" s="37" t="s">
        <v>64</v>
      </c>
      <c r="D1" s="38" t="s">
        <v>65</v>
      </c>
      <c r="E1" s="38" t="s">
        <v>121</v>
      </c>
      <c r="F1" s="39" t="s">
        <v>79</v>
      </c>
      <c r="G1" s="36" t="s">
        <v>66</v>
      </c>
      <c r="H1" s="37" t="s">
        <v>67</v>
      </c>
      <c r="I1" s="38" t="s">
        <v>68</v>
      </c>
      <c r="J1" s="38" t="s">
        <v>120</v>
      </c>
      <c r="K1" s="39" t="s">
        <v>80</v>
      </c>
      <c r="L1" s="36" t="s">
        <v>69</v>
      </c>
      <c r="M1" s="37" t="s">
        <v>70</v>
      </c>
      <c r="N1" s="38" t="s">
        <v>71</v>
      </c>
      <c r="O1" s="38" t="s">
        <v>119</v>
      </c>
      <c r="P1" s="39" t="s">
        <v>81</v>
      </c>
      <c r="Q1" s="36" t="s">
        <v>72</v>
      </c>
      <c r="R1" s="37" t="s">
        <v>73</v>
      </c>
      <c r="S1" s="38" t="s">
        <v>74</v>
      </c>
      <c r="T1" s="38" t="s">
        <v>118</v>
      </c>
      <c r="U1" s="39" t="s">
        <v>82</v>
      </c>
      <c r="V1" s="36" t="s">
        <v>75</v>
      </c>
      <c r="W1" s="37" t="s">
        <v>76</v>
      </c>
      <c r="X1" s="37" t="s">
        <v>77</v>
      </c>
      <c r="Y1" s="37" t="s">
        <v>117</v>
      </c>
      <c r="Z1" s="39" t="s">
        <v>83</v>
      </c>
      <c r="AA1" s="36" t="s">
        <v>20</v>
      </c>
      <c r="AB1" s="37" t="s">
        <v>21</v>
      </c>
      <c r="AC1" s="37" t="s">
        <v>22</v>
      </c>
      <c r="AD1" s="37" t="s">
        <v>116</v>
      </c>
    </row>
    <row r="2" spans="1:34" x14ac:dyDescent="0.3">
      <c r="A2" s="35">
        <v>0</v>
      </c>
      <c r="B2" s="41">
        <f>SUM('Totals Baseline'!B2:E2)</f>
        <v>48</v>
      </c>
      <c r="C2" s="42">
        <f>SUM('Totals ELV'!B2:E2)</f>
        <v>48</v>
      </c>
      <c r="D2" s="43">
        <f>SUM('Totals CRP'!B2:E2)</f>
        <v>48</v>
      </c>
      <c r="E2" s="43">
        <f>SUM('Totals DQN'!B2:E2)</f>
        <v>48</v>
      </c>
      <c r="F2" s="44">
        <v>0</v>
      </c>
      <c r="G2" s="45">
        <f>SUM('Totals Baseline'!G2:J2)</f>
        <v>0</v>
      </c>
      <c r="H2" s="42">
        <f>SUM('Totals ELV'!G2:J2)</f>
        <v>0</v>
      </c>
      <c r="I2" s="43">
        <f>SUM('Totals CRP'!G2:J2)</f>
        <v>0</v>
      </c>
      <c r="J2" s="43">
        <f>SUM('Totals DQN'!G2:J2)</f>
        <v>0</v>
      </c>
      <c r="K2" s="44">
        <v>0</v>
      </c>
      <c r="L2" s="45">
        <f>SUM('Totals Baseline'!L2:O2)</f>
        <v>0</v>
      </c>
      <c r="M2" s="42">
        <f>SUM('Totals ELV'!L2:O2)</f>
        <v>0</v>
      </c>
      <c r="N2" s="43">
        <f>SUM('Totals CRP'!L2:O2)</f>
        <v>0</v>
      </c>
      <c r="O2" s="43">
        <f>SUM('Totals DQN'!L2:O2)</f>
        <v>0</v>
      </c>
      <c r="P2" s="44">
        <v>0</v>
      </c>
      <c r="Q2" s="46">
        <f>ROUND(SUM('Totals Baseline'!Q2:T2),0)</f>
        <v>0</v>
      </c>
      <c r="R2" s="47">
        <f>ROUND(SUM('Totals ELV'!Q2:T2),0)</f>
        <v>0</v>
      </c>
      <c r="S2" s="48">
        <f>ROUND(SUM('Totals CRP'!Q2:T2),0)</f>
        <v>0</v>
      </c>
      <c r="T2" s="48">
        <f>ROUND(SUM('Totals DQN'!Q2:T2),0)</f>
        <v>0</v>
      </c>
      <c r="U2" s="44">
        <v>0</v>
      </c>
      <c r="V2" s="46">
        <f>ROUND(SUM('Totals Baseline'!V2:Y2),0)</f>
        <v>0</v>
      </c>
      <c r="W2" s="47">
        <f>ROUND(SUM('Totals ELV'!V2:Y2),0)</f>
        <v>0</v>
      </c>
      <c r="X2" s="47">
        <f>ROUND(SUM('Totals CRP'!V2:Y2),0)</f>
        <v>0</v>
      </c>
      <c r="Y2" s="47">
        <f>ROUND(SUM('Totals DQN'!V2:Y2),0)</f>
        <v>0</v>
      </c>
      <c r="Z2" s="44">
        <v>0</v>
      </c>
      <c r="AA2" s="49">
        <f>SUM('Totals Baseline'!AA2:AD2)</f>
        <v>0</v>
      </c>
      <c r="AB2" s="47">
        <f>SUM('Totals ELV'!AA2:AD2)</f>
        <v>0</v>
      </c>
      <c r="AC2" s="47">
        <f>SUM('Totals CRP'!AA2:AD2)</f>
        <v>0</v>
      </c>
      <c r="AD2" s="47">
        <f>SUM('Totals DQN'!AA2:AD2)</f>
        <v>0</v>
      </c>
      <c r="AF2" s="50"/>
      <c r="AG2" s="50"/>
      <c r="AH2" s="50"/>
    </row>
    <row r="3" spans="1:34" x14ac:dyDescent="0.3">
      <c r="A3" s="35">
        <v>1</v>
      </c>
      <c r="B3" s="41">
        <f>SUM('Totals Baseline'!B3:E3)</f>
        <v>48</v>
      </c>
      <c r="C3" s="42">
        <f>SUM('Totals ELV'!B3:E3)</f>
        <v>48</v>
      </c>
      <c r="D3" s="43">
        <f>SUM('Totals CRP'!B3:E3)</f>
        <v>48</v>
      </c>
      <c r="E3" s="43">
        <f>SUM('Totals DQN'!B3:E3)</f>
        <v>48</v>
      </c>
      <c r="F3" s="44">
        <v>1</v>
      </c>
      <c r="G3" s="45">
        <f>SUM('Totals Baseline'!G3:J3)</f>
        <v>0</v>
      </c>
      <c r="H3" s="42">
        <f>SUM('Totals ELV'!G3:J3)</f>
        <v>0</v>
      </c>
      <c r="I3" s="43">
        <f>SUM('Totals CRP'!G3:J3)</f>
        <v>0</v>
      </c>
      <c r="J3" s="43">
        <f>SUM('Totals DQN'!G3:J3)</f>
        <v>0</v>
      </c>
      <c r="K3" s="44">
        <v>1</v>
      </c>
      <c r="L3" s="45">
        <f>SUM('Totals Baseline'!L3:O3)</f>
        <v>16</v>
      </c>
      <c r="M3" s="42">
        <f>SUM('Totals ELV'!L3:O3)</f>
        <v>16</v>
      </c>
      <c r="N3" s="43">
        <f>SUM('Totals CRP'!L3:O3)</f>
        <v>16</v>
      </c>
      <c r="O3" s="43">
        <f>SUM('Totals DQN'!L3:O3)</f>
        <v>18</v>
      </c>
      <c r="P3" s="44">
        <v>1</v>
      </c>
      <c r="Q3" s="46">
        <f>ROUND(SUM('Totals Baseline'!Q3:T3),0)</f>
        <v>24</v>
      </c>
      <c r="R3" s="47">
        <f>ROUND(SUM('Totals ELV'!Q3:T3),0)</f>
        <v>24</v>
      </c>
      <c r="S3" s="48">
        <f>ROUND(SUM('Totals CRP'!Q3:T3),0)</f>
        <v>24</v>
      </c>
      <c r="T3" s="48">
        <f>ROUND(SUM('Totals DQN'!Q3:T3),0)</f>
        <v>24</v>
      </c>
      <c r="U3" s="44">
        <v>1</v>
      </c>
      <c r="V3" s="46">
        <f>ROUND(SUM('Totals Baseline'!V3:Y3),0)</f>
        <v>0</v>
      </c>
      <c r="W3" s="47">
        <f>ROUND(SUM('Totals ELV'!V3:Y3),0)</f>
        <v>0</v>
      </c>
      <c r="X3" s="47">
        <f>ROUND(SUM('Totals CRP'!V3:Y3),0)</f>
        <v>0</v>
      </c>
      <c r="Y3" s="47">
        <f>ROUND(SUM('Totals DQN'!V3:Y3),0)</f>
        <v>0</v>
      </c>
      <c r="Z3" s="44">
        <v>1</v>
      </c>
      <c r="AA3" s="49">
        <f>SUM('Totals Baseline'!AA3:AD3)</f>
        <v>24</v>
      </c>
      <c r="AB3" s="47">
        <f>SUM('Totals ELV'!AA3:AD3)</f>
        <v>24</v>
      </c>
      <c r="AC3" s="47">
        <f>SUM('Totals CRP'!AA3:AD3)</f>
        <v>24</v>
      </c>
      <c r="AD3" s="47">
        <f>SUM('Totals DQN'!AA3:AD3)</f>
        <v>24</v>
      </c>
      <c r="AF3" s="50"/>
      <c r="AG3" s="50"/>
      <c r="AH3" s="50"/>
    </row>
    <row r="4" spans="1:34" x14ac:dyDescent="0.3">
      <c r="A4" s="35">
        <v>2</v>
      </c>
      <c r="B4" s="41">
        <f>SUM('Totals Baseline'!B4:E4)</f>
        <v>48</v>
      </c>
      <c r="C4" s="42">
        <f>SUM('Totals ELV'!B4:E4)</f>
        <v>68</v>
      </c>
      <c r="D4" s="43">
        <f>SUM('Totals CRP'!B4:E4)</f>
        <v>59.6</v>
      </c>
      <c r="E4" s="43">
        <f>SUM('Totals DQN'!B4:E4)</f>
        <v>32</v>
      </c>
      <c r="F4" s="44">
        <v>2</v>
      </c>
      <c r="G4" s="45">
        <f>SUM('Totals Baseline'!G4:J4)</f>
        <v>0</v>
      </c>
      <c r="H4" s="42">
        <f>SUM('Totals ELV'!G4:J4)</f>
        <v>0</v>
      </c>
      <c r="I4" s="43">
        <f>SUM('Totals CRP'!G4:J4)</f>
        <v>0</v>
      </c>
      <c r="J4" s="43">
        <f>SUM('Totals DQN'!G4:J4)</f>
        <v>0</v>
      </c>
      <c r="K4" s="44">
        <v>2</v>
      </c>
      <c r="L4" s="45">
        <f>SUM('Totals Baseline'!L4:O4)</f>
        <v>16</v>
      </c>
      <c r="M4" s="42">
        <f>SUM('Totals ELV'!L4:O4)</f>
        <v>16</v>
      </c>
      <c r="N4" s="43">
        <f>SUM('Totals CRP'!L4:O4)</f>
        <v>16</v>
      </c>
      <c r="O4" s="43">
        <f>SUM('Totals DQN'!L4:O4)</f>
        <v>26</v>
      </c>
      <c r="P4" s="44">
        <v>2</v>
      </c>
      <c r="Q4" s="46">
        <f>ROUND(SUM('Totals Baseline'!Q4:T4),0)</f>
        <v>24</v>
      </c>
      <c r="R4" s="47">
        <f>ROUND(SUM('Totals ELV'!Q4:T4),0)</f>
        <v>29</v>
      </c>
      <c r="S4" s="48">
        <f>ROUND(SUM('Totals CRP'!Q4:T4),0)</f>
        <v>30</v>
      </c>
      <c r="T4" s="48">
        <f>ROUND(SUM('Totals DQN'!Q4:T4),0)</f>
        <v>16</v>
      </c>
      <c r="U4" s="44">
        <v>2</v>
      </c>
      <c r="V4" s="46">
        <f>ROUND(SUM('Totals Baseline'!V4:Y4),0)</f>
        <v>0</v>
      </c>
      <c r="W4" s="47">
        <f>ROUND(SUM('Totals ELV'!V4:Y4),0)</f>
        <v>0</v>
      </c>
      <c r="X4" s="47">
        <f>ROUND(SUM('Totals CRP'!V4:Y4),0)</f>
        <v>0</v>
      </c>
      <c r="Y4" s="47">
        <f>ROUND(SUM('Totals DQN'!V4:Y4),0)</f>
        <v>0</v>
      </c>
      <c r="Z4" s="44">
        <v>2</v>
      </c>
      <c r="AA4" s="49">
        <f>SUM('Totals Baseline'!AA4:AD4)</f>
        <v>48</v>
      </c>
      <c r="AB4" s="47">
        <f>SUM('Totals ELV'!AA4:AD4)</f>
        <v>53.4</v>
      </c>
      <c r="AC4" s="47">
        <f>SUM('Totals CRP'!AA4:AD4)</f>
        <v>53.8</v>
      </c>
      <c r="AD4" s="47">
        <f>SUM('Totals DQN'!AA4:AD4)</f>
        <v>40</v>
      </c>
      <c r="AF4" s="50"/>
      <c r="AG4" s="50"/>
      <c r="AH4" s="50"/>
    </row>
    <row r="5" spans="1:34" x14ac:dyDescent="0.3">
      <c r="A5" s="35">
        <v>3</v>
      </c>
      <c r="B5" s="41">
        <f>SUM('Totals Baseline'!B5:E5)</f>
        <v>48</v>
      </c>
      <c r="C5" s="42">
        <f>SUM('Totals ELV'!B5:E5)</f>
        <v>48</v>
      </c>
      <c r="D5" s="43">
        <f>SUM('Totals CRP'!B5:E5)</f>
        <v>51.199999999999996</v>
      </c>
      <c r="E5" s="43">
        <f>SUM('Totals DQN'!B5:E5)</f>
        <v>16</v>
      </c>
      <c r="F5" s="44">
        <v>3</v>
      </c>
      <c r="G5" s="45">
        <f>SUM('Totals Baseline'!G5:J5)</f>
        <v>0</v>
      </c>
      <c r="H5" s="42">
        <f>SUM('Totals ELV'!G5:J5)</f>
        <v>0</v>
      </c>
      <c r="I5" s="43">
        <f>SUM('Totals CRP'!G5:J5)</f>
        <v>0</v>
      </c>
      <c r="J5" s="43">
        <f>SUM('Totals DQN'!G5:J5)</f>
        <v>0</v>
      </c>
      <c r="K5" s="44">
        <v>3</v>
      </c>
      <c r="L5" s="45">
        <f>SUM('Totals Baseline'!L5:O5)</f>
        <v>16</v>
      </c>
      <c r="M5" s="42">
        <f>SUM('Totals ELV'!L5:O5)</f>
        <v>16</v>
      </c>
      <c r="N5" s="43">
        <f>SUM('Totals CRP'!L5:O5)</f>
        <v>16</v>
      </c>
      <c r="O5" s="43">
        <f>SUM('Totals DQN'!L5:O5)</f>
        <v>34</v>
      </c>
      <c r="P5" s="44">
        <v>3</v>
      </c>
      <c r="Q5" s="46">
        <f>ROUND(SUM('Totals Baseline'!Q5:T5),0)</f>
        <v>24</v>
      </c>
      <c r="R5" s="47">
        <f>ROUND(SUM('Totals ELV'!Q5:T5),0)</f>
        <v>23</v>
      </c>
      <c r="S5" s="48">
        <f>ROUND(SUM('Totals CRP'!Q5:T5),0)</f>
        <v>26</v>
      </c>
      <c r="T5" s="48">
        <f>ROUND(SUM('Totals DQN'!Q5:T5),0)</f>
        <v>8</v>
      </c>
      <c r="U5" s="44">
        <v>3</v>
      </c>
      <c r="V5" s="46">
        <f>ROUND(SUM('Totals Baseline'!V5:Y5),0)</f>
        <v>0</v>
      </c>
      <c r="W5" s="47">
        <f>ROUND(SUM('Totals ELV'!V5:Y5),0)</f>
        <v>0</v>
      </c>
      <c r="X5" s="47">
        <f>ROUND(SUM('Totals CRP'!V5:Y5),0)</f>
        <v>0</v>
      </c>
      <c r="Y5" s="47">
        <f>ROUND(SUM('Totals DQN'!V5:Y5),0)</f>
        <v>0</v>
      </c>
      <c r="Z5" s="44">
        <v>3</v>
      </c>
      <c r="AA5" s="49">
        <f>SUM('Totals Baseline'!AA5:AD5)</f>
        <v>72</v>
      </c>
      <c r="AB5" s="47">
        <f>SUM('Totals ELV'!AA5:AD5)</f>
        <v>76.8</v>
      </c>
      <c r="AC5" s="47">
        <f>SUM('Totals CRP'!AA5:AD5)</f>
        <v>79.400000000000006</v>
      </c>
      <c r="AD5" s="47">
        <f>SUM('Totals DQN'!AA5:AD5)</f>
        <v>48</v>
      </c>
      <c r="AF5" s="50"/>
      <c r="AG5" s="50"/>
      <c r="AH5" s="50"/>
    </row>
    <row r="6" spans="1:34" x14ac:dyDescent="0.3">
      <c r="A6" s="35">
        <v>4</v>
      </c>
      <c r="B6" s="41">
        <f>SUM('Totals Baseline'!B6:E6)</f>
        <v>48</v>
      </c>
      <c r="C6" s="42">
        <f>SUM('Totals ELV'!B6:E6)</f>
        <v>48</v>
      </c>
      <c r="D6" s="43">
        <f>SUM('Totals CRP'!B6:E6)</f>
        <v>44.400000000000006</v>
      </c>
      <c r="E6" s="43">
        <f>SUM('Totals DQN'!B6:E6)</f>
        <v>10</v>
      </c>
      <c r="F6" s="44">
        <v>4</v>
      </c>
      <c r="G6" s="45">
        <f>SUM('Totals Baseline'!G6:J6)</f>
        <v>0</v>
      </c>
      <c r="H6" s="42">
        <f>SUM('Totals ELV'!G6:J6)</f>
        <v>0</v>
      </c>
      <c r="I6" s="43">
        <f>SUM('Totals CRP'!G6:J6)</f>
        <v>0</v>
      </c>
      <c r="J6" s="43">
        <f>SUM('Totals DQN'!G6:J6)</f>
        <v>0</v>
      </c>
      <c r="K6" s="44">
        <v>4</v>
      </c>
      <c r="L6" s="45">
        <f>SUM('Totals Baseline'!L6:O6)</f>
        <v>16</v>
      </c>
      <c r="M6" s="42">
        <f>SUM('Totals ELV'!L6:O6)</f>
        <v>16</v>
      </c>
      <c r="N6" s="43">
        <f>SUM('Totals CRP'!L6:O6)</f>
        <v>16</v>
      </c>
      <c r="O6" s="43">
        <f>SUM('Totals DQN'!L6:O6)</f>
        <v>39</v>
      </c>
      <c r="P6" s="44">
        <v>4</v>
      </c>
      <c r="Q6" s="46">
        <f>ROUND(SUM('Totals Baseline'!Q6:T6),0)</f>
        <v>24</v>
      </c>
      <c r="R6" s="47">
        <f>ROUND(SUM('Totals ELV'!Q6:T6),0)</f>
        <v>21</v>
      </c>
      <c r="S6" s="48">
        <f>ROUND(SUM('Totals CRP'!Q6:T6),0)</f>
        <v>22</v>
      </c>
      <c r="T6" s="48">
        <f>ROUND(SUM('Totals DQN'!Q6:T6),0)</f>
        <v>5</v>
      </c>
      <c r="U6" s="44">
        <v>4</v>
      </c>
      <c r="V6" s="46">
        <f>ROUND(SUM('Totals Baseline'!V6:Y6),0)</f>
        <v>0</v>
      </c>
      <c r="W6" s="47">
        <f>ROUND(SUM('Totals ELV'!V6:Y6),0)</f>
        <v>0</v>
      </c>
      <c r="X6" s="47">
        <f>ROUND(SUM('Totals CRP'!V6:Y6),0)</f>
        <v>0</v>
      </c>
      <c r="Y6" s="47">
        <f>ROUND(SUM('Totals DQN'!V6:Y6),0)</f>
        <v>0</v>
      </c>
      <c r="Z6" s="44">
        <v>4</v>
      </c>
      <c r="AA6" s="49">
        <f>SUM('Totals Baseline'!AA6:AD6)</f>
        <v>96</v>
      </c>
      <c r="AB6" s="47">
        <f>SUM('Totals ELV'!AA6:AD6)</f>
        <v>98</v>
      </c>
      <c r="AC6" s="47">
        <f>SUM('Totals CRP'!AA6:AD6)</f>
        <v>101.6</v>
      </c>
      <c r="AD6" s="47">
        <f>SUM('Totals DQN'!AA6:AD6)</f>
        <v>53</v>
      </c>
      <c r="AF6" s="50"/>
      <c r="AG6" s="50"/>
      <c r="AH6" s="50"/>
    </row>
    <row r="7" spans="1:34" x14ac:dyDescent="0.3">
      <c r="A7" s="35">
        <v>5</v>
      </c>
      <c r="B7" s="41">
        <f>SUM('Totals Baseline'!B7:E7)</f>
        <v>44</v>
      </c>
      <c r="C7" s="42">
        <f>SUM('Totals ELV'!B7:E7)</f>
        <v>44</v>
      </c>
      <c r="D7" s="43">
        <f>SUM('Totals CRP'!B7:E7)</f>
        <v>43.2</v>
      </c>
      <c r="E7" s="43">
        <f>SUM('Totals DQN'!B7:E7)</f>
        <v>8</v>
      </c>
      <c r="F7" s="44">
        <v>5</v>
      </c>
      <c r="G7" s="45">
        <f>SUM('Totals Baseline'!G7:J7)</f>
        <v>0</v>
      </c>
      <c r="H7" s="42">
        <f>SUM('Totals ELV'!G7:J7)</f>
        <v>0</v>
      </c>
      <c r="I7" s="43">
        <f>SUM('Totals CRP'!G7:J7)</f>
        <v>0</v>
      </c>
      <c r="J7" s="43">
        <f>SUM('Totals DQN'!G7:J7)</f>
        <v>5</v>
      </c>
      <c r="K7" s="44">
        <v>5</v>
      </c>
      <c r="L7" s="45">
        <f>SUM('Totals Baseline'!L7:O7)</f>
        <v>20</v>
      </c>
      <c r="M7" s="42">
        <f>SUM('Totals ELV'!L7:O7)</f>
        <v>20</v>
      </c>
      <c r="N7" s="43">
        <f>SUM('Totals CRP'!L7:O7)</f>
        <v>20</v>
      </c>
      <c r="O7" s="43">
        <f>SUM('Totals DQN'!L7:O7)</f>
        <v>46</v>
      </c>
      <c r="P7" s="44">
        <v>5</v>
      </c>
      <c r="Q7" s="46">
        <f>ROUND(SUM('Totals Baseline'!Q7:T7),0)</f>
        <v>22</v>
      </c>
      <c r="R7" s="47">
        <f>ROUND(SUM('Totals ELV'!Q7:T7),0)</f>
        <v>21</v>
      </c>
      <c r="S7" s="48">
        <f>ROUND(SUM('Totals CRP'!Q7:T7),0)</f>
        <v>22</v>
      </c>
      <c r="T7" s="48">
        <f>ROUND(SUM('Totals DQN'!Q7:T7),0)</f>
        <v>4</v>
      </c>
      <c r="U7" s="44">
        <v>5</v>
      </c>
      <c r="V7" s="46">
        <f>ROUND(SUM('Totals Baseline'!V7:Y7),0)</f>
        <v>0</v>
      </c>
      <c r="W7" s="47">
        <f>ROUND(SUM('Totals ELV'!V7:Y7),0)</f>
        <v>0</v>
      </c>
      <c r="X7" s="47">
        <f>ROUND(SUM('Totals CRP'!V7:Y7),0)</f>
        <v>0</v>
      </c>
      <c r="Y7" s="47">
        <f>ROUND(SUM('Totals DQN'!V7:Y7),0)</f>
        <v>5</v>
      </c>
      <c r="Z7" s="44">
        <v>5</v>
      </c>
      <c r="AA7" s="49">
        <f>SUM('Totals Baseline'!AA7:AD7)</f>
        <v>118</v>
      </c>
      <c r="AB7" s="47">
        <f>SUM('Totals ELV'!AA7:AD7)</f>
        <v>119.19999999999999</v>
      </c>
      <c r="AC7" s="47">
        <f>SUM('Totals CRP'!AA7:AD7)</f>
        <v>123.19999999999999</v>
      </c>
      <c r="AD7" s="47">
        <f>SUM('Totals DQN'!AA7:AD7)</f>
        <v>62</v>
      </c>
      <c r="AF7" s="50"/>
      <c r="AG7" s="50"/>
      <c r="AH7" s="50"/>
    </row>
    <row r="8" spans="1:34" x14ac:dyDescent="0.3">
      <c r="A8" s="35">
        <v>6</v>
      </c>
      <c r="B8" s="41">
        <f>SUM('Totals Baseline'!B8:E8)</f>
        <v>40</v>
      </c>
      <c r="C8" s="42">
        <f>SUM('Totals ELV'!B8:E8)</f>
        <v>44</v>
      </c>
      <c r="D8" s="43">
        <f>SUM('Totals CRP'!B8:E8)</f>
        <v>42.8</v>
      </c>
      <c r="E8" s="43">
        <f>SUM('Totals DQN'!B8:E8)</f>
        <v>5</v>
      </c>
      <c r="F8" s="44">
        <v>6</v>
      </c>
      <c r="G8" s="45">
        <f>SUM('Totals Baseline'!G8:J8)</f>
        <v>0</v>
      </c>
      <c r="H8" s="42">
        <f>SUM('Totals ELV'!G8:J8)</f>
        <v>0</v>
      </c>
      <c r="I8" s="43">
        <f>SUM('Totals CRP'!G8:J8)</f>
        <v>0</v>
      </c>
      <c r="J8" s="43">
        <f>SUM('Totals DQN'!G8:J8)</f>
        <v>7</v>
      </c>
      <c r="K8" s="44">
        <v>6</v>
      </c>
      <c r="L8" s="45">
        <f>SUM('Totals Baseline'!L8:O8)</f>
        <v>12</v>
      </c>
      <c r="M8" s="42">
        <f>SUM('Totals ELV'!L8:O8)</f>
        <v>14.8</v>
      </c>
      <c r="N8" s="43">
        <f>SUM('Totals CRP'!L8:O8)</f>
        <v>15.7</v>
      </c>
      <c r="O8" s="43">
        <f>SUM('Totals DQN'!L8:O8)</f>
        <v>49</v>
      </c>
      <c r="P8" s="44">
        <v>6</v>
      </c>
      <c r="Q8" s="46">
        <f>ROUND(SUM('Totals Baseline'!Q8:T8),0)</f>
        <v>20</v>
      </c>
      <c r="R8" s="47">
        <f>ROUND(SUM('Totals ELV'!Q8:T8),0)</f>
        <v>21</v>
      </c>
      <c r="S8" s="48">
        <f>ROUND(SUM('Totals CRP'!Q8:T8),0)</f>
        <v>21</v>
      </c>
      <c r="T8" s="48">
        <f>ROUND(SUM('Totals DQN'!Q8:T8),0)</f>
        <v>3</v>
      </c>
      <c r="U8" s="44">
        <v>6</v>
      </c>
      <c r="V8" s="46">
        <f>ROUND(SUM('Totals Baseline'!V8:Y8),0)</f>
        <v>0</v>
      </c>
      <c r="W8" s="47">
        <f>ROUND(SUM('Totals ELV'!V8:Y8),0)</f>
        <v>0</v>
      </c>
      <c r="X8" s="47">
        <f>ROUND(SUM('Totals CRP'!V8:Y8),0)</f>
        <v>0</v>
      </c>
      <c r="Y8" s="47">
        <f>ROUND(SUM('Totals DQN'!V8:Y8),0)</f>
        <v>7</v>
      </c>
      <c r="Z8" s="44">
        <v>6</v>
      </c>
      <c r="AA8" s="49">
        <f>SUM('Totals Baseline'!AA8:AD8)</f>
        <v>138</v>
      </c>
      <c r="AB8" s="47">
        <f>SUM('Totals ELV'!AA8:AD8)</f>
        <v>140.6</v>
      </c>
      <c r="AC8" s="47">
        <f>SUM('Totals CRP'!AA8:AD8)</f>
        <v>144.6</v>
      </c>
      <c r="AD8" s="47">
        <f>SUM('Totals DQN'!AA8:AD8)</f>
        <v>71.5</v>
      </c>
      <c r="AF8" s="50"/>
      <c r="AG8" s="50"/>
      <c r="AH8" s="50"/>
    </row>
    <row r="9" spans="1:34" x14ac:dyDescent="0.3">
      <c r="A9" s="35">
        <v>7</v>
      </c>
      <c r="B9" s="41">
        <f>SUM('Totals Baseline'!B9:E9)</f>
        <v>44</v>
      </c>
      <c r="C9" s="42">
        <f>SUM('Totals ELV'!B9:E9)</f>
        <v>53</v>
      </c>
      <c r="D9" s="43">
        <f>SUM('Totals CRP'!B9:E9)</f>
        <v>47.699999999999996</v>
      </c>
      <c r="E9" s="43">
        <f>SUM('Totals DQN'!B9:E9)</f>
        <v>3</v>
      </c>
      <c r="F9" s="44">
        <v>7</v>
      </c>
      <c r="G9" s="45">
        <f>SUM('Totals Baseline'!G9:J9)</f>
        <v>0</v>
      </c>
      <c r="H9" s="42">
        <f>SUM('Totals ELV'!G9:J9)</f>
        <v>0</v>
      </c>
      <c r="I9" s="43">
        <f>SUM('Totals CRP'!G9:J9)</f>
        <v>0</v>
      </c>
      <c r="J9" s="43">
        <f>SUM('Totals DQN'!G9:J9)</f>
        <v>10</v>
      </c>
      <c r="K9" s="44">
        <v>7</v>
      </c>
      <c r="L9" s="45">
        <f>SUM('Totals Baseline'!L9:O9)</f>
        <v>16</v>
      </c>
      <c r="M9" s="42">
        <f>SUM('Totals ELV'!L9:O9)</f>
        <v>18.600000000000001</v>
      </c>
      <c r="N9" s="43">
        <f>SUM('Totals CRP'!L9:O9)</f>
        <v>17.599999999999998</v>
      </c>
      <c r="O9" s="43">
        <f>SUM('Totals DQN'!L9:O9)</f>
        <v>51</v>
      </c>
      <c r="P9" s="44">
        <v>7</v>
      </c>
      <c r="Q9" s="46">
        <f>ROUND(SUM('Totals Baseline'!Q9:T9),0)</f>
        <v>22</v>
      </c>
      <c r="R9" s="47">
        <f>ROUND(SUM('Totals ELV'!Q9:T9),0)</f>
        <v>24</v>
      </c>
      <c r="S9" s="48">
        <f>ROUND(SUM('Totals CRP'!Q9:T9),0)</f>
        <v>24</v>
      </c>
      <c r="T9" s="48">
        <f>ROUND(SUM('Totals DQN'!Q9:T9),0)</f>
        <v>2</v>
      </c>
      <c r="U9" s="44">
        <v>7</v>
      </c>
      <c r="V9" s="46">
        <f>ROUND(SUM('Totals Baseline'!V9:Y9),0)</f>
        <v>0</v>
      </c>
      <c r="W9" s="47">
        <f>ROUND(SUM('Totals ELV'!V9:Y9),0)</f>
        <v>0</v>
      </c>
      <c r="X9" s="47">
        <f>ROUND(SUM('Totals CRP'!V9:Y9),0)</f>
        <v>0</v>
      </c>
      <c r="Y9" s="47">
        <f>ROUND(SUM('Totals DQN'!V9:Y9),0)</f>
        <v>10</v>
      </c>
      <c r="Z9" s="44">
        <v>7</v>
      </c>
      <c r="AA9" s="49">
        <f>SUM('Totals Baseline'!AA9:AD9)</f>
        <v>160</v>
      </c>
      <c r="AB9" s="47">
        <f>SUM('Totals ELV'!AA9:AD9)</f>
        <v>165</v>
      </c>
      <c r="AC9" s="47">
        <f>SUM('Totals CRP'!AA9:AD9)</f>
        <v>168.45</v>
      </c>
      <c r="AD9" s="47">
        <f>SUM('Totals DQN'!AA9:AD9)</f>
        <v>83</v>
      </c>
      <c r="AF9" s="50"/>
      <c r="AG9" s="50"/>
      <c r="AH9" s="50"/>
    </row>
    <row r="10" spans="1:34" x14ac:dyDescent="0.3">
      <c r="A10" s="35">
        <v>8</v>
      </c>
      <c r="B10" s="41">
        <f>SUM('Totals Baseline'!B10:E10)</f>
        <v>44</v>
      </c>
      <c r="C10" s="42">
        <f>SUM('Totals ELV'!B10:E10)</f>
        <v>43</v>
      </c>
      <c r="D10" s="43">
        <f>SUM('Totals CRP'!B10:E10)</f>
        <v>42.8</v>
      </c>
      <c r="E10" s="43">
        <f>SUM('Totals DQN'!B10:E10)</f>
        <v>4</v>
      </c>
      <c r="F10" s="44">
        <v>8</v>
      </c>
      <c r="G10" s="45">
        <f>SUM('Totals Baseline'!G10:J10)</f>
        <v>4</v>
      </c>
      <c r="H10" s="42">
        <f>SUM('Totals ELV'!G10:J10)</f>
        <v>0</v>
      </c>
      <c r="I10" s="43">
        <f>SUM('Totals CRP'!G10:J10)</f>
        <v>0</v>
      </c>
      <c r="J10" s="43">
        <f>SUM('Totals DQN'!G10:J10)</f>
        <v>12</v>
      </c>
      <c r="K10" s="44">
        <v>8</v>
      </c>
      <c r="L10" s="45">
        <f>SUM('Totals Baseline'!L10:O10)</f>
        <v>18</v>
      </c>
      <c r="M10" s="42">
        <f>SUM('Totals ELV'!L10:O10)</f>
        <v>25.8</v>
      </c>
      <c r="N10" s="43">
        <f>SUM('Totals CRP'!L10:O10)</f>
        <v>25.9</v>
      </c>
      <c r="O10" s="43">
        <f>SUM('Totals DQN'!L10:O10)</f>
        <v>52</v>
      </c>
      <c r="P10" s="44">
        <v>8</v>
      </c>
      <c r="Q10" s="46">
        <f>ROUND(SUM('Totals Baseline'!Q10:T10),0)</f>
        <v>22</v>
      </c>
      <c r="R10" s="47">
        <f>ROUND(SUM('Totals ELV'!Q10:T10),0)</f>
        <v>21</v>
      </c>
      <c r="S10" s="48">
        <f>ROUND(SUM('Totals CRP'!Q10:T10),0)</f>
        <v>21</v>
      </c>
      <c r="T10" s="48">
        <f>ROUND(SUM('Totals DQN'!Q10:T10),0)</f>
        <v>2</v>
      </c>
      <c r="U10" s="44">
        <v>8</v>
      </c>
      <c r="V10" s="46">
        <f>ROUND(SUM('Totals Baseline'!V10:Y10),0)</f>
        <v>4</v>
      </c>
      <c r="W10" s="47">
        <f>ROUND(SUM('Totals ELV'!V10:Y10),0)</f>
        <v>0</v>
      </c>
      <c r="X10" s="47">
        <f>ROUND(SUM('Totals CRP'!V10:Y10),0)</f>
        <v>0</v>
      </c>
      <c r="Y10" s="47">
        <f>ROUND(SUM('Totals DQN'!V10:Y10),0)</f>
        <v>12</v>
      </c>
      <c r="Z10" s="44">
        <v>8</v>
      </c>
      <c r="AA10" s="49">
        <f>SUM('Totals Baseline'!AA10:AD10)</f>
        <v>186</v>
      </c>
      <c r="AB10" s="47">
        <f>SUM('Totals ELV'!AA10:AD10)</f>
        <v>185.89999999999998</v>
      </c>
      <c r="AC10" s="47">
        <f>SUM('Totals CRP'!AA10:AD10)</f>
        <v>189.85</v>
      </c>
      <c r="AD10" s="47">
        <f>SUM('Totals DQN'!AA10:AD10)</f>
        <v>97</v>
      </c>
      <c r="AF10" s="50"/>
      <c r="AG10" s="50"/>
      <c r="AH10" s="50"/>
    </row>
    <row r="11" spans="1:34" x14ac:dyDescent="0.3">
      <c r="A11" s="35">
        <v>9</v>
      </c>
      <c r="B11" s="41">
        <f>SUM('Totals Baseline'!B11:E11)</f>
        <v>35</v>
      </c>
      <c r="C11" s="42">
        <f>SUM('Totals ELV'!B11:E11)</f>
        <v>33</v>
      </c>
      <c r="D11" s="43">
        <f>SUM('Totals CRP'!B11:E11)</f>
        <v>31</v>
      </c>
      <c r="E11" s="43">
        <f>SUM('Totals DQN'!B11:E11)</f>
        <v>4</v>
      </c>
      <c r="F11" s="44">
        <v>9</v>
      </c>
      <c r="G11" s="45">
        <f>SUM('Totals Baseline'!G11:J11)</f>
        <v>9</v>
      </c>
      <c r="H11" s="42">
        <f>SUM('Totals ELV'!G11:J11)</f>
        <v>1.5</v>
      </c>
      <c r="I11" s="43">
        <f>SUM('Totals CRP'!G11:J11)</f>
        <v>0.3</v>
      </c>
      <c r="J11" s="43">
        <f>SUM('Totals DQN'!G11:J11)</f>
        <v>14</v>
      </c>
      <c r="K11" s="44">
        <v>9</v>
      </c>
      <c r="L11" s="45">
        <f>SUM('Totals Baseline'!L11:O11)</f>
        <v>26</v>
      </c>
      <c r="M11" s="42">
        <f>SUM('Totals ELV'!L11:O11)</f>
        <v>29.200000000000003</v>
      </c>
      <c r="N11" s="43">
        <f>SUM('Totals CRP'!L11:O11)</f>
        <v>29.4</v>
      </c>
      <c r="O11" s="43">
        <f>SUM('Totals DQN'!L11:O11)</f>
        <v>51</v>
      </c>
      <c r="P11" s="44">
        <v>9</v>
      </c>
      <c r="Q11" s="46">
        <f>ROUND(SUM('Totals Baseline'!Q11:T11),0)</f>
        <v>18</v>
      </c>
      <c r="R11" s="47">
        <f>ROUND(SUM('Totals ELV'!Q11:T11),0)</f>
        <v>16</v>
      </c>
      <c r="S11" s="48">
        <f>ROUND(SUM('Totals CRP'!Q11:T11),0)</f>
        <v>16</v>
      </c>
      <c r="T11" s="48">
        <f>ROUND(SUM('Totals DQN'!Q11:T11),0)</f>
        <v>2</v>
      </c>
      <c r="U11" s="44">
        <v>9</v>
      </c>
      <c r="V11" s="46">
        <f>ROUND(SUM('Totals Baseline'!V11:Y11),0)</f>
        <v>9</v>
      </c>
      <c r="W11" s="47">
        <f>ROUND(SUM('Totals ELV'!V11:Y11),0)</f>
        <v>2</v>
      </c>
      <c r="X11" s="47">
        <f>ROUND(SUM('Totals CRP'!V11:Y11),0)</f>
        <v>0</v>
      </c>
      <c r="Y11" s="47">
        <f>ROUND(SUM('Totals DQN'!V11:Y11),0)</f>
        <v>14</v>
      </c>
      <c r="Z11" s="44">
        <v>9</v>
      </c>
      <c r="AA11" s="49">
        <f>SUM('Totals Baseline'!AA11:AD11)</f>
        <v>212.5</v>
      </c>
      <c r="AB11" s="47">
        <f>SUM('Totals ELV'!AA11:AD11)</f>
        <v>202.95</v>
      </c>
      <c r="AC11" s="47">
        <f>SUM('Totals CRP'!AA11:AD11)</f>
        <v>205.65</v>
      </c>
      <c r="AD11" s="47">
        <f>SUM('Totals DQN'!AA11:AD11)</f>
        <v>113</v>
      </c>
      <c r="AF11" s="50"/>
      <c r="AG11" s="50"/>
      <c r="AH11" s="50"/>
    </row>
    <row r="12" spans="1:34" x14ac:dyDescent="0.3">
      <c r="A12" s="35">
        <v>10</v>
      </c>
      <c r="B12" s="41">
        <f>SUM('Totals Baseline'!B12:E12)</f>
        <v>27</v>
      </c>
      <c r="C12" s="42">
        <f>SUM('Totals ELV'!B12:E12)</f>
        <v>26</v>
      </c>
      <c r="D12" s="43">
        <f>SUM('Totals CRP'!B12:E12)</f>
        <v>30.299999999999997</v>
      </c>
      <c r="E12" s="43">
        <f>SUM('Totals DQN'!B12:E12)</f>
        <v>3</v>
      </c>
      <c r="F12" s="44">
        <v>10</v>
      </c>
      <c r="G12" s="45">
        <f>SUM('Totals Baseline'!G12:J12)</f>
        <v>19</v>
      </c>
      <c r="H12" s="42">
        <f>SUM('Totals ELV'!G12:J12)</f>
        <v>1.3</v>
      </c>
      <c r="I12" s="43">
        <f>SUM('Totals CRP'!G12:J12)</f>
        <v>1</v>
      </c>
      <c r="J12" s="43">
        <f>SUM('Totals DQN'!G12:J12)</f>
        <v>13</v>
      </c>
      <c r="K12" s="44">
        <v>10</v>
      </c>
      <c r="L12" s="45">
        <f>SUM('Totals Baseline'!L12:O12)</f>
        <v>30</v>
      </c>
      <c r="M12" s="42">
        <f>SUM('Totals ELV'!L12:O12)</f>
        <v>39.4</v>
      </c>
      <c r="N12" s="43">
        <f>SUM('Totals CRP'!L12:O12)</f>
        <v>41.4</v>
      </c>
      <c r="O12" s="43">
        <f>SUM('Totals DQN'!L12:O12)</f>
        <v>50</v>
      </c>
      <c r="P12" s="44">
        <v>10</v>
      </c>
      <c r="Q12" s="46">
        <f>ROUND(SUM('Totals Baseline'!Q12:T12),0)</f>
        <v>14</v>
      </c>
      <c r="R12" s="47">
        <f>ROUND(SUM('Totals ELV'!Q12:T12),0)</f>
        <v>15</v>
      </c>
      <c r="S12" s="48">
        <f>ROUND(SUM('Totals CRP'!Q12:T12),0)</f>
        <v>15</v>
      </c>
      <c r="T12" s="48">
        <f>ROUND(SUM('Totals DQN'!Q12:T12),0)</f>
        <v>2</v>
      </c>
      <c r="U12" s="44">
        <v>10</v>
      </c>
      <c r="V12" s="46">
        <f>ROUND(SUM('Totals Baseline'!V12:Y12),0)</f>
        <v>19</v>
      </c>
      <c r="W12" s="47">
        <f>ROUND(SUM('Totals ELV'!V12:Y12),0)</f>
        <v>1</v>
      </c>
      <c r="X12" s="47">
        <f>ROUND(SUM('Totals CRP'!V12:Y12),0)</f>
        <v>1</v>
      </c>
      <c r="Y12" s="47">
        <f>ROUND(SUM('Totals DQN'!V12:Y12),0)</f>
        <v>13</v>
      </c>
      <c r="Z12" s="44">
        <v>10</v>
      </c>
      <c r="AA12" s="49">
        <f>SUM('Totals Baseline'!AA12:AD12)</f>
        <v>245</v>
      </c>
      <c r="AB12" s="47">
        <f>SUM('Totals ELV'!AA12:AD12)</f>
        <v>219.7</v>
      </c>
      <c r="AC12" s="47">
        <f>SUM('Totals CRP'!AA12:AD12)</f>
        <v>221.79999999999998</v>
      </c>
      <c r="AD12" s="47">
        <f>SUM('Totals DQN'!AA12:AD12)</f>
        <v>127.5</v>
      </c>
      <c r="AF12" s="50"/>
      <c r="AG12" s="50"/>
      <c r="AH12" s="50"/>
    </row>
    <row r="13" spans="1:34" x14ac:dyDescent="0.3">
      <c r="A13" s="35">
        <v>11</v>
      </c>
      <c r="B13" s="41">
        <f>SUM('Totals Baseline'!B13:E13)</f>
        <v>16</v>
      </c>
      <c r="C13" s="42">
        <f>SUM('Totals ELV'!B13:E13)</f>
        <v>29</v>
      </c>
      <c r="D13" s="43">
        <f>SUM('Totals CRP'!B13:E13)</f>
        <v>30.9</v>
      </c>
      <c r="E13" s="43">
        <f>SUM('Totals DQN'!B13:E13)</f>
        <v>4</v>
      </c>
      <c r="F13" s="44">
        <v>11</v>
      </c>
      <c r="G13" s="45">
        <f>SUM('Totals Baseline'!G13:J13)</f>
        <v>29</v>
      </c>
      <c r="H13" s="42">
        <f>SUM('Totals ELV'!G13:J13)</f>
        <v>9.1999999999999993</v>
      </c>
      <c r="I13" s="43">
        <f>SUM('Totals CRP'!G13:J13)</f>
        <v>6.5</v>
      </c>
      <c r="J13" s="43">
        <f>SUM('Totals DQN'!G13:J13)</f>
        <v>5</v>
      </c>
      <c r="K13" s="44">
        <v>11</v>
      </c>
      <c r="L13" s="45">
        <f>SUM('Totals Baseline'!L13:O13)</f>
        <v>36</v>
      </c>
      <c r="M13" s="42">
        <f>SUM('Totals ELV'!L13:O13)</f>
        <v>38.5</v>
      </c>
      <c r="N13" s="43">
        <f>SUM('Totals CRP'!L13:O13)</f>
        <v>37.799999999999997</v>
      </c>
      <c r="O13" s="43">
        <f>SUM('Totals DQN'!L13:O13)</f>
        <v>44</v>
      </c>
      <c r="P13" s="44">
        <v>11</v>
      </c>
      <c r="Q13" s="46">
        <f>ROUND(SUM('Totals Baseline'!Q13:T13),0)</f>
        <v>8</v>
      </c>
      <c r="R13" s="47">
        <f>ROUND(SUM('Totals ELV'!Q13:T13),0)</f>
        <v>16</v>
      </c>
      <c r="S13" s="48">
        <f>ROUND(SUM('Totals CRP'!Q13:T13),0)</f>
        <v>15</v>
      </c>
      <c r="T13" s="48">
        <f>ROUND(SUM('Totals DQN'!Q13:T13),0)</f>
        <v>2</v>
      </c>
      <c r="U13" s="44">
        <v>11</v>
      </c>
      <c r="V13" s="46">
        <f>ROUND(SUM('Totals Baseline'!V13:Y13),0)</f>
        <v>29</v>
      </c>
      <c r="W13" s="47">
        <f>ROUND(SUM('Totals ELV'!V13:Y13),0)</f>
        <v>9</v>
      </c>
      <c r="X13" s="47">
        <f>ROUND(SUM('Totals CRP'!V13:Y13),0)</f>
        <v>7</v>
      </c>
      <c r="Y13" s="47">
        <f>ROUND(SUM('Totals DQN'!V13:Y13),0)</f>
        <v>5</v>
      </c>
      <c r="Z13" s="44">
        <v>11</v>
      </c>
      <c r="AA13" s="49">
        <f>SUM('Totals Baseline'!AA13:AD13)</f>
        <v>282</v>
      </c>
      <c r="AB13" s="47">
        <f>SUM('Totals ELV'!AA13:AD13)</f>
        <v>244.6</v>
      </c>
      <c r="AC13" s="47">
        <f>SUM('Totals CRP'!AA13:AD13)</f>
        <v>243.75</v>
      </c>
      <c r="AD13" s="47">
        <f>SUM('Totals DQN'!AA13:AD13)</f>
        <v>134.5</v>
      </c>
      <c r="AF13" s="50"/>
      <c r="AG13" s="50"/>
      <c r="AH13" s="50"/>
    </row>
    <row r="14" spans="1:34" x14ac:dyDescent="0.3">
      <c r="A14" s="35">
        <v>12</v>
      </c>
      <c r="B14" s="41">
        <f>SUM('Totals Baseline'!B14:E14)</f>
        <v>13</v>
      </c>
      <c r="C14" s="42">
        <f>SUM('Totals ELV'!B14:E14)</f>
        <v>35</v>
      </c>
      <c r="D14" s="43">
        <f>SUM('Totals CRP'!B14:E14)</f>
        <v>36.5</v>
      </c>
      <c r="E14" s="43">
        <f>SUM('Totals DQN'!B14:E14)</f>
        <v>11</v>
      </c>
      <c r="F14" s="44">
        <v>12</v>
      </c>
      <c r="G14" s="45">
        <f>SUM('Totals Baseline'!G14:J14)</f>
        <v>54</v>
      </c>
      <c r="H14" s="42">
        <f>SUM('Totals ELV'!G14:J14)</f>
        <v>13.8</v>
      </c>
      <c r="I14" s="43">
        <f>SUM('Totals CRP'!G14:J14)</f>
        <v>6.6</v>
      </c>
      <c r="J14" s="43">
        <f>SUM('Totals DQN'!G14:J14)</f>
        <v>0</v>
      </c>
      <c r="K14" s="44">
        <v>12</v>
      </c>
      <c r="L14" s="45">
        <f>SUM('Totals Baseline'!L14:O14)</f>
        <v>48</v>
      </c>
      <c r="M14" s="42">
        <f>SUM('Totals ELV'!L14:O14)</f>
        <v>25.8</v>
      </c>
      <c r="N14" s="43">
        <f>SUM('Totals CRP'!L14:O14)</f>
        <v>26.200000000000003</v>
      </c>
      <c r="O14" s="43">
        <f>SUM('Totals DQN'!L14:O14)</f>
        <v>37</v>
      </c>
      <c r="P14" s="44">
        <v>12</v>
      </c>
      <c r="Q14" s="46">
        <f>ROUND(SUM('Totals Baseline'!Q14:T14),0)</f>
        <v>7</v>
      </c>
      <c r="R14" s="47">
        <f>ROUND(SUM('Totals ELV'!Q14:T14),0)</f>
        <v>18</v>
      </c>
      <c r="S14" s="48">
        <f>ROUND(SUM('Totals CRP'!Q14:T14),0)</f>
        <v>18</v>
      </c>
      <c r="T14" s="48">
        <f>ROUND(SUM('Totals DQN'!Q14:T14),0)</f>
        <v>6</v>
      </c>
      <c r="U14" s="44">
        <v>12</v>
      </c>
      <c r="V14" s="46">
        <f>ROUND(SUM('Totals Baseline'!V14:Y14),0)</f>
        <v>54</v>
      </c>
      <c r="W14" s="47">
        <f>ROUND(SUM('Totals ELV'!V14:Y14),0)</f>
        <v>14</v>
      </c>
      <c r="X14" s="47">
        <f>ROUND(SUM('Totals CRP'!V14:Y14),0)</f>
        <v>7</v>
      </c>
      <c r="Y14" s="47">
        <f>ROUND(SUM('Totals DQN'!V14:Y14),0)</f>
        <v>0</v>
      </c>
      <c r="Z14" s="44">
        <v>12</v>
      </c>
      <c r="AA14" s="49">
        <f>SUM('Totals Baseline'!AA14:AD14)</f>
        <v>342.5</v>
      </c>
      <c r="AB14" s="47">
        <f>SUM('Totals ELV'!AA14:AD14)</f>
        <v>276.79999999999995</v>
      </c>
      <c r="AC14" s="47">
        <f>SUM('Totals CRP'!AA14:AD14)</f>
        <v>268.60000000000002</v>
      </c>
      <c r="AD14" s="47">
        <f>SUM('Totals DQN'!AA14:AD14)</f>
        <v>140</v>
      </c>
      <c r="AF14" s="50"/>
      <c r="AG14" s="50"/>
      <c r="AH14" s="50"/>
    </row>
    <row r="15" spans="1:34" x14ac:dyDescent="0.3">
      <c r="A15" s="35">
        <v>13</v>
      </c>
      <c r="B15" s="41">
        <f>SUM('Totals Baseline'!B15:E15)</f>
        <v>0</v>
      </c>
      <c r="C15" s="42">
        <f>SUM('Totals ELV'!B15:E15)</f>
        <v>38</v>
      </c>
      <c r="D15" s="43">
        <f>SUM('Totals CRP'!B15:E15)</f>
        <v>48.4</v>
      </c>
      <c r="E15" s="43">
        <f>SUM('Totals DQN'!B15:E15)</f>
        <v>27</v>
      </c>
      <c r="F15" s="44">
        <v>13</v>
      </c>
      <c r="G15" s="45">
        <f>SUM('Totals Baseline'!G15:J15)</f>
        <v>77</v>
      </c>
      <c r="H15" s="42">
        <f>SUM('Totals ELV'!G15:J15)</f>
        <v>7.3</v>
      </c>
      <c r="I15" s="43">
        <f>SUM('Totals CRP'!G15:J15)</f>
        <v>1.6</v>
      </c>
      <c r="J15" s="43">
        <f>SUM('Totals DQN'!G15:J15)</f>
        <v>0</v>
      </c>
      <c r="K15" s="44">
        <v>13</v>
      </c>
      <c r="L15" s="45">
        <f>SUM('Totals Baseline'!L15:O15)</f>
        <v>54</v>
      </c>
      <c r="M15" s="42">
        <f>SUM('Totals ELV'!L15:O15)</f>
        <v>21.400000000000002</v>
      </c>
      <c r="N15" s="43">
        <f>SUM('Totals CRP'!L15:O15)</f>
        <v>22.1</v>
      </c>
      <c r="O15" s="43">
        <f>SUM('Totals DQN'!L15:O15)</f>
        <v>26</v>
      </c>
      <c r="P15" s="44">
        <v>13</v>
      </c>
      <c r="Q15" s="46">
        <f>ROUND(SUM('Totals Baseline'!Q15:T15),0)</f>
        <v>0</v>
      </c>
      <c r="R15" s="47">
        <f>ROUND(SUM('Totals ELV'!Q15:T15),0)</f>
        <v>23</v>
      </c>
      <c r="S15" s="48">
        <f>ROUND(SUM('Totals CRP'!Q15:T15),0)</f>
        <v>24</v>
      </c>
      <c r="T15" s="48">
        <f>ROUND(SUM('Totals DQN'!Q15:T15),0)</f>
        <v>14</v>
      </c>
      <c r="U15" s="44">
        <v>13</v>
      </c>
      <c r="V15" s="46">
        <f>ROUND(SUM('Totals Baseline'!V15:Y15),0)</f>
        <v>77</v>
      </c>
      <c r="W15" s="47">
        <f>ROUND(SUM('Totals ELV'!V15:Y15),0)</f>
        <v>7</v>
      </c>
      <c r="X15" s="47">
        <f>ROUND(SUM('Totals CRP'!V15:Y15),0)</f>
        <v>2</v>
      </c>
      <c r="Y15" s="47">
        <f>ROUND(SUM('Totals DQN'!V15:Y15),0)</f>
        <v>0</v>
      </c>
      <c r="Z15" s="44">
        <v>13</v>
      </c>
      <c r="AA15" s="49">
        <f>SUM('Totals Baseline'!AA15:AD15)</f>
        <v>419.5</v>
      </c>
      <c r="AB15" s="47">
        <f>SUM('Totals ELV'!AA15:AD15)</f>
        <v>306.95</v>
      </c>
      <c r="AC15" s="47">
        <f>SUM('Totals CRP'!AA15:AD15)</f>
        <v>294.39999999999998</v>
      </c>
      <c r="AD15" s="47">
        <f>SUM('Totals DQN'!AA15:AD15)</f>
        <v>153.5</v>
      </c>
      <c r="AF15" s="50"/>
      <c r="AG15" s="50"/>
      <c r="AH15" s="50"/>
    </row>
    <row r="16" spans="1:34" x14ac:dyDescent="0.3">
      <c r="A16" s="35">
        <v>14</v>
      </c>
      <c r="B16" s="41">
        <f>SUM('Totals Baseline'!B16:E16)</f>
        <v>0</v>
      </c>
      <c r="C16" s="42">
        <f>SUM('Totals ELV'!B16:E16)</f>
        <v>51</v>
      </c>
      <c r="D16" s="43">
        <f>SUM('Totals CRP'!B16:E16)</f>
        <v>54.5</v>
      </c>
      <c r="E16" s="43">
        <f>SUM('Totals DQN'!B16:E16)</f>
        <v>44</v>
      </c>
      <c r="F16" s="44">
        <v>14</v>
      </c>
      <c r="G16" s="45">
        <f>SUM('Totals Baseline'!G16:J16)</f>
        <v>120</v>
      </c>
      <c r="H16" s="42">
        <f>SUM('Totals ELV'!G16:J16)</f>
        <v>0.9</v>
      </c>
      <c r="I16" s="43">
        <f>SUM('Totals CRP'!G16:J16)</f>
        <v>0</v>
      </c>
      <c r="J16" s="43">
        <f>SUM('Totals DQN'!G16:J16)</f>
        <v>0</v>
      </c>
      <c r="K16" s="44">
        <v>14</v>
      </c>
      <c r="L16" s="45">
        <f>SUM('Totals Baseline'!L16:O16)</f>
        <v>57</v>
      </c>
      <c r="M16" s="42">
        <f>SUM('Totals ELV'!L16:O16)</f>
        <v>28.700000000000003</v>
      </c>
      <c r="N16" s="43">
        <f>SUM('Totals CRP'!L16:O16)</f>
        <v>27.299999999999997</v>
      </c>
      <c r="O16" s="43">
        <f>SUM('Totals DQN'!L16:O16)</f>
        <v>16</v>
      </c>
      <c r="P16" s="44">
        <v>14</v>
      </c>
      <c r="Q16" s="46">
        <f>ROUND(SUM('Totals Baseline'!Q16:T16),0)</f>
        <v>0</v>
      </c>
      <c r="R16" s="47">
        <f>ROUND(SUM('Totals ELV'!Q16:T16),0)</f>
        <v>27</v>
      </c>
      <c r="S16" s="48">
        <f>ROUND(SUM('Totals CRP'!Q16:T16),0)</f>
        <v>27</v>
      </c>
      <c r="T16" s="48">
        <f>ROUND(SUM('Totals DQN'!Q16:T16),0)</f>
        <v>22</v>
      </c>
      <c r="U16" s="44">
        <v>14</v>
      </c>
      <c r="V16" s="46">
        <f>ROUND(SUM('Totals Baseline'!V16:Y16),0)</f>
        <v>120</v>
      </c>
      <c r="W16" s="47">
        <f>ROUND(SUM('Totals ELV'!V16:Y16),0)</f>
        <v>1</v>
      </c>
      <c r="X16" s="47">
        <f>ROUND(SUM('Totals CRP'!V16:Y16),0)</f>
        <v>0</v>
      </c>
      <c r="Y16" s="47">
        <f>ROUND(SUM('Totals DQN'!V16:Y16),0)</f>
        <v>0</v>
      </c>
      <c r="Z16" s="44">
        <v>14</v>
      </c>
      <c r="AA16" s="49">
        <f>SUM('Totals Baseline'!AA16:AD16)</f>
        <v>539.5</v>
      </c>
      <c r="AB16" s="47">
        <f>SUM('Totals ELV'!AA16:AD16)</f>
        <v>335.25</v>
      </c>
      <c r="AC16" s="47">
        <f>SUM('Totals CRP'!AA16:AD16)</f>
        <v>321.64999999999998</v>
      </c>
      <c r="AD16" s="47">
        <f>SUM('Totals DQN'!AA16:AD16)</f>
        <v>175.5</v>
      </c>
      <c r="AF16" s="50"/>
      <c r="AG16" s="50"/>
      <c r="AH16" s="50"/>
    </row>
    <row r="17" spans="1:34" x14ac:dyDescent="0.3">
      <c r="A17" s="35">
        <v>15</v>
      </c>
      <c r="B17" s="41">
        <f>SUM('Totals Baseline'!B17:E17)</f>
        <v>0</v>
      </c>
      <c r="C17" s="42">
        <f>SUM('Totals ELV'!B17:E17)</f>
        <v>57</v>
      </c>
      <c r="D17" s="43">
        <f>SUM('Totals CRP'!B17:E17)</f>
        <v>51.7</v>
      </c>
      <c r="E17" s="43">
        <f>SUM('Totals DQN'!B17:E17)</f>
        <v>57</v>
      </c>
      <c r="F17" s="44">
        <v>15</v>
      </c>
      <c r="G17" s="45">
        <f>SUM('Totals Baseline'!G17:J17)</f>
        <v>153</v>
      </c>
      <c r="H17" s="42">
        <f>SUM('Totals ELV'!G17:J17)</f>
        <v>0.5</v>
      </c>
      <c r="I17" s="43">
        <f>SUM('Totals CRP'!G17:J17)</f>
        <v>0.2</v>
      </c>
      <c r="J17" s="43">
        <f>SUM('Totals DQN'!G17:J17)</f>
        <v>0</v>
      </c>
      <c r="K17" s="44">
        <v>15</v>
      </c>
      <c r="L17" s="45">
        <f>SUM('Totals Baseline'!L17:O17)</f>
        <v>52</v>
      </c>
      <c r="M17" s="42">
        <f>SUM('Totals ELV'!L17:O17)</f>
        <v>30.599999999999998</v>
      </c>
      <c r="N17" s="43">
        <f>SUM('Totals CRP'!L17:O17)</f>
        <v>32.300000000000004</v>
      </c>
      <c r="O17" s="43">
        <f>SUM('Totals DQN'!L17:O17)</f>
        <v>9</v>
      </c>
      <c r="P17" s="44">
        <v>15</v>
      </c>
      <c r="Q17" s="46">
        <f>ROUND(SUM('Totals Baseline'!Q17:T17),0)</f>
        <v>0</v>
      </c>
      <c r="R17" s="47">
        <f>ROUND(SUM('Totals ELV'!Q17:T17),0)</f>
        <v>25</v>
      </c>
      <c r="S17" s="48">
        <f>ROUND(SUM('Totals CRP'!Q17:T17),0)</f>
        <v>26</v>
      </c>
      <c r="T17" s="48">
        <f>ROUND(SUM('Totals DQN'!Q17:T17),0)</f>
        <v>29</v>
      </c>
      <c r="U17" s="44">
        <v>15</v>
      </c>
      <c r="V17" s="46">
        <f>ROUND(SUM('Totals Baseline'!V17:Y17),0)</f>
        <v>153</v>
      </c>
      <c r="W17" s="47">
        <f>ROUND(SUM('Totals ELV'!V17:Y17),0)</f>
        <v>1</v>
      </c>
      <c r="X17" s="47">
        <f>ROUND(SUM('Totals CRP'!V17:Y17),0)</f>
        <v>0</v>
      </c>
      <c r="Y17" s="47">
        <f>ROUND(SUM('Totals DQN'!V17:Y17),0)</f>
        <v>0</v>
      </c>
      <c r="Z17" s="44">
        <v>15</v>
      </c>
      <c r="AA17" s="49">
        <f>SUM('Totals Baseline'!AA17:AD17)</f>
        <v>692.5</v>
      </c>
      <c r="AB17" s="47">
        <f>SUM('Totals ELV'!AA17:AD17)</f>
        <v>361.2</v>
      </c>
      <c r="AC17" s="47">
        <f>SUM('Totals CRP'!AA17:AD17)</f>
        <v>347.7</v>
      </c>
      <c r="AD17" s="47">
        <f>SUM('Totals DQN'!AA17:AD17)</f>
        <v>204</v>
      </c>
      <c r="AF17" s="50"/>
      <c r="AG17" s="50"/>
      <c r="AH17" s="50"/>
    </row>
    <row r="18" spans="1:34" x14ac:dyDescent="0.3">
      <c r="A18" s="35">
        <v>16</v>
      </c>
      <c r="B18" s="41">
        <f>SUM('Totals Baseline'!B18:E18)</f>
        <v>0</v>
      </c>
      <c r="C18" s="42">
        <f>SUM('Totals ELV'!B18:E18)</f>
        <v>47</v>
      </c>
      <c r="D18" s="43">
        <f>SUM('Totals CRP'!B18:E18)</f>
        <v>36.900000000000006</v>
      </c>
      <c r="E18" s="43">
        <f>SUM('Totals DQN'!B18:E18)</f>
        <v>68</v>
      </c>
      <c r="F18" s="44">
        <v>16</v>
      </c>
      <c r="G18" s="45">
        <f>SUM('Totals Baseline'!G18:J18)</f>
        <v>189</v>
      </c>
      <c r="H18" s="42">
        <f>SUM('Totals ELV'!G18:J18)</f>
        <v>1.2</v>
      </c>
      <c r="I18" s="43">
        <f>SUM('Totals CRP'!G18:J18)</f>
        <v>1.1000000000000001</v>
      </c>
      <c r="J18" s="43">
        <f>SUM('Totals DQN'!G18:J18)</f>
        <v>0</v>
      </c>
      <c r="K18" s="44">
        <v>16</v>
      </c>
      <c r="L18" s="45">
        <f>SUM('Totals Baseline'!L18:O18)</f>
        <v>48</v>
      </c>
      <c r="M18" s="42">
        <f>SUM('Totals ELV'!L18:O18)</f>
        <v>35.6</v>
      </c>
      <c r="N18" s="43">
        <f>SUM('Totals CRP'!L18:O18)</f>
        <v>43</v>
      </c>
      <c r="O18" s="43">
        <f>SUM('Totals DQN'!L18:O18)</f>
        <v>8</v>
      </c>
      <c r="P18" s="44">
        <v>16</v>
      </c>
      <c r="Q18" s="46">
        <f>ROUND(SUM('Totals Baseline'!Q18:T18),0)</f>
        <v>0</v>
      </c>
      <c r="R18" s="47">
        <f>ROUND(SUM('Totals ELV'!Q18:T18),0)</f>
        <v>23</v>
      </c>
      <c r="S18" s="48">
        <f>ROUND(SUM('Totals CRP'!Q18:T18),0)</f>
        <v>18</v>
      </c>
      <c r="T18" s="48">
        <f>ROUND(SUM('Totals DQN'!Q18:T18),0)</f>
        <v>34</v>
      </c>
      <c r="U18" s="44">
        <v>16</v>
      </c>
      <c r="V18" s="46">
        <f>ROUND(SUM('Totals Baseline'!V18:Y18),0)</f>
        <v>189</v>
      </c>
      <c r="W18" s="47">
        <f>ROUND(SUM('Totals ELV'!V18:Y18),0)</f>
        <v>1</v>
      </c>
      <c r="X18" s="47">
        <f>ROUND(SUM('Totals CRP'!V18:Y18),0)</f>
        <v>1</v>
      </c>
      <c r="Y18" s="47">
        <f>ROUND(SUM('Totals DQN'!V18:Y18),0)</f>
        <v>0</v>
      </c>
      <c r="Z18" s="44">
        <v>16</v>
      </c>
      <c r="AA18" s="49">
        <f>SUM('Totals Baseline'!AA18:AD18)</f>
        <v>881.5</v>
      </c>
      <c r="AB18" s="47">
        <f>SUM('Totals ELV'!AA18:AD18)</f>
        <v>385.2</v>
      </c>
      <c r="AC18" s="47">
        <f>SUM('Totals CRP'!AA18:AD18)</f>
        <v>367.25</v>
      </c>
      <c r="AD18" s="47">
        <f>SUM('Totals DQN'!AA18:AD18)</f>
        <v>238</v>
      </c>
      <c r="AF18" s="50"/>
      <c r="AG18" s="50"/>
      <c r="AH18" s="50"/>
    </row>
    <row r="19" spans="1:34" x14ac:dyDescent="0.3">
      <c r="A19" s="35">
        <v>17</v>
      </c>
      <c r="B19" s="41">
        <f>SUM('Totals Baseline'!B19:E19)</f>
        <v>0</v>
      </c>
      <c r="C19" s="42">
        <f>SUM('Totals ELV'!B19:E19)</f>
        <v>33</v>
      </c>
      <c r="D19" s="43">
        <f>SUM('Totals CRP'!B19:E19)</f>
        <v>32.4</v>
      </c>
      <c r="E19" s="43">
        <f>SUM('Totals DQN'!B19:E19)</f>
        <v>71</v>
      </c>
      <c r="F19" s="44">
        <v>17</v>
      </c>
      <c r="G19" s="45">
        <f>SUM('Totals Baseline'!G19:J19)</f>
        <v>193</v>
      </c>
      <c r="H19" s="42">
        <f>SUM('Totals ELV'!G19:J19)</f>
        <v>4.5999999999999996</v>
      </c>
      <c r="I19" s="43">
        <f>SUM('Totals CRP'!G19:J19)</f>
        <v>7</v>
      </c>
      <c r="J19" s="43">
        <f>SUM('Totals DQN'!G19:J19)</f>
        <v>0</v>
      </c>
      <c r="K19" s="44">
        <v>17</v>
      </c>
      <c r="L19" s="45">
        <f>SUM('Totals Baseline'!L19:O19)</f>
        <v>43</v>
      </c>
      <c r="M19" s="42">
        <f>SUM('Totals ELV'!L19:O19)</f>
        <v>38.099999999999994</v>
      </c>
      <c r="N19" s="43">
        <f>SUM('Totals CRP'!L19:O19)</f>
        <v>39.6</v>
      </c>
      <c r="O19" s="43">
        <f>SUM('Totals DQN'!L19:O19)</f>
        <v>10</v>
      </c>
      <c r="P19" s="44">
        <v>17</v>
      </c>
      <c r="Q19" s="46">
        <f>ROUND(SUM('Totals Baseline'!Q19:T19),0)</f>
        <v>0</v>
      </c>
      <c r="R19" s="47">
        <f>ROUND(SUM('Totals ELV'!Q19:T19),0)</f>
        <v>20</v>
      </c>
      <c r="S19" s="48">
        <f>ROUND(SUM('Totals CRP'!Q19:T19),0)</f>
        <v>16</v>
      </c>
      <c r="T19" s="48">
        <f>ROUND(SUM('Totals DQN'!Q19:T19),0)</f>
        <v>36</v>
      </c>
      <c r="U19" s="44">
        <v>17</v>
      </c>
      <c r="V19" s="46">
        <f>ROUND(SUM('Totals Baseline'!V19:Y19),0)</f>
        <v>193</v>
      </c>
      <c r="W19" s="47">
        <f>ROUND(SUM('Totals ELV'!V19:Y19),0)</f>
        <v>5</v>
      </c>
      <c r="X19" s="47">
        <f>ROUND(SUM('Totals CRP'!V19:Y19),0)</f>
        <v>7</v>
      </c>
      <c r="Y19" s="47">
        <f>ROUND(SUM('Totals DQN'!V19:Y19),0)</f>
        <v>0</v>
      </c>
      <c r="Z19" s="44">
        <v>17</v>
      </c>
      <c r="AA19" s="49">
        <f>SUM('Totals Baseline'!AA19:AD19)</f>
        <v>1074.5</v>
      </c>
      <c r="AB19" s="47">
        <f>SUM('Totals ELV'!AA19:AD19)</f>
        <v>410</v>
      </c>
      <c r="AC19" s="47">
        <f>SUM('Totals CRP'!AA19:AD19)</f>
        <v>390.44999999999993</v>
      </c>
      <c r="AD19" s="47">
        <f>SUM('Totals DQN'!AA19:AD19)</f>
        <v>273.5</v>
      </c>
      <c r="AF19" s="50"/>
      <c r="AG19" s="50"/>
      <c r="AH19" s="50"/>
    </row>
    <row r="20" spans="1:34" x14ac:dyDescent="0.3">
      <c r="A20" s="35">
        <v>18</v>
      </c>
      <c r="B20" s="41">
        <f>SUM('Totals Baseline'!B20:E20)</f>
        <v>0</v>
      </c>
      <c r="C20" s="42">
        <f>SUM('Totals ELV'!B20:E20)</f>
        <v>33</v>
      </c>
      <c r="D20" s="43">
        <f>SUM('Totals CRP'!B20:E20)</f>
        <v>38.9</v>
      </c>
      <c r="E20" s="43">
        <f>SUM('Totals DQN'!B20:E20)</f>
        <v>66</v>
      </c>
      <c r="F20" s="44">
        <v>18</v>
      </c>
      <c r="G20" s="45">
        <f>SUM('Totals Baseline'!G20:J20)</f>
        <v>178</v>
      </c>
      <c r="H20" s="42">
        <f>SUM('Totals ELV'!G20:J20)</f>
        <v>9.8000000000000007</v>
      </c>
      <c r="I20" s="43">
        <f>SUM('Totals CRP'!G20:J20)</f>
        <v>8.9</v>
      </c>
      <c r="J20" s="43">
        <f>SUM('Totals DQN'!G20:J20)</f>
        <v>0</v>
      </c>
      <c r="K20" s="44">
        <v>18</v>
      </c>
      <c r="L20" s="45">
        <f>SUM('Totals Baseline'!L20:O20)</f>
        <v>42</v>
      </c>
      <c r="M20" s="42">
        <f>SUM('Totals ELV'!L20:O20)</f>
        <v>25.5</v>
      </c>
      <c r="N20" s="43">
        <f>SUM('Totals CRP'!L20:O20)</f>
        <v>25.6</v>
      </c>
      <c r="O20" s="43">
        <f>SUM('Totals DQN'!L20:O20)</f>
        <v>14</v>
      </c>
      <c r="P20" s="44">
        <v>18</v>
      </c>
      <c r="Q20" s="46">
        <f>ROUND(SUM('Totals Baseline'!Q20:T20),0)</f>
        <v>0</v>
      </c>
      <c r="R20" s="47">
        <f>ROUND(SUM('Totals ELV'!Q20:T20),0)</f>
        <v>21</v>
      </c>
      <c r="S20" s="48">
        <f>ROUND(SUM('Totals CRP'!Q20:T20),0)</f>
        <v>19</v>
      </c>
      <c r="T20" s="48">
        <f>ROUND(SUM('Totals DQN'!Q20:T20),0)</f>
        <v>33</v>
      </c>
      <c r="U20" s="44">
        <v>18</v>
      </c>
      <c r="V20" s="46">
        <f>ROUND(SUM('Totals Baseline'!V20:Y20),0)</f>
        <v>178</v>
      </c>
      <c r="W20" s="47">
        <f>ROUND(SUM('Totals ELV'!V20:Y20),0)</f>
        <v>10</v>
      </c>
      <c r="X20" s="47">
        <f>ROUND(SUM('Totals CRP'!V20:Y20),0)</f>
        <v>9</v>
      </c>
      <c r="Y20" s="47">
        <f>ROUND(SUM('Totals DQN'!V20:Y20),0)</f>
        <v>0</v>
      </c>
      <c r="Z20" s="44">
        <v>18</v>
      </c>
      <c r="AA20" s="49">
        <f>SUM('Totals Baseline'!AA20:AD20)</f>
        <v>1252.5</v>
      </c>
      <c r="AB20" s="47">
        <f>SUM('Totals ELV'!AA20:AD20)</f>
        <v>441.25</v>
      </c>
      <c r="AC20" s="47">
        <f>SUM('Totals CRP'!AA20:AD20)</f>
        <v>418.79999999999995</v>
      </c>
      <c r="AD20" s="47">
        <f>SUM('Totals DQN'!AA20:AD20)</f>
        <v>306.5</v>
      </c>
      <c r="AF20" s="50"/>
      <c r="AG20" s="50"/>
      <c r="AH20" s="50"/>
    </row>
    <row r="21" spans="1:34" x14ac:dyDescent="0.3">
      <c r="A21" s="35">
        <v>19</v>
      </c>
      <c r="B21" s="41">
        <f>SUM('Totals Baseline'!B21:E21)</f>
        <v>0</v>
      </c>
      <c r="C21" s="42">
        <f>SUM('Totals ELV'!B21:E21)</f>
        <v>39</v>
      </c>
      <c r="D21" s="43">
        <f>SUM('Totals CRP'!B21:E21)</f>
        <v>48.1</v>
      </c>
      <c r="E21" s="43">
        <f>SUM('Totals DQN'!B21:E21)</f>
        <v>56</v>
      </c>
      <c r="F21" s="44">
        <v>19</v>
      </c>
      <c r="G21" s="45">
        <f>SUM('Totals Baseline'!G21:J21)</f>
        <v>136</v>
      </c>
      <c r="H21" s="42">
        <f>SUM('Totals ELV'!G21:J21)</f>
        <v>0.9</v>
      </c>
      <c r="I21" s="43">
        <f>SUM('Totals CRP'!G21:J21)</f>
        <v>1.8</v>
      </c>
      <c r="J21" s="43">
        <f>SUM('Totals DQN'!G21:J21)</f>
        <v>0</v>
      </c>
      <c r="K21" s="44">
        <v>19</v>
      </c>
      <c r="L21" s="45">
        <f>SUM('Totals Baseline'!L21:O21)</f>
        <v>40</v>
      </c>
      <c r="M21" s="42">
        <f>SUM('Totals ELV'!L21:O21)</f>
        <v>24.200000000000003</v>
      </c>
      <c r="N21" s="43">
        <f>SUM('Totals CRP'!L21:O21)</f>
        <v>24.4</v>
      </c>
      <c r="O21" s="43">
        <f>SUM('Totals DQN'!L21:O21)</f>
        <v>17</v>
      </c>
      <c r="P21" s="44">
        <v>19</v>
      </c>
      <c r="Q21" s="46">
        <f>ROUND(SUM('Totals Baseline'!Q21:T21),0)</f>
        <v>0</v>
      </c>
      <c r="R21" s="47">
        <f>ROUND(SUM('Totals ELV'!Q21:T21),0)</f>
        <v>26</v>
      </c>
      <c r="S21" s="48">
        <f>ROUND(SUM('Totals CRP'!Q21:T21),0)</f>
        <v>24</v>
      </c>
      <c r="T21" s="48">
        <f>ROUND(SUM('Totals DQN'!Q21:T21),0)</f>
        <v>28</v>
      </c>
      <c r="U21" s="44">
        <v>19</v>
      </c>
      <c r="V21" s="46">
        <f>ROUND(SUM('Totals Baseline'!V21:Y21),0)</f>
        <v>136</v>
      </c>
      <c r="W21" s="47">
        <f>ROUND(SUM('Totals ELV'!V21:Y21),0)</f>
        <v>1</v>
      </c>
      <c r="X21" s="47">
        <f>ROUND(SUM('Totals CRP'!V21:Y21),0)</f>
        <v>2</v>
      </c>
      <c r="Y21" s="47">
        <f>ROUND(SUM('Totals DQN'!V21:Y21),0)</f>
        <v>0</v>
      </c>
      <c r="Z21" s="44">
        <v>19</v>
      </c>
      <c r="AA21" s="49">
        <f>SUM('Totals Baseline'!AA21:AD21)</f>
        <v>1388.5</v>
      </c>
      <c r="AB21" s="47">
        <f>SUM('Totals ELV'!AA21:AD21)</f>
        <v>467.70000000000005</v>
      </c>
      <c r="AC21" s="47">
        <f>SUM('Totals CRP'!AA21:AD21)</f>
        <v>444.65</v>
      </c>
      <c r="AD21" s="47">
        <f>SUM('Totals DQN'!AA21:AD21)</f>
        <v>334.5</v>
      </c>
      <c r="AF21" s="50"/>
      <c r="AG21" s="50"/>
      <c r="AH21" s="50"/>
    </row>
    <row r="22" spans="1:34" x14ac:dyDescent="0.3">
      <c r="A22" s="35">
        <v>20</v>
      </c>
      <c r="B22" s="41">
        <f>SUM('Totals Baseline'!B22:E22)</f>
        <v>16</v>
      </c>
      <c r="C22" s="42">
        <f>SUM('Totals ELV'!B22:E22)</f>
        <v>52</v>
      </c>
      <c r="D22" s="43">
        <f>SUM('Totals CRP'!B22:E22)</f>
        <v>58.7</v>
      </c>
      <c r="E22" s="43">
        <f>SUM('Totals DQN'!B22:E22)</f>
        <v>42</v>
      </c>
      <c r="F22" s="44">
        <v>20</v>
      </c>
      <c r="G22" s="45">
        <f>SUM('Totals Baseline'!G22:J22)</f>
        <v>108</v>
      </c>
      <c r="H22" s="42">
        <f>SUM('Totals ELV'!G22:J22)</f>
        <v>0</v>
      </c>
      <c r="I22" s="43">
        <f>SUM('Totals CRP'!G22:J22)</f>
        <v>0</v>
      </c>
      <c r="J22" s="43">
        <f>SUM('Totals DQN'!G22:J22)</f>
        <v>0</v>
      </c>
      <c r="K22" s="44">
        <v>20</v>
      </c>
      <c r="L22" s="45">
        <f>SUM('Totals Baseline'!L22:O22)</f>
        <v>33</v>
      </c>
      <c r="M22" s="42">
        <f>SUM('Totals ELV'!L22:O22)</f>
        <v>28.7</v>
      </c>
      <c r="N22" s="43">
        <f>SUM('Totals CRP'!L22:O22)</f>
        <v>27.4</v>
      </c>
      <c r="O22" s="43">
        <f>SUM('Totals DQN'!L22:O22)</f>
        <v>25</v>
      </c>
      <c r="P22" s="44">
        <v>20</v>
      </c>
      <c r="Q22" s="46">
        <f>ROUND(SUM('Totals Baseline'!Q22:T22),0)</f>
        <v>8</v>
      </c>
      <c r="R22" s="47">
        <f>ROUND(SUM('Totals ELV'!Q22:T22),0)</f>
        <v>27</v>
      </c>
      <c r="S22" s="48">
        <f>ROUND(SUM('Totals CRP'!Q22:T22),0)</f>
        <v>29</v>
      </c>
      <c r="T22" s="48">
        <f>ROUND(SUM('Totals DQN'!Q22:T22),0)</f>
        <v>21</v>
      </c>
      <c r="U22" s="44">
        <v>20</v>
      </c>
      <c r="V22" s="46">
        <f>ROUND(SUM('Totals Baseline'!V22:Y22),0)</f>
        <v>108</v>
      </c>
      <c r="W22" s="47">
        <f>ROUND(SUM('Totals ELV'!V22:Y22),0)</f>
        <v>0</v>
      </c>
      <c r="X22" s="47">
        <f>ROUND(SUM('Totals CRP'!V22:Y22),0)</f>
        <v>0</v>
      </c>
      <c r="Y22" s="47">
        <f>ROUND(SUM('Totals DQN'!V22:Y22),0)</f>
        <v>0</v>
      </c>
      <c r="Z22" s="44">
        <v>20</v>
      </c>
      <c r="AA22" s="49">
        <f>SUM('Totals Baseline'!AA22:AD22)</f>
        <v>1504.5</v>
      </c>
      <c r="AB22" s="47">
        <f>SUM('Totals ELV'!AA22:AD22)</f>
        <v>494.95000000000005</v>
      </c>
      <c r="AC22" s="47">
        <f>SUM('Totals CRP'!AA22:AD22)</f>
        <v>474</v>
      </c>
      <c r="AD22" s="47">
        <f>SUM('Totals DQN'!AA22:AD22)</f>
        <v>355.5</v>
      </c>
      <c r="AF22" s="50"/>
      <c r="AG22" s="50"/>
      <c r="AH22" s="50"/>
    </row>
    <row r="23" spans="1:34" x14ac:dyDescent="0.3">
      <c r="A23" s="35">
        <v>21</v>
      </c>
      <c r="B23" s="41">
        <f>SUM('Totals Baseline'!B23:E23)</f>
        <v>47</v>
      </c>
      <c r="C23" s="42">
        <f>SUM('Totals ELV'!B23:E23)</f>
        <v>56</v>
      </c>
      <c r="D23" s="43">
        <f>SUM('Totals CRP'!B23:E23)</f>
        <v>54.2</v>
      </c>
      <c r="E23" s="43">
        <f>SUM('Totals DQN'!B23:E23)</f>
        <v>28</v>
      </c>
      <c r="F23" s="44">
        <v>21</v>
      </c>
      <c r="G23" s="45">
        <f>SUM('Totals Baseline'!G23:J23)</f>
        <v>84</v>
      </c>
      <c r="H23" s="42">
        <f>SUM('Totals ELV'!G23:J23)</f>
        <v>0</v>
      </c>
      <c r="I23" s="43">
        <f>SUM('Totals CRP'!G23:J23)</f>
        <v>0</v>
      </c>
      <c r="J23" s="43">
        <f>SUM('Totals DQN'!G23:J23)</f>
        <v>1</v>
      </c>
      <c r="K23" s="44">
        <v>21</v>
      </c>
      <c r="L23" s="45">
        <f>SUM('Totals Baseline'!L23:O23)</f>
        <v>31</v>
      </c>
      <c r="M23" s="42">
        <f>SUM('Totals ELV'!L23:O23)</f>
        <v>31.199999999999996</v>
      </c>
      <c r="N23" s="43">
        <f>SUM('Totals CRP'!L23:O23)</f>
        <v>34.1</v>
      </c>
      <c r="O23" s="43">
        <f>SUM('Totals DQN'!L23:O23)</f>
        <v>36</v>
      </c>
      <c r="P23" s="44">
        <v>21</v>
      </c>
      <c r="Q23" s="46">
        <f>ROUND(SUM('Totals Baseline'!Q23:T23),0)</f>
        <v>24</v>
      </c>
      <c r="R23" s="47">
        <f>ROUND(SUM('Totals ELV'!Q23:T23),0)</f>
        <v>27</v>
      </c>
      <c r="S23" s="48">
        <f>ROUND(SUM('Totals CRP'!Q23:T23),0)</f>
        <v>27</v>
      </c>
      <c r="T23" s="48">
        <f>ROUND(SUM('Totals DQN'!Q23:T23),0)</f>
        <v>14</v>
      </c>
      <c r="U23" s="44">
        <v>21</v>
      </c>
      <c r="V23" s="46">
        <f>ROUND(SUM('Totals Baseline'!V23:Y23),0)</f>
        <v>84</v>
      </c>
      <c r="W23" s="47">
        <f>ROUND(SUM('Totals ELV'!V23:Y23),0)</f>
        <v>0</v>
      </c>
      <c r="X23" s="47">
        <f>ROUND(SUM('Totals CRP'!V23:Y23),0)</f>
        <v>0</v>
      </c>
      <c r="Y23" s="47">
        <f>ROUND(SUM('Totals DQN'!V23:Y23),0)</f>
        <v>1</v>
      </c>
      <c r="Z23" s="44">
        <v>21</v>
      </c>
      <c r="AA23" s="49">
        <f>SUM('Totals Baseline'!AA23:AD23)</f>
        <v>1612</v>
      </c>
      <c r="AB23" s="47">
        <f>SUM('Totals ELV'!AA23:AD23)</f>
        <v>521.45000000000005</v>
      </c>
      <c r="AC23" s="47">
        <f>SUM('Totals CRP'!AA23:AD23)</f>
        <v>501.09999999999997</v>
      </c>
      <c r="AD23" s="47">
        <f>SUM('Totals DQN'!AA23:AD23)</f>
        <v>370.5</v>
      </c>
      <c r="AF23" s="50"/>
      <c r="AG23" s="50"/>
      <c r="AH23" s="50"/>
    </row>
    <row r="24" spans="1:34" x14ac:dyDescent="0.3">
      <c r="A24" s="35">
        <v>22</v>
      </c>
      <c r="B24" s="41">
        <f>SUM('Totals Baseline'!B24:E24)</f>
        <v>60</v>
      </c>
      <c r="C24" s="42">
        <f>SUM('Totals ELV'!B24:E24)</f>
        <v>51</v>
      </c>
      <c r="D24" s="43">
        <f>SUM('Totals CRP'!B24:E24)</f>
        <v>36.299999999999997</v>
      </c>
      <c r="E24" s="43">
        <f>SUM('Totals DQN'!B24:E24)</f>
        <v>12</v>
      </c>
      <c r="F24" s="44">
        <v>22</v>
      </c>
      <c r="G24" s="45">
        <f>SUM('Totals Baseline'!G24:J24)</f>
        <v>47</v>
      </c>
      <c r="H24" s="42">
        <f>SUM('Totals ELV'!G24:J24)</f>
        <v>1.4</v>
      </c>
      <c r="I24" s="43">
        <f>SUM('Totals CRP'!G24:J24)</f>
        <v>2.5999999999999996</v>
      </c>
      <c r="J24" s="43">
        <f>SUM('Totals DQN'!G24:J24)</f>
        <v>4</v>
      </c>
      <c r="K24" s="44">
        <v>22</v>
      </c>
      <c r="L24" s="45">
        <f>SUM('Totals Baseline'!L24:O24)</f>
        <v>30</v>
      </c>
      <c r="M24" s="42">
        <f>SUM('Totals ELV'!L24:O24)</f>
        <v>36.4</v>
      </c>
      <c r="N24" s="43">
        <f>SUM('Totals CRP'!L24:O24)</f>
        <v>39.4</v>
      </c>
      <c r="O24" s="43">
        <f>SUM('Totals DQN'!L24:O24)</f>
        <v>49</v>
      </c>
      <c r="P24" s="44">
        <v>22</v>
      </c>
      <c r="Q24" s="46">
        <f>ROUND(SUM('Totals Baseline'!Q24:T24),0)</f>
        <v>30</v>
      </c>
      <c r="R24" s="47">
        <f>ROUND(SUM('Totals ELV'!Q24:T24),0)</f>
        <v>19</v>
      </c>
      <c r="S24" s="48">
        <f>ROUND(SUM('Totals CRP'!Q24:T24),0)</f>
        <v>18</v>
      </c>
      <c r="T24" s="48">
        <f>ROUND(SUM('Totals DQN'!Q24:T24),0)</f>
        <v>6</v>
      </c>
      <c r="U24" s="44">
        <v>22</v>
      </c>
      <c r="V24" s="46">
        <f>ROUND(SUM('Totals Baseline'!V24:Y24),0)</f>
        <v>47</v>
      </c>
      <c r="W24" s="47">
        <f>ROUND(SUM('Totals ELV'!V24:Y24),0)</f>
        <v>1</v>
      </c>
      <c r="X24" s="47">
        <f>ROUND(SUM('Totals CRP'!V24:Y24),0)</f>
        <v>3</v>
      </c>
      <c r="Y24" s="47">
        <f>ROUND(SUM('Totals DQN'!V24:Y24),0)</f>
        <v>4</v>
      </c>
      <c r="Z24" s="44">
        <v>22</v>
      </c>
      <c r="AA24" s="49">
        <f>SUM('Totals Baseline'!AA24:AD24)</f>
        <v>1689</v>
      </c>
      <c r="AB24" s="47">
        <f>SUM('Totals ELV'!AA24:AD24)</f>
        <v>542.1</v>
      </c>
      <c r="AC24" s="47">
        <f>SUM('Totals CRP'!AA24:AD24)</f>
        <v>521.84999999999991</v>
      </c>
      <c r="AD24" s="47">
        <f>SUM('Totals DQN'!AA24:AD24)</f>
        <v>380.5</v>
      </c>
      <c r="AF24" s="50"/>
      <c r="AG24" s="50"/>
      <c r="AH24" s="50"/>
    </row>
    <row r="25" spans="1:34" x14ac:dyDescent="0.3">
      <c r="A25" s="35">
        <v>23</v>
      </c>
      <c r="B25" s="41">
        <f>SUM('Totals Baseline'!B25:E25)</f>
        <v>72</v>
      </c>
      <c r="C25" s="42">
        <f>SUM('Totals ELV'!B25:E25)</f>
        <v>35</v>
      </c>
      <c r="D25" s="43">
        <f>SUM('Totals CRP'!B25:E25)</f>
        <v>33.5</v>
      </c>
      <c r="E25" s="43">
        <f>SUM('Totals DQN'!B25:E25)</f>
        <v>3</v>
      </c>
      <c r="F25" s="44">
        <v>23</v>
      </c>
      <c r="G25" s="45">
        <f>SUM('Totals Baseline'!G25:J25)</f>
        <v>24</v>
      </c>
      <c r="H25" s="42">
        <f>SUM('Totals ELV'!G25:J25)</f>
        <v>4.8</v>
      </c>
      <c r="I25" s="43">
        <f>SUM('Totals CRP'!G25:J25)</f>
        <v>3.7</v>
      </c>
      <c r="J25" s="43">
        <f>SUM('Totals DQN'!G25:J25)</f>
        <v>15</v>
      </c>
      <c r="K25" s="44">
        <v>23</v>
      </c>
      <c r="L25" s="45">
        <f>SUM('Totals Baseline'!L25:O25)</f>
        <v>26</v>
      </c>
      <c r="M25" s="42">
        <f>SUM('Totals ELV'!L25:O25)</f>
        <v>34.6</v>
      </c>
      <c r="N25" s="43">
        <f>SUM('Totals CRP'!L25:O25)</f>
        <v>36.1</v>
      </c>
      <c r="O25" s="43">
        <f>SUM('Totals DQN'!L25:O25)</f>
        <v>58</v>
      </c>
      <c r="P25" s="44">
        <v>23</v>
      </c>
      <c r="Q25" s="46">
        <f>ROUND(SUM('Totals Baseline'!Q25:T25),0)</f>
        <v>36</v>
      </c>
      <c r="R25" s="47">
        <f>ROUND(SUM('Totals ELV'!Q25:T25),0)</f>
        <v>19</v>
      </c>
      <c r="S25" s="48">
        <f>ROUND(SUM('Totals CRP'!Q25:T25),0)</f>
        <v>17</v>
      </c>
      <c r="T25" s="48">
        <f>ROUND(SUM('Totals DQN'!Q25:T25),0)</f>
        <v>2</v>
      </c>
      <c r="U25" s="44">
        <v>23</v>
      </c>
      <c r="V25" s="46">
        <f>ROUND(SUM('Totals Baseline'!V25:Y25),0)</f>
        <v>24</v>
      </c>
      <c r="W25" s="47">
        <f>ROUND(SUM('Totals ELV'!V25:Y25),0)</f>
        <v>5</v>
      </c>
      <c r="X25" s="47">
        <f>ROUND(SUM('Totals CRP'!V25:Y25),0)</f>
        <v>4</v>
      </c>
      <c r="Y25" s="47">
        <f>ROUND(SUM('Totals DQN'!V25:Y25),0)</f>
        <v>15</v>
      </c>
      <c r="Z25" s="44">
        <v>23</v>
      </c>
      <c r="AA25" s="49">
        <f>SUM('Totals Baseline'!AA25:AD25)</f>
        <v>1749</v>
      </c>
      <c r="AB25" s="47">
        <f>SUM('Totals ELV'!AA25:AD25)</f>
        <v>565.75</v>
      </c>
      <c r="AC25" s="47">
        <f>SUM('Totals CRP'!AA25:AD25)</f>
        <v>542.29999999999995</v>
      </c>
      <c r="AD25" s="47">
        <f>SUM('Totals DQN'!AA25:AD25)</f>
        <v>397</v>
      </c>
      <c r="AF25" s="50"/>
      <c r="AG25" s="50"/>
      <c r="AH25" s="50"/>
    </row>
    <row r="26" spans="1:34" x14ac:dyDescent="0.3">
      <c r="A26" s="35">
        <v>24</v>
      </c>
      <c r="B26" s="41">
        <f>SUM('Totals Baseline'!B26:E26)</f>
        <v>77</v>
      </c>
      <c r="C26" s="42">
        <f>SUM('Totals ELV'!B26:E26)</f>
        <v>30</v>
      </c>
      <c r="D26" s="43">
        <f>SUM('Totals CRP'!B26:E26)</f>
        <v>40.9</v>
      </c>
      <c r="E26" s="43">
        <f>SUM('Totals DQN'!B26:E26)</f>
        <v>0</v>
      </c>
      <c r="F26" s="44">
        <v>24</v>
      </c>
      <c r="G26" s="45">
        <f>SUM('Totals Baseline'!G26:J26)</f>
        <v>0</v>
      </c>
      <c r="H26" s="42">
        <f>SUM('Totals ELV'!G26:J26)</f>
        <v>4.8</v>
      </c>
      <c r="I26" s="43">
        <f>SUM('Totals CRP'!G26:J26)</f>
        <v>5.9</v>
      </c>
      <c r="J26" s="43">
        <f>SUM('Totals DQN'!G26:J26)</f>
        <v>25</v>
      </c>
      <c r="K26" s="44">
        <v>24</v>
      </c>
      <c r="L26" s="45">
        <f>SUM('Totals Baseline'!L26:O26)</f>
        <v>22</v>
      </c>
      <c r="M26" s="42">
        <f>SUM('Totals ELV'!L26:O26)</f>
        <v>24.299999999999997</v>
      </c>
      <c r="N26" s="43">
        <f>SUM('Totals CRP'!L26:O26)</f>
        <v>27.5</v>
      </c>
      <c r="O26" s="43">
        <f>SUM('Totals DQN'!L26:O26)</f>
        <v>62</v>
      </c>
      <c r="P26" s="44">
        <v>24</v>
      </c>
      <c r="Q26" s="46">
        <f>ROUND(SUM('Totals Baseline'!Q26:T26),0)</f>
        <v>39</v>
      </c>
      <c r="R26" s="47">
        <f>ROUND(SUM('Totals ELV'!Q26:T26),0)</f>
        <v>20</v>
      </c>
      <c r="S26" s="48">
        <f>ROUND(SUM('Totals CRP'!Q26:T26),0)</f>
        <v>20</v>
      </c>
      <c r="T26" s="48">
        <f>ROUND(SUM('Totals DQN'!Q26:T26),0)</f>
        <v>0</v>
      </c>
      <c r="U26" s="44">
        <v>24</v>
      </c>
      <c r="V26" s="46">
        <f>ROUND(SUM('Totals Baseline'!V26:Y26),0)</f>
        <v>0</v>
      </c>
      <c r="W26" s="47">
        <f>ROUND(SUM('Totals ELV'!V26:Y26),0)</f>
        <v>5</v>
      </c>
      <c r="X26" s="47">
        <f>ROUND(SUM('Totals CRP'!V26:Y26),0)</f>
        <v>6</v>
      </c>
      <c r="Y26" s="47">
        <f>ROUND(SUM('Totals DQN'!V26:Y26),0)</f>
        <v>25</v>
      </c>
      <c r="Z26" s="44">
        <v>24</v>
      </c>
      <c r="AA26" s="49">
        <f>SUM('Totals Baseline'!AA26:AD26)</f>
        <v>1787.5</v>
      </c>
      <c r="AB26" s="47">
        <f>SUM('Totals ELV'!AA26:AD26)</f>
        <v>590.75</v>
      </c>
      <c r="AC26" s="47">
        <f>SUM('Totals CRP'!AA26:AD26)</f>
        <v>568.65000000000009</v>
      </c>
      <c r="AD26" s="47">
        <f>SUM('Totals DQN'!AA26:AD26)</f>
        <v>422</v>
      </c>
      <c r="AF26" s="50"/>
      <c r="AG26" s="50"/>
      <c r="AH26" s="50"/>
    </row>
    <row r="27" spans="1:34" x14ac:dyDescent="0.3">
      <c r="A27" s="35">
        <v>25</v>
      </c>
      <c r="B27" s="41">
        <f>SUM('Totals Baseline'!B27:E27)</f>
        <v>77</v>
      </c>
      <c r="C27" s="42">
        <f>SUM('Totals ELV'!B27:E27)</f>
        <v>44</v>
      </c>
      <c r="D27" s="43">
        <f>SUM('Totals CRP'!B27:E27)</f>
        <v>51.199999999999996</v>
      </c>
      <c r="E27" s="43">
        <f>SUM('Totals DQN'!B27:E27)</f>
        <v>0</v>
      </c>
      <c r="F27" s="44">
        <v>25</v>
      </c>
      <c r="G27" s="45">
        <f>SUM('Totals Baseline'!G27:J27)</f>
        <v>0</v>
      </c>
      <c r="H27" s="42">
        <f>SUM('Totals ELV'!G27:J27)</f>
        <v>2.7</v>
      </c>
      <c r="I27" s="43">
        <f>SUM('Totals CRP'!G27:J27)</f>
        <v>1</v>
      </c>
      <c r="J27" s="43">
        <f>SUM('Totals DQN'!G27:J27)</f>
        <v>34</v>
      </c>
      <c r="K27" s="44">
        <v>25</v>
      </c>
      <c r="L27" s="45">
        <f>SUM('Totals Baseline'!L27:O27)</f>
        <v>17</v>
      </c>
      <c r="M27" s="42">
        <f>SUM('Totals ELV'!L27:O27)</f>
        <v>26.6</v>
      </c>
      <c r="N27" s="43">
        <f>SUM('Totals CRP'!L27:O27)</f>
        <v>23.799999999999997</v>
      </c>
      <c r="O27" s="43">
        <f>SUM('Totals DQN'!L27:O27)</f>
        <v>61</v>
      </c>
      <c r="P27" s="44">
        <v>25</v>
      </c>
      <c r="Q27" s="46">
        <f>ROUND(SUM('Totals Baseline'!Q27:T27),0)</f>
        <v>39</v>
      </c>
      <c r="R27" s="47">
        <f>ROUND(SUM('Totals ELV'!Q27:T27),0)</f>
        <v>25</v>
      </c>
      <c r="S27" s="48">
        <f>ROUND(SUM('Totals CRP'!Q27:T27),0)</f>
        <v>26</v>
      </c>
      <c r="T27" s="48">
        <f>ROUND(SUM('Totals DQN'!Q27:T27),0)</f>
        <v>0</v>
      </c>
      <c r="U27" s="44">
        <v>25</v>
      </c>
      <c r="V27" s="46">
        <f>ROUND(SUM('Totals Baseline'!V27:Y27),0)</f>
        <v>0</v>
      </c>
      <c r="W27" s="47">
        <f>ROUND(SUM('Totals ELV'!V27:Y27),0)</f>
        <v>3</v>
      </c>
      <c r="X27" s="47">
        <f>ROUND(SUM('Totals CRP'!V27:Y27),0)</f>
        <v>1</v>
      </c>
      <c r="Y27" s="47">
        <f>ROUND(SUM('Totals DQN'!V27:Y27),0)</f>
        <v>34</v>
      </c>
      <c r="Z27" s="44">
        <v>25</v>
      </c>
      <c r="AA27" s="49">
        <f>SUM('Totals Baseline'!AA27:AD27)</f>
        <v>1826</v>
      </c>
      <c r="AB27" s="47">
        <f>SUM('Totals ELV'!AA27:AD27)</f>
        <v>618.90000000000009</v>
      </c>
      <c r="AC27" s="47">
        <f>SUM('Totals CRP'!AA27:AD27)</f>
        <v>595.25</v>
      </c>
      <c r="AD27" s="47">
        <f>SUM('Totals DQN'!AA27:AD27)</f>
        <v>456</v>
      </c>
      <c r="AF27" s="50"/>
      <c r="AG27" s="50"/>
      <c r="AH27" s="50"/>
    </row>
    <row r="28" spans="1:34" x14ac:dyDescent="0.3">
      <c r="A28" s="35">
        <v>26</v>
      </c>
      <c r="B28" s="41">
        <f>SUM('Totals Baseline'!B28:E28)</f>
        <v>78</v>
      </c>
      <c r="C28" s="42">
        <f>SUM('Totals ELV'!B28:E28)</f>
        <v>46</v>
      </c>
      <c r="D28" s="43">
        <f>SUM('Totals CRP'!B28:E28)</f>
        <v>56</v>
      </c>
      <c r="E28" s="43">
        <f>SUM('Totals DQN'!B28:E28)</f>
        <v>2</v>
      </c>
      <c r="F28" s="44">
        <v>26</v>
      </c>
      <c r="G28" s="45">
        <f>SUM('Totals Baseline'!G28:J28)</f>
        <v>0</v>
      </c>
      <c r="H28" s="42">
        <f>SUM('Totals ELV'!G28:J28)</f>
        <v>1.3</v>
      </c>
      <c r="I28" s="43">
        <f>SUM('Totals CRP'!G28:J28)</f>
        <v>0</v>
      </c>
      <c r="J28" s="43">
        <f>SUM('Totals DQN'!G28:J28)</f>
        <v>32</v>
      </c>
      <c r="K28" s="44">
        <v>26</v>
      </c>
      <c r="L28" s="45">
        <f>SUM('Totals Baseline'!L28:O28)</f>
        <v>17</v>
      </c>
      <c r="M28" s="42">
        <f>SUM('Totals ELV'!L28:O28)</f>
        <v>28.700000000000003</v>
      </c>
      <c r="N28" s="43">
        <f>SUM('Totals CRP'!L28:O28)</f>
        <v>29.200000000000003</v>
      </c>
      <c r="O28" s="43">
        <f>SUM('Totals DQN'!L28:O28)</f>
        <v>56</v>
      </c>
      <c r="P28" s="44">
        <v>26</v>
      </c>
      <c r="Q28" s="46">
        <f>ROUND(SUM('Totals Baseline'!Q28:T28),0)</f>
        <v>39</v>
      </c>
      <c r="R28" s="47">
        <f>ROUND(SUM('Totals ELV'!Q28:T28),0)</f>
        <v>26</v>
      </c>
      <c r="S28" s="48">
        <f>ROUND(SUM('Totals CRP'!Q28:T28),0)</f>
        <v>28</v>
      </c>
      <c r="T28" s="48">
        <f>ROUND(SUM('Totals DQN'!Q28:T28),0)</f>
        <v>1</v>
      </c>
      <c r="U28" s="44">
        <v>26</v>
      </c>
      <c r="V28" s="46">
        <f>ROUND(SUM('Totals Baseline'!V28:Y28),0)</f>
        <v>0</v>
      </c>
      <c r="W28" s="47">
        <f>ROUND(SUM('Totals ELV'!V28:Y28),0)</f>
        <v>1</v>
      </c>
      <c r="X28" s="47">
        <f>ROUND(SUM('Totals CRP'!V28:Y28),0)</f>
        <v>0</v>
      </c>
      <c r="Y28" s="47">
        <f>ROUND(SUM('Totals DQN'!V28:Y28),0)</f>
        <v>32</v>
      </c>
      <c r="Z28" s="44">
        <v>26</v>
      </c>
      <c r="AA28" s="49">
        <f>SUM('Totals Baseline'!AA28:AD28)</f>
        <v>1865</v>
      </c>
      <c r="AB28" s="47">
        <f>SUM('Totals ELV'!AA28:AD28)</f>
        <v>646.30000000000007</v>
      </c>
      <c r="AC28" s="47">
        <f>SUM('Totals CRP'!AA28:AD28)</f>
        <v>623.25</v>
      </c>
      <c r="AD28" s="47">
        <f>SUM('Totals DQN'!AA28:AD28)</f>
        <v>489</v>
      </c>
      <c r="AF28" s="50"/>
      <c r="AG28" s="50"/>
      <c r="AH28" s="50"/>
    </row>
    <row r="29" spans="1:34" x14ac:dyDescent="0.3">
      <c r="A29" s="35">
        <v>27</v>
      </c>
      <c r="B29" s="41">
        <f>SUM('Totals Baseline'!B29:E29)</f>
        <v>75</v>
      </c>
      <c r="C29" s="42">
        <f>SUM('Totals ELV'!B29:E29)</f>
        <v>52</v>
      </c>
      <c r="D29" s="43">
        <f>SUM('Totals CRP'!B29:E29)</f>
        <v>49.8</v>
      </c>
      <c r="E29" s="43">
        <f>SUM('Totals DQN'!B29:E29)</f>
        <v>4</v>
      </c>
      <c r="F29" s="44">
        <v>27</v>
      </c>
      <c r="G29" s="45">
        <f>SUM('Totals Baseline'!G29:J29)</f>
        <v>0</v>
      </c>
      <c r="H29" s="42">
        <f>SUM('Totals ELV'!G29:J29)</f>
        <v>0.9</v>
      </c>
      <c r="I29" s="43">
        <f>SUM('Totals CRP'!G29:J29)</f>
        <v>0.2</v>
      </c>
      <c r="J29" s="43">
        <f>SUM('Totals DQN'!G29:J29)</f>
        <v>28</v>
      </c>
      <c r="K29" s="44">
        <v>27</v>
      </c>
      <c r="L29" s="45">
        <f>SUM('Totals Baseline'!L29:O29)</f>
        <v>16</v>
      </c>
      <c r="M29" s="42">
        <f>SUM('Totals ELV'!L29:O29)</f>
        <v>29.1</v>
      </c>
      <c r="N29" s="43">
        <f>SUM('Totals CRP'!L29:O29)</f>
        <v>33.199999999999996</v>
      </c>
      <c r="O29" s="43">
        <f>SUM('Totals DQN'!L29:O29)</f>
        <v>53</v>
      </c>
      <c r="P29" s="44">
        <v>27</v>
      </c>
      <c r="Q29" s="46">
        <f>ROUND(SUM('Totals Baseline'!Q29:T29),0)</f>
        <v>38</v>
      </c>
      <c r="R29" s="47">
        <f>ROUND(SUM('Totals ELV'!Q29:T29),0)</f>
        <v>23</v>
      </c>
      <c r="S29" s="48">
        <f>ROUND(SUM('Totals CRP'!Q29:T29),0)</f>
        <v>25</v>
      </c>
      <c r="T29" s="48">
        <f>ROUND(SUM('Totals DQN'!Q29:T29),0)</f>
        <v>2</v>
      </c>
      <c r="U29" s="44">
        <v>27</v>
      </c>
      <c r="V29" s="46">
        <f>ROUND(SUM('Totals Baseline'!V29:Y29),0)</f>
        <v>0</v>
      </c>
      <c r="W29" s="47">
        <f>ROUND(SUM('Totals ELV'!V29:Y29),0)</f>
        <v>1</v>
      </c>
      <c r="X29" s="47">
        <f>ROUND(SUM('Totals CRP'!V29:Y29),0)</f>
        <v>0</v>
      </c>
      <c r="Y29" s="47">
        <f>ROUND(SUM('Totals DQN'!V29:Y29),0)</f>
        <v>28</v>
      </c>
      <c r="Z29" s="44">
        <v>27</v>
      </c>
      <c r="AA29" s="49">
        <f>SUM('Totals Baseline'!AA29:AD29)</f>
        <v>1902.5</v>
      </c>
      <c r="AB29" s="47">
        <f>SUM('Totals ELV'!AA29:AD29)</f>
        <v>670.30000000000007</v>
      </c>
      <c r="AC29" s="47">
        <f>SUM('Totals CRP'!AA29:AD29)</f>
        <v>648.35</v>
      </c>
      <c r="AD29" s="47">
        <f>SUM('Totals DQN'!AA29:AD29)</f>
        <v>519</v>
      </c>
      <c r="AF29" s="50"/>
      <c r="AG29" s="50"/>
      <c r="AH29" s="50"/>
    </row>
    <row r="30" spans="1:34" x14ac:dyDescent="0.3">
      <c r="A30" s="35">
        <v>28</v>
      </c>
      <c r="B30" s="41">
        <f>SUM('Totals Baseline'!B30:E30)</f>
        <v>68</v>
      </c>
      <c r="C30" s="42">
        <f>SUM('Totals ELV'!B30:E30)</f>
        <v>56</v>
      </c>
      <c r="D30" s="43">
        <f>SUM('Totals CRP'!B30:E30)</f>
        <v>35.400000000000006</v>
      </c>
      <c r="E30" s="43">
        <f>SUM('Totals DQN'!B30:E30)</f>
        <v>5</v>
      </c>
      <c r="F30" s="44">
        <v>28</v>
      </c>
      <c r="G30" s="45">
        <f>SUM('Totals Baseline'!G30:J30)</f>
        <v>0</v>
      </c>
      <c r="H30" s="42">
        <f>SUM('Totals ELV'!G30:J30)</f>
        <v>1</v>
      </c>
      <c r="I30" s="43">
        <f>SUM('Totals CRP'!G30:J30)</f>
        <v>1.6</v>
      </c>
      <c r="J30" s="43">
        <f>SUM('Totals DQN'!G30:J30)</f>
        <v>16</v>
      </c>
      <c r="K30" s="44">
        <v>28</v>
      </c>
      <c r="L30" s="45">
        <f>SUM('Totals Baseline'!L30:O30)</f>
        <v>15</v>
      </c>
      <c r="M30" s="42">
        <f>SUM('Totals ELV'!L30:O30)</f>
        <v>38.900000000000006</v>
      </c>
      <c r="N30" s="43">
        <f>SUM('Totals CRP'!L30:O30)</f>
        <v>39.9</v>
      </c>
      <c r="O30" s="43">
        <f>SUM('Totals DQN'!L30:O30)</f>
        <v>45</v>
      </c>
      <c r="P30" s="44">
        <v>28</v>
      </c>
      <c r="Q30" s="46">
        <f>ROUND(SUM('Totals Baseline'!Q30:T30),0)</f>
        <v>34</v>
      </c>
      <c r="R30" s="47">
        <f>ROUND(SUM('Totals ELV'!Q30:T30),0)</f>
        <v>21</v>
      </c>
      <c r="S30" s="48">
        <f>ROUND(SUM('Totals CRP'!Q30:T30),0)</f>
        <v>18</v>
      </c>
      <c r="T30" s="48">
        <f>ROUND(SUM('Totals DQN'!Q30:T30),0)</f>
        <v>3</v>
      </c>
      <c r="U30" s="44">
        <v>28</v>
      </c>
      <c r="V30" s="46">
        <f>ROUND(SUM('Totals Baseline'!V30:Y30),0)</f>
        <v>0</v>
      </c>
      <c r="W30" s="47">
        <f>ROUND(SUM('Totals ELV'!V30:Y30),0)</f>
        <v>1</v>
      </c>
      <c r="X30" s="47">
        <f>ROUND(SUM('Totals CRP'!V30:Y30),0)</f>
        <v>2</v>
      </c>
      <c r="Y30" s="47">
        <f>ROUND(SUM('Totals DQN'!V30:Y30),0)</f>
        <v>16</v>
      </c>
      <c r="Z30" s="44">
        <v>28</v>
      </c>
      <c r="AA30" s="49">
        <f>SUM('Totals Baseline'!AA30:AD30)</f>
        <v>1936.5</v>
      </c>
      <c r="AB30" s="47">
        <f>SUM('Totals ELV'!AA30:AD30)</f>
        <v>692.75</v>
      </c>
      <c r="AC30" s="47">
        <f>SUM('Totals CRP'!AA30:AD30)</f>
        <v>667.65</v>
      </c>
      <c r="AD30" s="47">
        <f>SUM('Totals DQN'!AA30:AD30)</f>
        <v>537.5</v>
      </c>
      <c r="AF30" s="50"/>
      <c r="AG30" s="50"/>
      <c r="AH30" s="50"/>
    </row>
    <row r="31" spans="1:34" x14ac:dyDescent="0.3">
      <c r="A31" s="35">
        <v>29</v>
      </c>
      <c r="B31" s="41">
        <f>SUM('Totals Baseline'!B31:E31)</f>
        <v>62</v>
      </c>
      <c r="C31" s="42">
        <f>SUM('Totals ELV'!B31:E31)</f>
        <v>30</v>
      </c>
      <c r="D31" s="43">
        <f>SUM('Totals CRP'!B31:E31)</f>
        <v>35.700000000000003</v>
      </c>
      <c r="E31" s="43">
        <f>SUM('Totals DQN'!B31:E31)</f>
        <v>12</v>
      </c>
      <c r="F31" s="44">
        <v>29</v>
      </c>
      <c r="G31" s="45">
        <f>SUM('Totals Baseline'!G31:J31)</f>
        <v>0</v>
      </c>
      <c r="H31" s="42">
        <f>SUM('Totals ELV'!G31:J31)</f>
        <v>7.4</v>
      </c>
      <c r="I31" s="43">
        <f>SUM('Totals CRP'!G31:J31)</f>
        <v>6.4</v>
      </c>
      <c r="J31" s="43">
        <f>SUM('Totals DQN'!G31:J31)</f>
        <v>3</v>
      </c>
      <c r="K31" s="44">
        <v>29</v>
      </c>
      <c r="L31" s="45">
        <f>SUM('Totals Baseline'!L31:O31)</f>
        <v>19</v>
      </c>
      <c r="M31" s="42">
        <f>SUM('Totals ELV'!L31:O31)</f>
        <v>29.299999999999997</v>
      </c>
      <c r="N31" s="43">
        <f>SUM('Totals CRP'!L31:O31)</f>
        <v>33.5</v>
      </c>
      <c r="O31" s="43">
        <f>SUM('Totals DQN'!L31:O31)</f>
        <v>34</v>
      </c>
      <c r="P31" s="44">
        <v>29</v>
      </c>
      <c r="Q31" s="46">
        <f>ROUND(SUM('Totals Baseline'!Q31:T31),0)</f>
        <v>31</v>
      </c>
      <c r="R31" s="47">
        <f>ROUND(SUM('Totals ELV'!Q31:T31),0)</f>
        <v>19</v>
      </c>
      <c r="S31" s="48">
        <f>ROUND(SUM('Totals CRP'!Q31:T31),0)</f>
        <v>18</v>
      </c>
      <c r="T31" s="48">
        <f>ROUND(SUM('Totals DQN'!Q31:T31),0)</f>
        <v>6</v>
      </c>
      <c r="U31" s="44">
        <v>29</v>
      </c>
      <c r="V31" s="46">
        <f>ROUND(SUM('Totals Baseline'!V31:Y31),0)</f>
        <v>0</v>
      </c>
      <c r="W31" s="47">
        <f>ROUND(SUM('Totals ELV'!V31:Y31),0)</f>
        <v>7</v>
      </c>
      <c r="X31" s="47">
        <f>ROUND(SUM('Totals CRP'!V31:Y31),0)</f>
        <v>6</v>
      </c>
      <c r="Y31" s="47">
        <f>ROUND(SUM('Totals DQN'!V31:Y31),0)</f>
        <v>3</v>
      </c>
      <c r="Z31" s="44">
        <v>29</v>
      </c>
      <c r="AA31" s="49">
        <f>SUM('Totals Baseline'!AA31:AD31)</f>
        <v>1967.5</v>
      </c>
      <c r="AB31" s="47">
        <f>SUM('Totals ELV'!AA31:AD31)</f>
        <v>719.10000000000014</v>
      </c>
      <c r="AC31" s="47">
        <f>SUM('Totals CRP'!AA31:AD31)</f>
        <v>691.9</v>
      </c>
      <c r="AD31" s="47">
        <f>SUM('Totals DQN'!AA31:AD31)</f>
        <v>546.5</v>
      </c>
      <c r="AF31" s="50"/>
      <c r="AG31" s="50"/>
      <c r="AH31" s="50"/>
    </row>
    <row r="32" spans="1:34" x14ac:dyDescent="0.3">
      <c r="A32" s="35">
        <v>30</v>
      </c>
      <c r="B32" s="41">
        <f>SUM('Totals Baseline'!B32:E32)</f>
        <v>52</v>
      </c>
      <c r="C32" s="42">
        <f>SUM('Totals ELV'!B32:E32)</f>
        <v>36</v>
      </c>
      <c r="D32" s="43">
        <f>SUM('Totals CRP'!B32:E32)</f>
        <v>40.400000000000006</v>
      </c>
      <c r="E32" s="43">
        <f>SUM('Totals DQN'!B32:E32)</f>
        <v>36</v>
      </c>
      <c r="F32" s="44">
        <v>30</v>
      </c>
      <c r="G32" s="45">
        <f>SUM('Totals Baseline'!G32:J32)</f>
        <v>1</v>
      </c>
      <c r="H32" s="42">
        <f>SUM('Totals ELV'!G32:J32)</f>
        <v>1.9</v>
      </c>
      <c r="I32" s="43">
        <f>SUM('Totals CRP'!G32:J32)</f>
        <v>3</v>
      </c>
      <c r="J32" s="43">
        <f>SUM('Totals DQN'!G32:J32)</f>
        <v>0</v>
      </c>
      <c r="K32" s="44">
        <v>30</v>
      </c>
      <c r="L32" s="45">
        <f>SUM('Totals Baseline'!L32:O32)</f>
        <v>23</v>
      </c>
      <c r="M32" s="42">
        <f>SUM('Totals ELV'!L32:O32)</f>
        <v>25.699999999999996</v>
      </c>
      <c r="N32" s="43">
        <f>SUM('Totals CRP'!L32:O32)</f>
        <v>24.5</v>
      </c>
      <c r="O32" s="43">
        <f>SUM('Totals DQN'!L32:O32)</f>
        <v>22</v>
      </c>
      <c r="P32" s="44">
        <v>30</v>
      </c>
      <c r="Q32" s="46">
        <f>ROUND(SUM('Totals Baseline'!Q32:T32),0)</f>
        <v>26</v>
      </c>
      <c r="R32" s="47">
        <f>ROUND(SUM('Totals ELV'!Q32:T32),0)</f>
        <v>21</v>
      </c>
      <c r="S32" s="48">
        <f>ROUND(SUM('Totals CRP'!Q32:T32),0)</f>
        <v>20</v>
      </c>
      <c r="T32" s="48">
        <f>ROUND(SUM('Totals DQN'!Q32:T32),0)</f>
        <v>18</v>
      </c>
      <c r="U32" s="44">
        <v>30</v>
      </c>
      <c r="V32" s="46">
        <f>ROUND(SUM('Totals Baseline'!V32:Y32),0)</f>
        <v>1</v>
      </c>
      <c r="W32" s="47">
        <f>ROUND(SUM('Totals ELV'!V32:Y32),0)</f>
        <v>2</v>
      </c>
      <c r="X32" s="47">
        <f>ROUND(SUM('Totals CRP'!V32:Y32),0)</f>
        <v>3</v>
      </c>
      <c r="Y32" s="47">
        <f>ROUND(SUM('Totals DQN'!V32:Y32),0)</f>
        <v>0</v>
      </c>
      <c r="Z32" s="44">
        <v>30</v>
      </c>
      <c r="AA32" s="49">
        <f>SUM('Totals Baseline'!AA32:AD32)</f>
        <v>1994.5</v>
      </c>
      <c r="AB32" s="47">
        <f>SUM('Totals ELV'!AA32:AD32)</f>
        <v>742.05000000000007</v>
      </c>
      <c r="AC32" s="47">
        <f>SUM('Totals CRP'!AA32:AD32)</f>
        <v>715.09999999999991</v>
      </c>
      <c r="AD32" s="47">
        <f>SUM('Totals DQN'!AA32:AD32)</f>
        <v>564.5</v>
      </c>
      <c r="AF32" s="50"/>
      <c r="AG32" s="50"/>
      <c r="AH32" s="50"/>
    </row>
    <row r="33" spans="1:34" x14ac:dyDescent="0.3">
      <c r="A33" s="35">
        <v>31</v>
      </c>
      <c r="B33" s="41">
        <f>SUM('Totals Baseline'!B33:E33)</f>
        <v>42</v>
      </c>
      <c r="C33" s="42">
        <f>SUM('Totals ELV'!B33:E33)</f>
        <v>38</v>
      </c>
      <c r="D33" s="43">
        <f>SUM('Totals CRP'!B33:E33)</f>
        <v>51.099999999999994</v>
      </c>
      <c r="E33" s="43">
        <f>SUM('Totals DQN'!B33:E33)</f>
        <v>58</v>
      </c>
      <c r="F33" s="44">
        <v>31</v>
      </c>
      <c r="G33" s="45">
        <f>SUM('Totals Baseline'!G33:J33)</f>
        <v>7</v>
      </c>
      <c r="H33" s="42">
        <f>SUM('Totals ELV'!G33:J33)</f>
        <v>0.3</v>
      </c>
      <c r="I33" s="43">
        <f>SUM('Totals CRP'!G33:J33)</f>
        <v>0</v>
      </c>
      <c r="J33" s="43">
        <f>SUM('Totals DQN'!G33:J33)</f>
        <v>0</v>
      </c>
      <c r="K33" s="44">
        <v>31</v>
      </c>
      <c r="L33" s="45">
        <f>SUM('Totals Baseline'!L33:O33)</f>
        <v>26</v>
      </c>
      <c r="M33" s="42">
        <f>SUM('Totals ELV'!L33:O33)</f>
        <v>29.1</v>
      </c>
      <c r="N33" s="43">
        <f>SUM('Totals CRP'!L33:O33)</f>
        <v>26.5</v>
      </c>
      <c r="O33" s="43">
        <f>SUM('Totals DQN'!L33:O33)</f>
        <v>9</v>
      </c>
      <c r="P33" s="44">
        <v>31</v>
      </c>
      <c r="Q33" s="46">
        <f>ROUND(SUM('Totals Baseline'!Q33:T33),0)</f>
        <v>21</v>
      </c>
      <c r="R33" s="47">
        <f>ROUND(SUM('Totals ELV'!Q33:T33),0)</f>
        <v>25</v>
      </c>
      <c r="S33" s="48">
        <f>ROUND(SUM('Totals CRP'!Q33:T33),0)</f>
        <v>26</v>
      </c>
      <c r="T33" s="48">
        <f>ROUND(SUM('Totals DQN'!Q33:T33),0)</f>
        <v>29</v>
      </c>
      <c r="U33" s="44">
        <v>31</v>
      </c>
      <c r="V33" s="46">
        <f>ROUND(SUM('Totals Baseline'!V33:Y33),0)</f>
        <v>7</v>
      </c>
      <c r="W33" s="47">
        <f>ROUND(SUM('Totals ELV'!V33:Y33),0)</f>
        <v>0</v>
      </c>
      <c r="X33" s="47">
        <f>ROUND(SUM('Totals CRP'!V33:Y33),0)</f>
        <v>0</v>
      </c>
      <c r="Y33" s="47">
        <f>ROUND(SUM('Totals DQN'!V33:Y33),0)</f>
        <v>0</v>
      </c>
      <c r="Z33" s="44">
        <v>31</v>
      </c>
      <c r="AA33" s="49">
        <f>SUM('Totals Baseline'!AA33:AD33)</f>
        <v>2022.5</v>
      </c>
      <c r="AB33" s="47">
        <f>SUM('Totals ELV'!AA33:AD33)</f>
        <v>767.50000000000011</v>
      </c>
      <c r="AC33" s="47">
        <f>SUM('Totals CRP'!AA33:AD33)</f>
        <v>740.65</v>
      </c>
      <c r="AD33" s="47">
        <f>SUM('Totals DQN'!AA33:AD33)</f>
        <v>593.5</v>
      </c>
      <c r="AF33" s="50"/>
      <c r="AG33" s="50"/>
      <c r="AH33" s="50"/>
    </row>
    <row r="34" spans="1:34" x14ac:dyDescent="0.3">
      <c r="A34" s="35">
        <v>32</v>
      </c>
      <c r="B34" s="41">
        <f>SUM('Totals Baseline'!B34:E34)</f>
        <v>32</v>
      </c>
      <c r="C34" s="42">
        <f>SUM('Totals ELV'!B34:E34)</f>
        <v>52</v>
      </c>
      <c r="D34" s="43">
        <f>SUM('Totals CRP'!B34:E34)</f>
        <v>55.4</v>
      </c>
      <c r="E34" s="43">
        <f>SUM('Totals DQN'!B34:E34)</f>
        <v>71</v>
      </c>
      <c r="F34" s="44">
        <v>32</v>
      </c>
      <c r="G34" s="45">
        <f>SUM('Totals Baseline'!G34:J34)</f>
        <v>12</v>
      </c>
      <c r="H34" s="42">
        <f>SUM('Totals ELV'!G34:J34)</f>
        <v>2.7</v>
      </c>
      <c r="I34" s="43">
        <f>SUM('Totals CRP'!G34:J34)</f>
        <v>0</v>
      </c>
      <c r="J34" s="43">
        <f>SUM('Totals DQN'!G34:J34)</f>
        <v>0</v>
      </c>
      <c r="K34" s="44">
        <v>32</v>
      </c>
      <c r="L34" s="45">
        <f>SUM('Totals Baseline'!L34:O34)</f>
        <v>30</v>
      </c>
      <c r="M34" s="42">
        <f>SUM('Totals ELV'!L34:O34)</f>
        <v>27.6</v>
      </c>
      <c r="N34" s="43">
        <f>SUM('Totals CRP'!L34:O34)</f>
        <v>30.5</v>
      </c>
      <c r="O34" s="43">
        <f>SUM('Totals DQN'!L34:O34)</f>
        <v>5</v>
      </c>
      <c r="P34" s="44">
        <v>32</v>
      </c>
      <c r="Q34" s="46">
        <f>ROUND(SUM('Totals Baseline'!Q34:T34),0)</f>
        <v>16</v>
      </c>
      <c r="R34" s="47">
        <f>ROUND(SUM('Totals ELV'!Q34:T34),0)</f>
        <v>26</v>
      </c>
      <c r="S34" s="48">
        <f>ROUND(SUM('Totals CRP'!Q34:T34),0)</f>
        <v>28</v>
      </c>
      <c r="T34" s="48">
        <f>ROUND(SUM('Totals DQN'!Q34:T34),0)</f>
        <v>36</v>
      </c>
      <c r="U34" s="44">
        <v>32</v>
      </c>
      <c r="V34" s="46">
        <f>ROUND(SUM('Totals Baseline'!V34:Y34),0)</f>
        <v>12</v>
      </c>
      <c r="W34" s="47">
        <f>ROUND(SUM('Totals ELV'!V34:Y34),0)</f>
        <v>3</v>
      </c>
      <c r="X34" s="47">
        <f>ROUND(SUM('Totals CRP'!V34:Y34),0)</f>
        <v>0</v>
      </c>
      <c r="Y34" s="47">
        <f>ROUND(SUM('Totals DQN'!V34:Y34),0)</f>
        <v>0</v>
      </c>
      <c r="Z34" s="44">
        <v>32</v>
      </c>
      <c r="AA34" s="49">
        <f>SUM('Totals Baseline'!AA34:AD34)</f>
        <v>2050.5</v>
      </c>
      <c r="AB34" s="47">
        <f>SUM('Totals ELV'!AA34:AD34)</f>
        <v>796.00000000000011</v>
      </c>
      <c r="AC34" s="47">
        <f>SUM('Totals CRP'!AA34:AD34)</f>
        <v>768.34999999999991</v>
      </c>
      <c r="AD34" s="47">
        <f>SUM('Totals DQN'!AA34:AD34)</f>
        <v>629</v>
      </c>
      <c r="AF34" s="50"/>
      <c r="AG34" s="50"/>
      <c r="AH34" s="50"/>
    </row>
    <row r="35" spans="1:34" x14ac:dyDescent="0.3">
      <c r="A35" s="35">
        <v>33</v>
      </c>
      <c r="B35" s="41">
        <f>SUM('Totals Baseline'!B35:E35)</f>
        <v>27</v>
      </c>
      <c r="C35" s="42">
        <f>SUM('Totals ELV'!B35:E35)</f>
        <v>57</v>
      </c>
      <c r="D35" s="43">
        <f>SUM('Totals CRP'!B35:E35)</f>
        <v>44.8</v>
      </c>
      <c r="E35" s="43">
        <f>SUM('Totals DQN'!B35:E35)</f>
        <v>83</v>
      </c>
      <c r="F35" s="44">
        <v>33</v>
      </c>
      <c r="G35" s="45">
        <f>SUM('Totals Baseline'!G35:J35)</f>
        <v>27</v>
      </c>
      <c r="H35" s="42">
        <f>SUM('Totals ELV'!G35:J35)</f>
        <v>0.4</v>
      </c>
      <c r="I35" s="43">
        <f>SUM('Totals CRP'!G35:J35)</f>
        <v>1.1000000000000001</v>
      </c>
      <c r="J35" s="43">
        <f>SUM('Totals DQN'!G35:J35)</f>
        <v>0</v>
      </c>
      <c r="K35" s="44">
        <v>33</v>
      </c>
      <c r="L35" s="45">
        <f>SUM('Totals Baseline'!L35:O35)</f>
        <v>38</v>
      </c>
      <c r="M35" s="42">
        <f>SUM('Totals ELV'!L35:O35)</f>
        <v>31.799999999999997</v>
      </c>
      <c r="N35" s="43">
        <f>SUM('Totals CRP'!L35:O35)</f>
        <v>35.799999999999997</v>
      </c>
      <c r="O35" s="43">
        <f>SUM('Totals DQN'!L35:O35)</f>
        <v>5</v>
      </c>
      <c r="P35" s="44">
        <v>33</v>
      </c>
      <c r="Q35" s="46">
        <f>ROUND(SUM('Totals Baseline'!Q35:T35),0)</f>
        <v>14</v>
      </c>
      <c r="R35" s="47">
        <f>ROUND(SUM('Totals ELV'!Q35:T35),0)</f>
        <v>23</v>
      </c>
      <c r="S35" s="48">
        <f>ROUND(SUM('Totals CRP'!Q35:T35),0)</f>
        <v>22</v>
      </c>
      <c r="T35" s="48">
        <f>ROUND(SUM('Totals DQN'!Q35:T35),0)</f>
        <v>42</v>
      </c>
      <c r="U35" s="44">
        <v>33</v>
      </c>
      <c r="V35" s="46">
        <f>ROUND(SUM('Totals Baseline'!V35:Y35),0)</f>
        <v>27</v>
      </c>
      <c r="W35" s="47">
        <f>ROUND(SUM('Totals ELV'!V35:Y35),0)</f>
        <v>0</v>
      </c>
      <c r="X35" s="47">
        <f>ROUND(SUM('Totals CRP'!V35:Y35),0)</f>
        <v>1</v>
      </c>
      <c r="Y35" s="47">
        <f>ROUND(SUM('Totals DQN'!V35:Y35),0)</f>
        <v>0</v>
      </c>
      <c r="Z35" s="44">
        <v>33</v>
      </c>
      <c r="AA35" s="49">
        <f>SUM('Totals Baseline'!AA35:AD35)</f>
        <v>2091</v>
      </c>
      <c r="AB35" s="47">
        <f>SUM('Totals ELV'!AA35:AD35)</f>
        <v>819.05000000000007</v>
      </c>
      <c r="AC35" s="47">
        <f>SUM('Totals CRP'!AA35:AD35)</f>
        <v>791.84999999999991</v>
      </c>
      <c r="AD35" s="47">
        <f>SUM('Totals DQN'!AA35:AD35)</f>
        <v>670.5</v>
      </c>
      <c r="AF35" s="50"/>
      <c r="AG35" s="50"/>
      <c r="AH35" s="50"/>
    </row>
    <row r="36" spans="1:34" x14ac:dyDescent="0.3">
      <c r="A36" s="35">
        <v>34</v>
      </c>
      <c r="B36" s="41">
        <f>SUM('Totals Baseline'!B36:E36)</f>
        <v>16</v>
      </c>
      <c r="C36" s="42">
        <f>SUM('Totals ELV'!B36:E36)</f>
        <v>40</v>
      </c>
      <c r="D36" s="43">
        <f>SUM('Totals CRP'!B36:E36)</f>
        <v>37.200000000000003</v>
      </c>
      <c r="E36" s="43">
        <f>SUM('Totals DQN'!B36:E36)</f>
        <v>86</v>
      </c>
      <c r="F36" s="44">
        <v>34</v>
      </c>
      <c r="G36" s="45">
        <f>SUM('Totals Baseline'!G36:J36)</f>
        <v>41</v>
      </c>
      <c r="H36" s="42">
        <f>SUM('Totals ELV'!G36:J36)</f>
        <v>2.8000000000000003</v>
      </c>
      <c r="I36" s="43">
        <f>SUM('Totals CRP'!G36:J36)</f>
        <v>5.3</v>
      </c>
      <c r="J36" s="43">
        <f>SUM('Totals DQN'!G36:J36)</f>
        <v>0</v>
      </c>
      <c r="K36" s="44">
        <v>34</v>
      </c>
      <c r="L36" s="45">
        <f>SUM('Totals Baseline'!L36:O36)</f>
        <v>47</v>
      </c>
      <c r="M36" s="42">
        <f>SUM('Totals ELV'!L36:O36)</f>
        <v>35.4</v>
      </c>
      <c r="N36" s="43">
        <f>SUM('Totals CRP'!L36:O36)</f>
        <v>36.299999999999997</v>
      </c>
      <c r="O36" s="43">
        <f>SUM('Totals DQN'!L36:O36)</f>
        <v>7</v>
      </c>
      <c r="P36" s="44">
        <v>34</v>
      </c>
      <c r="Q36" s="46">
        <f>ROUND(SUM('Totals Baseline'!Q36:T36),0)</f>
        <v>8</v>
      </c>
      <c r="R36" s="47">
        <f>ROUND(SUM('Totals ELV'!Q36:T36),0)</f>
        <v>20</v>
      </c>
      <c r="S36" s="48">
        <f>ROUND(SUM('Totals CRP'!Q36:T36),0)</f>
        <v>19</v>
      </c>
      <c r="T36" s="48">
        <f>ROUND(SUM('Totals DQN'!Q36:T36),0)</f>
        <v>43</v>
      </c>
      <c r="U36" s="44">
        <v>34</v>
      </c>
      <c r="V36" s="46">
        <f>ROUND(SUM('Totals Baseline'!V36:Y36),0)</f>
        <v>41</v>
      </c>
      <c r="W36" s="47">
        <f>ROUND(SUM('Totals ELV'!V36:Y36),0)</f>
        <v>3</v>
      </c>
      <c r="X36" s="47">
        <f>ROUND(SUM('Totals CRP'!V36:Y36),0)</f>
        <v>5</v>
      </c>
      <c r="Y36" s="47">
        <f>ROUND(SUM('Totals DQN'!V36:Y36),0)</f>
        <v>0</v>
      </c>
      <c r="Z36" s="44">
        <v>34</v>
      </c>
      <c r="AA36" s="49">
        <f>SUM('Totals Baseline'!AA36:AD36)</f>
        <v>2140</v>
      </c>
      <c r="AB36" s="47">
        <f>SUM('Totals ELV'!AA36:AD36)</f>
        <v>842.00000000000011</v>
      </c>
      <c r="AC36" s="47">
        <f>SUM('Totals CRP'!AA36:AD36)</f>
        <v>815.75</v>
      </c>
      <c r="AD36" s="47">
        <f>SUM('Totals DQN'!AA36:AD36)</f>
        <v>713.5</v>
      </c>
      <c r="AF36" s="50"/>
      <c r="AG36" s="50"/>
      <c r="AH36" s="50"/>
    </row>
    <row r="37" spans="1:34" x14ac:dyDescent="0.3">
      <c r="A37" s="35">
        <v>35</v>
      </c>
      <c r="B37" s="41">
        <f>SUM('Totals Baseline'!B37:E37)</f>
        <v>0</v>
      </c>
      <c r="C37" s="42">
        <f>SUM('Totals ELV'!B37:E37)</f>
        <v>38</v>
      </c>
      <c r="D37" s="43">
        <f>SUM('Totals CRP'!B37:E37)</f>
        <v>36.699999999999996</v>
      </c>
      <c r="E37" s="43">
        <f>SUM('Totals DQN'!B37:E37)</f>
        <v>80</v>
      </c>
      <c r="F37" s="44">
        <v>35</v>
      </c>
      <c r="G37" s="45">
        <f>SUM('Totals Baseline'!G37:J37)</f>
        <v>61</v>
      </c>
      <c r="H37" s="42">
        <f>SUM('Totals ELV'!G37:J37)</f>
        <v>4.2</v>
      </c>
      <c r="I37" s="43">
        <f>SUM('Totals CRP'!G37:J37)</f>
        <v>3.8</v>
      </c>
      <c r="J37" s="43">
        <f>SUM('Totals DQN'!G37:J37)</f>
        <v>0</v>
      </c>
      <c r="K37" s="44">
        <v>35</v>
      </c>
      <c r="L37" s="45">
        <f>SUM('Totals Baseline'!L37:O37)</f>
        <v>45</v>
      </c>
      <c r="M37" s="42">
        <f>SUM('Totals ELV'!L37:O37)</f>
        <v>31.7</v>
      </c>
      <c r="N37" s="43">
        <f>SUM('Totals CRP'!L37:O37)</f>
        <v>29</v>
      </c>
      <c r="O37" s="43">
        <f>SUM('Totals DQN'!L37:O37)</f>
        <v>11</v>
      </c>
      <c r="P37" s="44">
        <v>35</v>
      </c>
      <c r="Q37" s="46">
        <f>ROUND(SUM('Totals Baseline'!Q37:T37),0)</f>
        <v>0</v>
      </c>
      <c r="R37" s="47">
        <f>ROUND(SUM('Totals ELV'!Q37:T37),0)</f>
        <v>19</v>
      </c>
      <c r="S37" s="48">
        <f>ROUND(SUM('Totals CRP'!Q37:T37),0)</f>
        <v>18</v>
      </c>
      <c r="T37" s="48">
        <f>ROUND(SUM('Totals DQN'!Q37:T37),0)</f>
        <v>40</v>
      </c>
      <c r="U37" s="44">
        <v>35</v>
      </c>
      <c r="V37" s="46">
        <f>ROUND(SUM('Totals Baseline'!V37:Y37),0)</f>
        <v>61</v>
      </c>
      <c r="W37" s="47">
        <f>ROUND(SUM('Totals ELV'!V37:Y37),0)</f>
        <v>4</v>
      </c>
      <c r="X37" s="47">
        <f>ROUND(SUM('Totals CRP'!V37:Y37),0)</f>
        <v>4</v>
      </c>
      <c r="Y37" s="47">
        <f>ROUND(SUM('Totals DQN'!V37:Y37),0)</f>
        <v>0</v>
      </c>
      <c r="Z37" s="44">
        <v>35</v>
      </c>
      <c r="AA37" s="49">
        <f>SUM('Totals Baseline'!AA37:AD37)</f>
        <v>2201</v>
      </c>
      <c r="AB37" s="47">
        <f>SUM('Totals ELV'!AA37:AD37)</f>
        <v>865.10000000000014</v>
      </c>
      <c r="AC37" s="47">
        <f>SUM('Totals CRP'!AA37:AD37)</f>
        <v>837.89999999999986</v>
      </c>
      <c r="AD37" s="47">
        <f>SUM('Totals DQN'!AA37:AD37)</f>
        <v>753.5</v>
      </c>
      <c r="AF37" s="50"/>
      <c r="AG37" s="50"/>
      <c r="AH37" s="50"/>
    </row>
    <row r="38" spans="1:34" x14ac:dyDescent="0.3">
      <c r="A38" s="35">
        <v>36</v>
      </c>
      <c r="B38" s="41">
        <f>SUM('Totals Baseline'!B38:E38)</f>
        <v>0</v>
      </c>
      <c r="C38" s="42">
        <f>SUM('Totals ELV'!B38:E38)</f>
        <v>34</v>
      </c>
      <c r="D38" s="43">
        <f>SUM('Totals CRP'!B38:E38)</f>
        <v>42.9</v>
      </c>
      <c r="E38" s="43">
        <f>SUM('Totals DQN'!B38:E38)</f>
        <v>70</v>
      </c>
      <c r="F38" s="44">
        <v>36</v>
      </c>
      <c r="G38" s="45">
        <f>SUM('Totals Baseline'!G38:J38)</f>
        <v>85</v>
      </c>
      <c r="H38" s="42">
        <f>SUM('Totals ELV'!G38:J38)</f>
        <v>3.9</v>
      </c>
      <c r="I38" s="43">
        <f>SUM('Totals CRP'!G38:J38)</f>
        <v>0.8</v>
      </c>
      <c r="J38" s="43">
        <f>SUM('Totals DQN'!G38:J38)</f>
        <v>0</v>
      </c>
      <c r="K38" s="44">
        <v>36</v>
      </c>
      <c r="L38" s="45">
        <f>SUM('Totals Baseline'!L38:O38)</f>
        <v>45</v>
      </c>
      <c r="M38" s="42">
        <f>SUM('Totals ELV'!L38:O38)</f>
        <v>25.7</v>
      </c>
      <c r="N38" s="43">
        <f>SUM('Totals CRP'!L38:O38)</f>
        <v>28.1</v>
      </c>
      <c r="O38" s="43">
        <f>SUM('Totals DQN'!L38:O38)</f>
        <v>15</v>
      </c>
      <c r="P38" s="44">
        <v>36</v>
      </c>
      <c r="Q38" s="46">
        <f>ROUND(SUM('Totals Baseline'!Q38:T38),0)</f>
        <v>0</v>
      </c>
      <c r="R38" s="47">
        <f>ROUND(SUM('Totals ELV'!Q38:T38),0)</f>
        <v>22</v>
      </c>
      <c r="S38" s="48">
        <f>ROUND(SUM('Totals CRP'!Q38:T38),0)</f>
        <v>21</v>
      </c>
      <c r="T38" s="48">
        <f>ROUND(SUM('Totals DQN'!Q38:T38),0)</f>
        <v>35</v>
      </c>
      <c r="U38" s="44">
        <v>36</v>
      </c>
      <c r="V38" s="46">
        <f>ROUND(SUM('Totals Baseline'!V38:Y38),0)</f>
        <v>85</v>
      </c>
      <c r="W38" s="47">
        <f>ROUND(SUM('Totals ELV'!V38:Y38),0)</f>
        <v>4</v>
      </c>
      <c r="X38" s="47">
        <f>ROUND(SUM('Totals CRP'!V38:Y38),0)</f>
        <v>1</v>
      </c>
      <c r="Y38" s="47">
        <f>ROUND(SUM('Totals DQN'!V38:Y38),0)</f>
        <v>0</v>
      </c>
      <c r="Z38" s="44">
        <v>36</v>
      </c>
      <c r="AA38" s="49">
        <f>SUM('Totals Baseline'!AA38:AD38)</f>
        <v>2286</v>
      </c>
      <c r="AB38" s="47">
        <f>SUM('Totals ELV'!AA38:AD38)</f>
        <v>891.05000000000018</v>
      </c>
      <c r="AC38" s="47">
        <f>SUM('Totals CRP'!AA38:AD38)</f>
        <v>860.14999999999986</v>
      </c>
      <c r="AD38" s="47">
        <f>SUM('Totals DQN'!AA38:AD38)</f>
        <v>788.5</v>
      </c>
      <c r="AF38" s="50"/>
      <c r="AG38" s="50"/>
      <c r="AH38" s="50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59F1-8E5D-4CD2-943C-62046C0A81FB}">
  <dimension ref="A1:AD38"/>
  <sheetViews>
    <sheetView workbookViewId="0">
      <selection activeCell="Q3" sqref="Q3"/>
    </sheetView>
  </sheetViews>
  <sheetFormatPr defaultRowHeight="14.5" x14ac:dyDescent="0.35"/>
  <cols>
    <col min="2" max="2" width="13.54296875" customWidth="1"/>
    <col min="3" max="3" width="16.36328125" customWidth="1"/>
    <col min="4" max="4" width="16" customWidth="1"/>
    <col min="5" max="5" width="14.54296875" customWidth="1"/>
    <col min="7" max="7" width="14.08984375" customWidth="1"/>
    <col min="8" max="8" width="16.90625" customWidth="1"/>
    <col min="9" max="9" width="16.54296875" customWidth="1"/>
    <col min="10" max="10" width="15.08984375" customWidth="1"/>
    <col min="12" max="12" width="14.26953125" customWidth="1"/>
    <col min="13" max="13" width="17.08984375" customWidth="1"/>
    <col min="14" max="14" width="16.7265625" customWidth="1"/>
    <col min="15" max="15" width="15.26953125" customWidth="1"/>
    <col min="17" max="17" width="15.6328125" customWidth="1"/>
    <col min="18" max="18" width="18.453125" customWidth="1"/>
    <col min="19" max="19" width="18.08984375" customWidth="1"/>
    <col min="20" max="20" width="16.6328125" customWidth="1"/>
    <col min="22" max="22" width="16.1796875" customWidth="1"/>
    <col min="23" max="23" width="19" customWidth="1"/>
    <col min="24" max="24" width="18.6328125" customWidth="1"/>
    <col min="25" max="25" width="17.1796875" customWidth="1"/>
    <col min="27" max="27" width="15.1796875" customWidth="1"/>
    <col min="28" max="28" width="18" customWidth="1"/>
    <col min="29" max="29" width="17.6328125" customWidth="1"/>
    <col min="30" max="30" width="16.1796875" customWidth="1"/>
  </cols>
  <sheetData>
    <row r="1" spans="1:30" ht="15" thickBot="1" x14ac:dyDescent="0.4">
      <c r="A1" s="31" t="s">
        <v>19</v>
      </c>
      <c r="B1" s="32" t="s">
        <v>35</v>
      </c>
      <c r="C1" s="33" t="s">
        <v>36</v>
      </c>
      <c r="D1" s="33" t="s">
        <v>37</v>
      </c>
      <c r="E1" s="31" t="s">
        <v>46</v>
      </c>
      <c r="F1" s="34" t="s">
        <v>79</v>
      </c>
      <c r="G1" s="32" t="s">
        <v>38</v>
      </c>
      <c r="H1" s="33" t="s">
        <v>39</v>
      </c>
      <c r="I1" s="33" t="s">
        <v>40</v>
      </c>
      <c r="J1" s="31" t="s">
        <v>41</v>
      </c>
      <c r="K1" s="34" t="s">
        <v>80</v>
      </c>
      <c r="L1" s="32" t="s">
        <v>42</v>
      </c>
      <c r="M1" s="33" t="s">
        <v>43</v>
      </c>
      <c r="N1" s="33" t="s">
        <v>44</v>
      </c>
      <c r="O1" s="31" t="s">
        <v>45</v>
      </c>
      <c r="P1" s="34" t="s">
        <v>82</v>
      </c>
      <c r="Q1" s="32" t="s">
        <v>51</v>
      </c>
      <c r="R1" s="33" t="s">
        <v>52</v>
      </c>
      <c r="S1" s="33" t="s">
        <v>53</v>
      </c>
      <c r="T1" s="31" t="s">
        <v>54</v>
      </c>
      <c r="U1" s="34" t="s">
        <v>83</v>
      </c>
      <c r="V1" s="32" t="s">
        <v>55</v>
      </c>
      <c r="W1" s="33" t="s">
        <v>56</v>
      </c>
      <c r="X1" s="33" t="s">
        <v>57</v>
      </c>
      <c r="Y1" s="31" t="s">
        <v>58</v>
      </c>
      <c r="Z1" s="34" t="s">
        <v>78</v>
      </c>
      <c r="AA1" s="32" t="s">
        <v>59</v>
      </c>
      <c r="AB1" s="33" t="s">
        <v>60</v>
      </c>
      <c r="AC1" s="33" t="s">
        <v>61</v>
      </c>
      <c r="AD1" s="33" t="s">
        <v>62</v>
      </c>
    </row>
    <row r="2" spans="1:30" x14ac:dyDescent="0.35">
      <c r="A2" s="14">
        <v>0</v>
      </c>
      <c r="B2" s="18">
        <f>'Inventory Baseline'!BA2</f>
        <v>12</v>
      </c>
      <c r="C2" s="19">
        <f>'Inventory Baseline'!BB2</f>
        <v>12</v>
      </c>
      <c r="D2" s="19">
        <f>'Inventory Baseline'!BC2</f>
        <v>12</v>
      </c>
      <c r="E2" s="20">
        <f>'Inventory Baseline'!BD2</f>
        <v>12</v>
      </c>
      <c r="F2" s="30">
        <v>0</v>
      </c>
      <c r="G2" s="18">
        <f>'Backlog Baseline'!BA2</f>
        <v>0</v>
      </c>
      <c r="H2" s="19">
        <f>'Backlog Baseline'!BB2</f>
        <v>0</v>
      </c>
      <c r="I2" s="19">
        <f>'Backlog Baseline'!BC2</f>
        <v>0</v>
      </c>
      <c r="J2" s="20">
        <f>'Backlog Baseline'!BD2</f>
        <v>0</v>
      </c>
      <c r="K2" s="30">
        <v>0</v>
      </c>
      <c r="L2" s="18">
        <f>'Orders Baseline'!AZ2</f>
        <v>0</v>
      </c>
      <c r="M2" s="19">
        <f>'Orders Baseline'!BA2</f>
        <v>0</v>
      </c>
      <c r="N2" s="19">
        <f>'Orders Baseline'!BB2</f>
        <v>0</v>
      </c>
      <c r="O2" s="20">
        <f>'Orders Baseline'!BC2</f>
        <v>0</v>
      </c>
      <c r="P2" s="13">
        <v>0</v>
      </c>
      <c r="Q2" s="27">
        <f>ROUND('IHC Baseline'!AY2,2)</f>
        <v>0</v>
      </c>
      <c r="R2" s="28">
        <f>ROUND('IHC Baseline'!AZ2,2)</f>
        <v>0</v>
      </c>
      <c r="S2" s="28">
        <f>ROUND('IHC Baseline'!BA2,2)</f>
        <v>0</v>
      </c>
      <c r="T2" s="29">
        <f>ROUND('IHC Baseline'!BB2,2)</f>
        <v>0</v>
      </c>
      <c r="U2">
        <v>0</v>
      </c>
      <c r="V2" s="27">
        <f>ROUND('UBC Baseline'!AZ2,2)</f>
        <v>0</v>
      </c>
      <c r="W2" s="28">
        <f>ROUND('UBC Baseline'!BA2,2)</f>
        <v>0</v>
      </c>
      <c r="X2" s="28">
        <f>ROUND('UBC Baseline'!BB2,2)</f>
        <v>0</v>
      </c>
      <c r="Y2" s="29">
        <f>ROUND('UBC Baseline'!BC2,2)</f>
        <v>0</v>
      </c>
      <c r="Z2" s="14">
        <v>0</v>
      </c>
      <c r="AA2" s="6">
        <f>Q2+V2</f>
        <v>0</v>
      </c>
      <c r="AB2" s="7">
        <f>R2+W2</f>
        <v>0</v>
      </c>
      <c r="AC2" s="7">
        <f>S2+X2</f>
        <v>0</v>
      </c>
      <c r="AD2" s="7">
        <f>T2+Y2</f>
        <v>0</v>
      </c>
    </row>
    <row r="3" spans="1:30" x14ac:dyDescent="0.35">
      <c r="A3" s="14">
        <v>1</v>
      </c>
      <c r="B3" s="18">
        <f>'Inventory Baseline'!BA3</f>
        <v>12</v>
      </c>
      <c r="C3" s="19">
        <f>'Inventory Baseline'!BB3</f>
        <v>12</v>
      </c>
      <c r="D3" s="19">
        <f>'Inventory Baseline'!BC3</f>
        <v>12</v>
      </c>
      <c r="E3" s="20">
        <f>'Inventory Baseline'!BD3</f>
        <v>12</v>
      </c>
      <c r="F3" s="30">
        <v>1</v>
      </c>
      <c r="G3" s="18">
        <f>'Backlog Baseline'!BA3</f>
        <v>0</v>
      </c>
      <c r="H3" s="19">
        <f>'Backlog Baseline'!BB3</f>
        <v>0</v>
      </c>
      <c r="I3" s="19">
        <f>'Backlog Baseline'!BC3</f>
        <v>0</v>
      </c>
      <c r="J3" s="20">
        <f>'Backlog Baseline'!BD3</f>
        <v>0</v>
      </c>
      <c r="K3" s="30">
        <v>1</v>
      </c>
      <c r="L3" s="18">
        <f>'Orders Baseline'!AZ3</f>
        <v>4</v>
      </c>
      <c r="M3" s="19">
        <f>'Orders Baseline'!BA3</f>
        <v>4</v>
      </c>
      <c r="N3" s="19">
        <f>'Orders Baseline'!BB3</f>
        <v>4</v>
      </c>
      <c r="O3" s="20">
        <f>'Orders Baseline'!BC3</f>
        <v>4</v>
      </c>
      <c r="P3" s="13">
        <v>1</v>
      </c>
      <c r="Q3" s="10">
        <f>ROUND('IHC Baseline'!AY3,2)</f>
        <v>6</v>
      </c>
      <c r="R3" s="11">
        <f>ROUND('IHC Baseline'!AZ3,2)</f>
        <v>6</v>
      </c>
      <c r="S3" s="11">
        <f>ROUND('IHC Baseline'!BA3,2)</f>
        <v>6</v>
      </c>
      <c r="T3" s="12">
        <f>ROUND('IHC Baseline'!BB3,2)</f>
        <v>6</v>
      </c>
      <c r="U3">
        <v>1</v>
      </c>
      <c r="V3" s="10">
        <f>ROUND('UBC Baseline'!AZ3,2)</f>
        <v>0</v>
      </c>
      <c r="W3" s="11">
        <f>ROUND('UBC Baseline'!BA3,2)</f>
        <v>0</v>
      </c>
      <c r="X3" s="11">
        <f>ROUND('UBC Baseline'!BB3,2)</f>
        <v>0</v>
      </c>
      <c r="Y3" s="12">
        <f>ROUND('UBC Baseline'!BC3,2)</f>
        <v>0</v>
      </c>
      <c r="Z3" s="14">
        <v>1</v>
      </c>
      <c r="AA3" s="6">
        <f t="shared" ref="AA3:AA38" si="0">Q3+V3+AA2</f>
        <v>6</v>
      </c>
      <c r="AB3" s="7">
        <f t="shared" ref="AB3:AB38" si="1">R3+W3+AB2</f>
        <v>6</v>
      </c>
      <c r="AC3" s="7">
        <f t="shared" ref="AC3:AC38" si="2">S3+X3+AC2</f>
        <v>6</v>
      </c>
      <c r="AD3" s="7">
        <f t="shared" ref="AD3:AD38" si="3">T3+Y3+AD2</f>
        <v>6</v>
      </c>
    </row>
    <row r="4" spans="1:30" x14ac:dyDescent="0.35">
      <c r="A4" s="14">
        <v>2</v>
      </c>
      <c r="B4" s="18">
        <f>'Inventory Baseline'!BA4</f>
        <v>12</v>
      </c>
      <c r="C4" s="19">
        <f>'Inventory Baseline'!BB4</f>
        <v>12</v>
      </c>
      <c r="D4" s="19">
        <f>'Inventory Baseline'!BC4</f>
        <v>12</v>
      </c>
      <c r="E4" s="20">
        <f>'Inventory Baseline'!BD4</f>
        <v>12</v>
      </c>
      <c r="F4" s="30">
        <v>2</v>
      </c>
      <c r="G4" s="18">
        <f>'Backlog Baseline'!BA4</f>
        <v>0</v>
      </c>
      <c r="H4" s="19">
        <f>'Backlog Baseline'!BB4</f>
        <v>0</v>
      </c>
      <c r="I4" s="19">
        <f>'Backlog Baseline'!BC4</f>
        <v>0</v>
      </c>
      <c r="J4" s="20">
        <f>'Backlog Baseline'!BD4</f>
        <v>0</v>
      </c>
      <c r="K4" s="30">
        <v>2</v>
      </c>
      <c r="L4" s="18">
        <f>'Orders Baseline'!AZ4</f>
        <v>4</v>
      </c>
      <c r="M4" s="19">
        <f>'Orders Baseline'!BA4</f>
        <v>4</v>
      </c>
      <c r="N4" s="19">
        <f>'Orders Baseline'!BB4</f>
        <v>4</v>
      </c>
      <c r="O4" s="20">
        <f>'Orders Baseline'!BC4</f>
        <v>4</v>
      </c>
      <c r="P4" s="13">
        <v>2</v>
      </c>
      <c r="Q4" s="10">
        <f>ROUND('IHC Baseline'!AY4,2)</f>
        <v>6</v>
      </c>
      <c r="R4" s="11">
        <f>ROUND('IHC Baseline'!AZ4,2)</f>
        <v>6</v>
      </c>
      <c r="S4" s="11">
        <f>ROUND('IHC Baseline'!BA4,2)</f>
        <v>6</v>
      </c>
      <c r="T4" s="12">
        <f>ROUND('IHC Baseline'!BB4,2)</f>
        <v>6</v>
      </c>
      <c r="U4">
        <v>2</v>
      </c>
      <c r="V4" s="10">
        <f>ROUND('UBC Baseline'!AZ4,2)</f>
        <v>0</v>
      </c>
      <c r="W4" s="11">
        <f>ROUND('UBC Baseline'!BA4,2)</f>
        <v>0</v>
      </c>
      <c r="X4" s="11">
        <f>ROUND('UBC Baseline'!BB4,2)</f>
        <v>0</v>
      </c>
      <c r="Y4" s="12">
        <f>ROUND('UBC Baseline'!BC4,2)</f>
        <v>0</v>
      </c>
      <c r="Z4" s="14">
        <v>2</v>
      </c>
      <c r="AA4" s="6">
        <f t="shared" si="0"/>
        <v>12</v>
      </c>
      <c r="AB4" s="7">
        <f t="shared" si="1"/>
        <v>12</v>
      </c>
      <c r="AC4" s="7">
        <f t="shared" si="2"/>
        <v>12</v>
      </c>
      <c r="AD4" s="7">
        <f t="shared" si="3"/>
        <v>12</v>
      </c>
    </row>
    <row r="5" spans="1:30" x14ac:dyDescent="0.35">
      <c r="A5" s="14">
        <v>3</v>
      </c>
      <c r="B5" s="18">
        <f>'Inventory Baseline'!BA5</f>
        <v>12</v>
      </c>
      <c r="C5" s="19">
        <f>'Inventory Baseline'!BB5</f>
        <v>12</v>
      </c>
      <c r="D5" s="19">
        <f>'Inventory Baseline'!BC5</f>
        <v>12</v>
      </c>
      <c r="E5" s="20">
        <f>'Inventory Baseline'!BD5</f>
        <v>12</v>
      </c>
      <c r="F5" s="30">
        <v>3</v>
      </c>
      <c r="G5" s="18">
        <f>'Backlog Baseline'!BA5</f>
        <v>0</v>
      </c>
      <c r="H5" s="19">
        <f>'Backlog Baseline'!BB5</f>
        <v>0</v>
      </c>
      <c r="I5" s="19">
        <f>'Backlog Baseline'!BC5</f>
        <v>0</v>
      </c>
      <c r="J5" s="20">
        <f>'Backlog Baseline'!BD5</f>
        <v>0</v>
      </c>
      <c r="K5" s="30">
        <v>3</v>
      </c>
      <c r="L5" s="18">
        <f>'Orders Baseline'!AZ5</f>
        <v>4</v>
      </c>
      <c r="M5" s="19">
        <f>'Orders Baseline'!BA5</f>
        <v>4</v>
      </c>
      <c r="N5" s="19">
        <f>'Orders Baseline'!BB5</f>
        <v>4</v>
      </c>
      <c r="O5" s="20">
        <f>'Orders Baseline'!BC5</f>
        <v>4</v>
      </c>
      <c r="P5" s="13">
        <v>3</v>
      </c>
      <c r="Q5" s="10">
        <f>ROUND('IHC Baseline'!AY5,2)</f>
        <v>6</v>
      </c>
      <c r="R5" s="11">
        <f>ROUND('IHC Baseline'!AZ5,2)</f>
        <v>6</v>
      </c>
      <c r="S5" s="11">
        <f>ROUND('IHC Baseline'!BA5,2)</f>
        <v>6</v>
      </c>
      <c r="T5" s="12">
        <f>ROUND('IHC Baseline'!BB5,2)</f>
        <v>6</v>
      </c>
      <c r="U5">
        <v>3</v>
      </c>
      <c r="V5" s="10">
        <f>ROUND('UBC Baseline'!AZ5,2)</f>
        <v>0</v>
      </c>
      <c r="W5" s="11">
        <f>ROUND('UBC Baseline'!BA5,2)</f>
        <v>0</v>
      </c>
      <c r="X5" s="11">
        <f>ROUND('UBC Baseline'!BB5,2)</f>
        <v>0</v>
      </c>
      <c r="Y5" s="12">
        <f>ROUND('UBC Baseline'!BC5,2)</f>
        <v>0</v>
      </c>
      <c r="Z5" s="14">
        <v>3</v>
      </c>
      <c r="AA5" s="6">
        <f t="shared" si="0"/>
        <v>18</v>
      </c>
      <c r="AB5" s="7">
        <f t="shared" si="1"/>
        <v>18</v>
      </c>
      <c r="AC5" s="7">
        <f t="shared" si="2"/>
        <v>18</v>
      </c>
      <c r="AD5" s="7">
        <f t="shared" si="3"/>
        <v>18</v>
      </c>
    </row>
    <row r="6" spans="1:30" x14ac:dyDescent="0.35">
      <c r="A6" s="14">
        <v>4</v>
      </c>
      <c r="B6" s="18">
        <f>'Inventory Baseline'!BA6</f>
        <v>12</v>
      </c>
      <c r="C6" s="19">
        <f>'Inventory Baseline'!BB6</f>
        <v>12</v>
      </c>
      <c r="D6" s="19">
        <f>'Inventory Baseline'!BC6</f>
        <v>12</v>
      </c>
      <c r="E6" s="20">
        <f>'Inventory Baseline'!BD6</f>
        <v>12</v>
      </c>
      <c r="F6" s="30">
        <v>4</v>
      </c>
      <c r="G6" s="18">
        <f>'Backlog Baseline'!BA6</f>
        <v>0</v>
      </c>
      <c r="H6" s="19">
        <f>'Backlog Baseline'!BB6</f>
        <v>0</v>
      </c>
      <c r="I6" s="19">
        <f>'Backlog Baseline'!BC6</f>
        <v>0</v>
      </c>
      <c r="J6" s="20">
        <f>'Backlog Baseline'!BD6</f>
        <v>0</v>
      </c>
      <c r="K6" s="30">
        <v>4</v>
      </c>
      <c r="L6" s="18">
        <f>'Orders Baseline'!AZ6</f>
        <v>4</v>
      </c>
      <c r="M6" s="19">
        <f>'Orders Baseline'!BA6</f>
        <v>4</v>
      </c>
      <c r="N6" s="19">
        <f>'Orders Baseline'!BB6</f>
        <v>4</v>
      </c>
      <c r="O6" s="20">
        <f>'Orders Baseline'!BC6</f>
        <v>4</v>
      </c>
      <c r="P6" s="13">
        <v>4</v>
      </c>
      <c r="Q6" s="10">
        <f>ROUND('IHC Baseline'!AY6,2)</f>
        <v>6</v>
      </c>
      <c r="R6" s="11">
        <f>ROUND('IHC Baseline'!AZ6,2)</f>
        <v>6</v>
      </c>
      <c r="S6" s="11">
        <f>ROUND('IHC Baseline'!BA6,2)</f>
        <v>6</v>
      </c>
      <c r="T6" s="12">
        <f>ROUND('IHC Baseline'!BB6,2)</f>
        <v>6</v>
      </c>
      <c r="U6">
        <v>4</v>
      </c>
      <c r="V6" s="10">
        <f>ROUND('UBC Baseline'!AZ6,2)</f>
        <v>0</v>
      </c>
      <c r="W6" s="11">
        <f>ROUND('UBC Baseline'!BA6,2)</f>
        <v>0</v>
      </c>
      <c r="X6" s="11">
        <f>ROUND('UBC Baseline'!BB6,2)</f>
        <v>0</v>
      </c>
      <c r="Y6" s="12">
        <f>ROUND('UBC Baseline'!BC6,2)</f>
        <v>0</v>
      </c>
      <c r="Z6" s="14">
        <v>4</v>
      </c>
      <c r="AA6" s="6">
        <f t="shared" si="0"/>
        <v>24</v>
      </c>
      <c r="AB6" s="7">
        <f t="shared" si="1"/>
        <v>24</v>
      </c>
      <c r="AC6" s="7">
        <f t="shared" si="2"/>
        <v>24</v>
      </c>
      <c r="AD6" s="7">
        <f t="shared" si="3"/>
        <v>24</v>
      </c>
    </row>
    <row r="7" spans="1:30" x14ac:dyDescent="0.35">
      <c r="A7" s="14">
        <v>5</v>
      </c>
      <c r="B7" s="18">
        <f>'Inventory Baseline'!BA7</f>
        <v>12</v>
      </c>
      <c r="C7" s="19">
        <f>'Inventory Baseline'!BB7</f>
        <v>12</v>
      </c>
      <c r="D7" s="19">
        <f>'Inventory Baseline'!BC7</f>
        <v>8</v>
      </c>
      <c r="E7" s="20">
        <f>'Inventory Baseline'!BD7</f>
        <v>12</v>
      </c>
      <c r="F7" s="30">
        <v>5</v>
      </c>
      <c r="G7" s="18">
        <f>'Backlog Baseline'!BA7</f>
        <v>0</v>
      </c>
      <c r="H7" s="19">
        <f>'Backlog Baseline'!BB7</f>
        <v>0</v>
      </c>
      <c r="I7" s="19">
        <f>'Backlog Baseline'!BC7</f>
        <v>0</v>
      </c>
      <c r="J7" s="20">
        <f>'Backlog Baseline'!BD7</f>
        <v>0</v>
      </c>
      <c r="K7" s="30">
        <v>5</v>
      </c>
      <c r="L7" s="18">
        <f>'Orders Baseline'!AZ7</f>
        <v>8</v>
      </c>
      <c r="M7" s="19">
        <f>'Orders Baseline'!BA7</f>
        <v>4</v>
      </c>
      <c r="N7" s="19">
        <f>'Orders Baseline'!BB7</f>
        <v>4</v>
      </c>
      <c r="O7" s="20">
        <f>'Orders Baseline'!BC7</f>
        <v>4</v>
      </c>
      <c r="P7" s="13">
        <v>5</v>
      </c>
      <c r="Q7" s="10">
        <f>ROUND('IHC Baseline'!AY7,2)</f>
        <v>6</v>
      </c>
      <c r="R7" s="11">
        <f>ROUND('IHC Baseline'!AZ7,2)</f>
        <v>6</v>
      </c>
      <c r="S7" s="11">
        <f>ROUND('IHC Baseline'!BA7,2)</f>
        <v>4</v>
      </c>
      <c r="T7" s="12">
        <f>ROUND('IHC Baseline'!BB7,2)</f>
        <v>6</v>
      </c>
      <c r="U7">
        <v>5</v>
      </c>
      <c r="V7" s="10">
        <f>ROUND('UBC Baseline'!AZ7,2)</f>
        <v>0</v>
      </c>
      <c r="W7" s="11">
        <f>ROUND('UBC Baseline'!BA7,2)</f>
        <v>0</v>
      </c>
      <c r="X7" s="11">
        <f>ROUND('UBC Baseline'!BB7,2)</f>
        <v>0</v>
      </c>
      <c r="Y7" s="12">
        <f>ROUND('UBC Baseline'!BC7,2)</f>
        <v>0</v>
      </c>
      <c r="Z7" s="14">
        <v>5</v>
      </c>
      <c r="AA7" s="6">
        <f t="shared" si="0"/>
        <v>30</v>
      </c>
      <c r="AB7" s="7">
        <f t="shared" si="1"/>
        <v>30</v>
      </c>
      <c r="AC7" s="7">
        <f t="shared" si="2"/>
        <v>28</v>
      </c>
      <c r="AD7" s="7">
        <f t="shared" si="3"/>
        <v>30</v>
      </c>
    </row>
    <row r="8" spans="1:30" x14ac:dyDescent="0.35">
      <c r="A8" s="14">
        <v>6</v>
      </c>
      <c r="B8" s="18">
        <f>'Inventory Baseline'!BA8</f>
        <v>12</v>
      </c>
      <c r="C8" s="19">
        <f>'Inventory Baseline'!BB8</f>
        <v>12</v>
      </c>
      <c r="D8" s="19">
        <f>'Inventory Baseline'!BC8</f>
        <v>4</v>
      </c>
      <c r="E8" s="20">
        <f>'Inventory Baseline'!BD8</f>
        <v>12</v>
      </c>
      <c r="F8" s="30">
        <v>6</v>
      </c>
      <c r="G8" s="18">
        <f>'Backlog Baseline'!BA8</f>
        <v>0</v>
      </c>
      <c r="H8" s="19">
        <f>'Backlog Baseline'!BB8</f>
        <v>0</v>
      </c>
      <c r="I8" s="19">
        <f>'Backlog Baseline'!BC8</f>
        <v>0</v>
      </c>
      <c r="J8" s="20">
        <f>'Backlog Baseline'!BD8</f>
        <v>0</v>
      </c>
      <c r="K8" s="30">
        <v>6</v>
      </c>
      <c r="L8" s="18">
        <f>'Orders Baseline'!AZ8</f>
        <v>8</v>
      </c>
      <c r="M8" s="19">
        <f>'Orders Baseline'!BA8</f>
        <v>0</v>
      </c>
      <c r="N8" s="19">
        <f>'Orders Baseline'!BB8</f>
        <v>4</v>
      </c>
      <c r="O8" s="20">
        <f>'Orders Baseline'!BC8</f>
        <v>0</v>
      </c>
      <c r="P8" s="13">
        <v>6</v>
      </c>
      <c r="Q8" s="10">
        <f>ROUND('IHC Baseline'!AY8,2)</f>
        <v>6</v>
      </c>
      <c r="R8" s="11">
        <f>ROUND('IHC Baseline'!AZ8,2)</f>
        <v>6</v>
      </c>
      <c r="S8" s="11">
        <f>ROUND('IHC Baseline'!BA8,2)</f>
        <v>2</v>
      </c>
      <c r="T8" s="12">
        <f>ROUND('IHC Baseline'!BB8,2)</f>
        <v>6</v>
      </c>
      <c r="U8">
        <v>6</v>
      </c>
      <c r="V8" s="10">
        <f>ROUND('UBC Baseline'!AZ8,2)</f>
        <v>0</v>
      </c>
      <c r="W8" s="11">
        <f>ROUND('UBC Baseline'!BA8,2)</f>
        <v>0</v>
      </c>
      <c r="X8" s="11">
        <f>ROUND('UBC Baseline'!BB8,2)</f>
        <v>0</v>
      </c>
      <c r="Y8" s="12">
        <f>ROUND('UBC Baseline'!BC8,2)</f>
        <v>0</v>
      </c>
      <c r="Z8" s="14">
        <v>6</v>
      </c>
      <c r="AA8" s="6">
        <f t="shared" si="0"/>
        <v>36</v>
      </c>
      <c r="AB8" s="7">
        <f t="shared" si="1"/>
        <v>36</v>
      </c>
      <c r="AC8" s="7">
        <f t="shared" si="2"/>
        <v>30</v>
      </c>
      <c r="AD8" s="7">
        <f t="shared" si="3"/>
        <v>36</v>
      </c>
    </row>
    <row r="9" spans="1:30" x14ac:dyDescent="0.35">
      <c r="A9" s="14">
        <v>7</v>
      </c>
      <c r="B9" s="18">
        <f>'Inventory Baseline'!BA9</f>
        <v>16</v>
      </c>
      <c r="C9" s="19">
        <f>'Inventory Baseline'!BB9</f>
        <v>16</v>
      </c>
      <c r="D9" s="19">
        <f>'Inventory Baseline'!BC9</f>
        <v>0</v>
      </c>
      <c r="E9" s="20">
        <f>'Inventory Baseline'!BD9</f>
        <v>12</v>
      </c>
      <c r="F9" s="30">
        <v>7</v>
      </c>
      <c r="G9" s="18">
        <f>'Backlog Baseline'!BA9</f>
        <v>0</v>
      </c>
      <c r="H9" s="19">
        <f>'Backlog Baseline'!BB9</f>
        <v>0</v>
      </c>
      <c r="I9" s="19">
        <f>'Backlog Baseline'!BC9</f>
        <v>0</v>
      </c>
      <c r="J9" s="20">
        <f>'Backlog Baseline'!BD9</f>
        <v>0</v>
      </c>
      <c r="K9" s="30">
        <v>7</v>
      </c>
      <c r="L9" s="18">
        <f>'Orders Baseline'!AZ9</f>
        <v>8</v>
      </c>
      <c r="M9" s="19">
        <f>'Orders Baseline'!BA9</f>
        <v>0</v>
      </c>
      <c r="N9" s="19">
        <f>'Orders Baseline'!BB9</f>
        <v>8</v>
      </c>
      <c r="O9" s="20">
        <f>'Orders Baseline'!BC9</f>
        <v>0</v>
      </c>
      <c r="P9" s="13">
        <v>7</v>
      </c>
      <c r="Q9" s="10">
        <f>ROUND('IHC Baseline'!AY9,2)</f>
        <v>8</v>
      </c>
      <c r="R9" s="11">
        <f>ROUND('IHC Baseline'!AZ9,2)</f>
        <v>8</v>
      </c>
      <c r="S9" s="11">
        <f>ROUND('IHC Baseline'!BA9,2)</f>
        <v>0</v>
      </c>
      <c r="T9" s="12">
        <f>ROUND('IHC Baseline'!BB9,2)</f>
        <v>6</v>
      </c>
      <c r="U9">
        <v>7</v>
      </c>
      <c r="V9" s="10">
        <f>ROUND('UBC Baseline'!AZ9,2)</f>
        <v>0</v>
      </c>
      <c r="W9" s="11">
        <f>ROUND('UBC Baseline'!BA9,2)</f>
        <v>0</v>
      </c>
      <c r="X9" s="11">
        <f>ROUND('UBC Baseline'!BB9,2)</f>
        <v>0</v>
      </c>
      <c r="Y9" s="12">
        <f>ROUND('UBC Baseline'!BC9,2)</f>
        <v>0</v>
      </c>
      <c r="Z9" s="14">
        <v>7</v>
      </c>
      <c r="AA9" s="6">
        <f t="shared" si="0"/>
        <v>44</v>
      </c>
      <c r="AB9" s="7">
        <f t="shared" si="1"/>
        <v>44</v>
      </c>
      <c r="AC9" s="7">
        <f t="shared" si="2"/>
        <v>30</v>
      </c>
      <c r="AD9" s="7">
        <f t="shared" si="3"/>
        <v>42</v>
      </c>
    </row>
    <row r="10" spans="1:30" x14ac:dyDescent="0.35">
      <c r="A10" s="14">
        <v>8</v>
      </c>
      <c r="B10" s="18">
        <f>'Inventory Baseline'!BA10</f>
        <v>20</v>
      </c>
      <c r="C10" s="19">
        <f>'Inventory Baseline'!BB10</f>
        <v>16</v>
      </c>
      <c r="D10" s="19">
        <f>'Inventory Baseline'!BC10</f>
        <v>0</v>
      </c>
      <c r="E10" s="20">
        <f>'Inventory Baseline'!BD10</f>
        <v>8</v>
      </c>
      <c r="F10" s="30">
        <v>8</v>
      </c>
      <c r="G10" s="18">
        <f>'Backlog Baseline'!BA10</f>
        <v>0</v>
      </c>
      <c r="H10" s="19">
        <f>'Backlog Baseline'!BB10</f>
        <v>0</v>
      </c>
      <c r="I10" s="19">
        <f>'Backlog Baseline'!BC10</f>
        <v>4</v>
      </c>
      <c r="J10" s="20">
        <f>'Backlog Baseline'!BD10</f>
        <v>0</v>
      </c>
      <c r="K10" s="30">
        <v>8</v>
      </c>
      <c r="L10" s="18">
        <f>'Orders Baseline'!AZ10</f>
        <v>8</v>
      </c>
      <c r="M10" s="19">
        <f>'Orders Baseline'!BA10</f>
        <v>0</v>
      </c>
      <c r="N10" s="19">
        <f>'Orders Baseline'!BB10</f>
        <v>9</v>
      </c>
      <c r="O10" s="20">
        <f>'Orders Baseline'!BC10</f>
        <v>1</v>
      </c>
      <c r="P10" s="13">
        <v>8</v>
      </c>
      <c r="Q10" s="10">
        <f>ROUND('IHC Baseline'!AY10,2)</f>
        <v>10</v>
      </c>
      <c r="R10" s="11">
        <f>ROUND('IHC Baseline'!AZ10,2)</f>
        <v>8</v>
      </c>
      <c r="S10" s="11">
        <f>ROUND('IHC Baseline'!BA10,2)</f>
        <v>0</v>
      </c>
      <c r="T10" s="12">
        <f>ROUND('IHC Baseline'!BB10,2)</f>
        <v>4</v>
      </c>
      <c r="U10">
        <v>8</v>
      </c>
      <c r="V10" s="10">
        <f>ROUND('UBC Baseline'!AZ10,2)</f>
        <v>0</v>
      </c>
      <c r="W10" s="11">
        <f>ROUND('UBC Baseline'!BA10,2)</f>
        <v>0</v>
      </c>
      <c r="X10" s="11">
        <f>ROUND('UBC Baseline'!BB10,2)</f>
        <v>4</v>
      </c>
      <c r="Y10" s="12">
        <f>ROUND('UBC Baseline'!BC10,2)</f>
        <v>0</v>
      </c>
      <c r="Z10" s="14">
        <v>8</v>
      </c>
      <c r="AA10" s="6">
        <f t="shared" si="0"/>
        <v>54</v>
      </c>
      <c r="AB10" s="7">
        <f t="shared" si="1"/>
        <v>52</v>
      </c>
      <c r="AC10" s="7">
        <f t="shared" si="2"/>
        <v>34</v>
      </c>
      <c r="AD10" s="7">
        <f t="shared" si="3"/>
        <v>46</v>
      </c>
    </row>
    <row r="11" spans="1:30" x14ac:dyDescent="0.35">
      <c r="A11" s="14">
        <v>9</v>
      </c>
      <c r="B11" s="18">
        <f>'Inventory Baseline'!BA11</f>
        <v>19</v>
      </c>
      <c r="C11" s="19">
        <f>'Inventory Baseline'!BB11</f>
        <v>16</v>
      </c>
      <c r="D11" s="19">
        <f>'Inventory Baseline'!BC11</f>
        <v>0</v>
      </c>
      <c r="E11" s="20">
        <f>'Inventory Baseline'!BD11</f>
        <v>0</v>
      </c>
      <c r="F11" s="30">
        <v>9</v>
      </c>
      <c r="G11" s="18">
        <f>'Backlog Baseline'!BA11</f>
        <v>0</v>
      </c>
      <c r="H11" s="19">
        <f>'Backlog Baseline'!BB11</f>
        <v>0</v>
      </c>
      <c r="I11" s="19">
        <f>'Backlog Baseline'!BC11</f>
        <v>8</v>
      </c>
      <c r="J11" s="20">
        <f>'Backlog Baseline'!BD11</f>
        <v>1</v>
      </c>
      <c r="K11" s="30">
        <v>9</v>
      </c>
      <c r="L11" s="18">
        <f>'Orders Baseline'!AZ11</f>
        <v>8</v>
      </c>
      <c r="M11" s="19">
        <f>'Orders Baseline'!BA11</f>
        <v>0</v>
      </c>
      <c r="N11" s="19">
        <f>'Orders Baseline'!BB11</f>
        <v>10</v>
      </c>
      <c r="O11" s="20">
        <f>'Orders Baseline'!BC11</f>
        <v>8</v>
      </c>
      <c r="P11" s="13">
        <v>9</v>
      </c>
      <c r="Q11" s="10">
        <f>ROUND('IHC Baseline'!AY11,2)</f>
        <v>9.5</v>
      </c>
      <c r="R11" s="11">
        <f>ROUND('IHC Baseline'!AZ11,2)</f>
        <v>8</v>
      </c>
      <c r="S11" s="11">
        <f>ROUND('IHC Baseline'!BA11,2)</f>
        <v>0</v>
      </c>
      <c r="T11" s="12">
        <f>ROUND('IHC Baseline'!BB11,2)</f>
        <v>0</v>
      </c>
      <c r="U11">
        <v>9</v>
      </c>
      <c r="V11" s="10">
        <f>ROUND('UBC Baseline'!AZ11,2)</f>
        <v>0</v>
      </c>
      <c r="W11" s="11">
        <f>ROUND('UBC Baseline'!BA11,2)</f>
        <v>0</v>
      </c>
      <c r="X11" s="11">
        <f>ROUND('UBC Baseline'!BB11,2)</f>
        <v>8</v>
      </c>
      <c r="Y11" s="12">
        <f>ROUND('UBC Baseline'!BC11,2)</f>
        <v>1</v>
      </c>
      <c r="Z11" s="14">
        <v>9</v>
      </c>
      <c r="AA11" s="6">
        <f t="shared" si="0"/>
        <v>63.5</v>
      </c>
      <c r="AB11" s="7">
        <f t="shared" si="1"/>
        <v>60</v>
      </c>
      <c r="AC11" s="7">
        <f t="shared" si="2"/>
        <v>42</v>
      </c>
      <c r="AD11" s="7">
        <f t="shared" si="3"/>
        <v>47</v>
      </c>
    </row>
    <row r="12" spans="1:30" x14ac:dyDescent="0.35">
      <c r="A12" s="14">
        <v>10</v>
      </c>
      <c r="B12" s="18">
        <f>'Inventory Baseline'!BA12</f>
        <v>11</v>
      </c>
      <c r="C12" s="19">
        <f>'Inventory Baseline'!BB12</f>
        <v>16</v>
      </c>
      <c r="D12" s="19">
        <f>'Inventory Baseline'!BC12</f>
        <v>0</v>
      </c>
      <c r="E12" s="20">
        <f>'Inventory Baseline'!BD12</f>
        <v>0</v>
      </c>
      <c r="F12" s="30">
        <v>10</v>
      </c>
      <c r="G12" s="18">
        <f>'Backlog Baseline'!BA12</f>
        <v>0</v>
      </c>
      <c r="H12" s="19">
        <f>'Backlog Baseline'!BB12</f>
        <v>0</v>
      </c>
      <c r="I12" s="19">
        <f>'Backlog Baseline'!BC12</f>
        <v>8</v>
      </c>
      <c r="J12" s="20">
        <f>'Backlog Baseline'!BD12</f>
        <v>11</v>
      </c>
      <c r="K12" s="30">
        <v>10</v>
      </c>
      <c r="L12" s="18">
        <f>'Orders Baseline'!AZ12</f>
        <v>8</v>
      </c>
      <c r="M12" s="19">
        <f>'Orders Baseline'!BA12</f>
        <v>0</v>
      </c>
      <c r="N12" s="19">
        <f>'Orders Baseline'!BB12</f>
        <v>10</v>
      </c>
      <c r="O12" s="20">
        <f>'Orders Baseline'!BC12</f>
        <v>12</v>
      </c>
      <c r="P12" s="13">
        <v>10</v>
      </c>
      <c r="Q12" s="10">
        <f>ROUND('IHC Baseline'!AY12,2)</f>
        <v>5.5</v>
      </c>
      <c r="R12" s="11">
        <f>ROUND('IHC Baseline'!AZ12,2)</f>
        <v>8</v>
      </c>
      <c r="S12" s="11">
        <f>ROUND('IHC Baseline'!BA12,2)</f>
        <v>0</v>
      </c>
      <c r="T12" s="12">
        <f>ROUND('IHC Baseline'!BB12,2)</f>
        <v>0</v>
      </c>
      <c r="U12">
        <v>10</v>
      </c>
      <c r="V12" s="10">
        <f>ROUND('UBC Baseline'!AZ12,2)</f>
        <v>0</v>
      </c>
      <c r="W12" s="11">
        <f>ROUND('UBC Baseline'!BA12,2)</f>
        <v>0</v>
      </c>
      <c r="X12" s="11">
        <f>ROUND('UBC Baseline'!BB12,2)</f>
        <v>8</v>
      </c>
      <c r="Y12" s="12">
        <f>ROUND('UBC Baseline'!BC12,2)</f>
        <v>11</v>
      </c>
      <c r="Z12" s="14">
        <v>10</v>
      </c>
      <c r="AA12" s="6">
        <f t="shared" si="0"/>
        <v>69</v>
      </c>
      <c r="AB12" s="7">
        <f t="shared" si="1"/>
        <v>68</v>
      </c>
      <c r="AC12" s="7">
        <f t="shared" si="2"/>
        <v>50</v>
      </c>
      <c r="AD12" s="7">
        <f t="shared" si="3"/>
        <v>58</v>
      </c>
    </row>
    <row r="13" spans="1:30" x14ac:dyDescent="0.35">
      <c r="A13" s="14">
        <v>11</v>
      </c>
      <c r="B13" s="18">
        <f>'Inventory Baseline'!BA13</f>
        <v>0</v>
      </c>
      <c r="C13" s="19">
        <f>'Inventory Baseline'!BB13</f>
        <v>16</v>
      </c>
      <c r="D13" s="19">
        <f>'Inventory Baseline'!BC13</f>
        <v>0</v>
      </c>
      <c r="E13" s="20">
        <f>'Inventory Baseline'!BD13</f>
        <v>0</v>
      </c>
      <c r="F13" s="30">
        <v>11</v>
      </c>
      <c r="G13" s="18">
        <f>'Backlog Baseline'!BA13</f>
        <v>1</v>
      </c>
      <c r="H13" s="19">
        <f>'Backlog Baseline'!BB13</f>
        <v>0</v>
      </c>
      <c r="I13" s="19">
        <f>'Backlog Baseline'!BC13</f>
        <v>8</v>
      </c>
      <c r="J13" s="20">
        <f>'Backlog Baseline'!BD13</f>
        <v>20</v>
      </c>
      <c r="K13" s="30">
        <v>11</v>
      </c>
      <c r="L13" s="18">
        <f>'Orders Baseline'!AZ13</f>
        <v>8</v>
      </c>
      <c r="M13" s="19">
        <f>'Orders Baseline'!BA13</f>
        <v>3</v>
      </c>
      <c r="N13" s="19">
        <f>'Orders Baseline'!BB13</f>
        <v>10</v>
      </c>
      <c r="O13" s="20">
        <f>'Orders Baseline'!BC13</f>
        <v>15</v>
      </c>
      <c r="P13" s="13">
        <v>11</v>
      </c>
      <c r="Q13" s="10">
        <f>ROUND('IHC Baseline'!AY13,2)</f>
        <v>0</v>
      </c>
      <c r="R13" s="11">
        <f>ROUND('IHC Baseline'!AZ13,2)</f>
        <v>8</v>
      </c>
      <c r="S13" s="11">
        <f>ROUND('IHC Baseline'!BA13,2)</f>
        <v>0</v>
      </c>
      <c r="T13" s="12">
        <f>ROUND('IHC Baseline'!BB13,2)</f>
        <v>0</v>
      </c>
      <c r="U13">
        <v>11</v>
      </c>
      <c r="V13" s="10">
        <f>ROUND('UBC Baseline'!AZ13,2)</f>
        <v>1</v>
      </c>
      <c r="W13" s="11">
        <f>ROUND('UBC Baseline'!BA13,2)</f>
        <v>0</v>
      </c>
      <c r="X13" s="11">
        <f>ROUND('UBC Baseline'!BB13,2)</f>
        <v>8</v>
      </c>
      <c r="Y13" s="12">
        <f>ROUND('UBC Baseline'!BC13,2)</f>
        <v>20</v>
      </c>
      <c r="Z13" s="14">
        <v>11</v>
      </c>
      <c r="AA13" s="6">
        <f t="shared" si="0"/>
        <v>70</v>
      </c>
      <c r="AB13" s="7">
        <f t="shared" si="1"/>
        <v>76</v>
      </c>
      <c r="AC13" s="7">
        <f t="shared" si="2"/>
        <v>58</v>
      </c>
      <c r="AD13" s="7">
        <f t="shared" si="3"/>
        <v>78</v>
      </c>
    </row>
    <row r="14" spans="1:30" x14ac:dyDescent="0.35">
      <c r="A14" s="14">
        <v>12</v>
      </c>
      <c r="B14" s="18">
        <f>'Inventory Baseline'!BA14</f>
        <v>0</v>
      </c>
      <c r="C14" s="19">
        <f>'Inventory Baseline'!BB14</f>
        <v>13</v>
      </c>
      <c r="D14" s="19">
        <f>'Inventory Baseline'!BC14</f>
        <v>0</v>
      </c>
      <c r="E14" s="20">
        <f>'Inventory Baseline'!BD14</f>
        <v>0</v>
      </c>
      <c r="F14" s="30">
        <v>12</v>
      </c>
      <c r="G14" s="18">
        <f>'Backlog Baseline'!BA14</f>
        <v>16</v>
      </c>
      <c r="H14" s="19">
        <f>'Backlog Baseline'!BB14</f>
        <v>0</v>
      </c>
      <c r="I14" s="19">
        <f>'Backlog Baseline'!BC14</f>
        <v>16</v>
      </c>
      <c r="J14" s="20">
        <f>'Backlog Baseline'!BD14</f>
        <v>22</v>
      </c>
      <c r="K14" s="30">
        <v>12</v>
      </c>
      <c r="L14" s="18">
        <f>'Orders Baseline'!AZ14</f>
        <v>8</v>
      </c>
      <c r="M14" s="19">
        <f>'Orders Baseline'!BA14</f>
        <v>15</v>
      </c>
      <c r="N14" s="19">
        <f>'Orders Baseline'!BB14</f>
        <v>9</v>
      </c>
      <c r="O14" s="20">
        <f>'Orders Baseline'!BC14</f>
        <v>16</v>
      </c>
      <c r="P14" s="13">
        <v>12</v>
      </c>
      <c r="Q14" s="10">
        <f>ROUND('IHC Baseline'!AY14,2)</f>
        <v>0</v>
      </c>
      <c r="R14" s="11">
        <f>ROUND('IHC Baseline'!AZ14,2)</f>
        <v>6.5</v>
      </c>
      <c r="S14" s="11">
        <f>ROUND('IHC Baseline'!BA14,2)</f>
        <v>0</v>
      </c>
      <c r="T14" s="12">
        <f>ROUND('IHC Baseline'!BB14,2)</f>
        <v>0</v>
      </c>
      <c r="U14">
        <v>12</v>
      </c>
      <c r="V14" s="10">
        <f>ROUND('UBC Baseline'!AZ14,2)</f>
        <v>16</v>
      </c>
      <c r="W14" s="11">
        <f>ROUND('UBC Baseline'!BA14,2)</f>
        <v>0</v>
      </c>
      <c r="X14" s="11">
        <f>ROUND('UBC Baseline'!BB14,2)</f>
        <v>16</v>
      </c>
      <c r="Y14" s="12">
        <f>ROUND('UBC Baseline'!BC14,2)</f>
        <v>22</v>
      </c>
      <c r="Z14" s="14">
        <v>12</v>
      </c>
      <c r="AA14" s="6">
        <f t="shared" si="0"/>
        <v>86</v>
      </c>
      <c r="AB14" s="7">
        <f t="shared" si="1"/>
        <v>82.5</v>
      </c>
      <c r="AC14" s="7">
        <f t="shared" si="2"/>
        <v>74</v>
      </c>
      <c r="AD14" s="7">
        <f t="shared" si="3"/>
        <v>100</v>
      </c>
    </row>
    <row r="15" spans="1:30" x14ac:dyDescent="0.35">
      <c r="A15" s="14">
        <v>13</v>
      </c>
      <c r="B15" s="18">
        <f>'Inventory Baseline'!BA15</f>
        <v>0</v>
      </c>
      <c r="C15" s="19">
        <f>'Inventory Baseline'!BB15</f>
        <v>0</v>
      </c>
      <c r="D15" s="19">
        <f>'Inventory Baseline'!BC15</f>
        <v>0</v>
      </c>
      <c r="E15" s="20">
        <f>'Inventory Baseline'!BD15</f>
        <v>0</v>
      </c>
      <c r="F15" s="30">
        <v>13</v>
      </c>
      <c r="G15" s="18">
        <f>'Backlog Baseline'!BA15</f>
        <v>32</v>
      </c>
      <c r="H15" s="19">
        <f>'Backlog Baseline'!BB15</f>
        <v>2</v>
      </c>
      <c r="I15" s="19">
        <f>'Backlog Baseline'!BC15</f>
        <v>23</v>
      </c>
      <c r="J15" s="20">
        <f>'Backlog Baseline'!BD15</f>
        <v>20</v>
      </c>
      <c r="K15" s="30">
        <v>13</v>
      </c>
      <c r="L15" s="18">
        <f>'Orders Baseline'!AZ15</f>
        <v>8</v>
      </c>
      <c r="M15" s="19">
        <f>'Orders Baseline'!BA15</f>
        <v>23</v>
      </c>
      <c r="N15" s="19">
        <f>'Orders Baseline'!BB15</f>
        <v>9</v>
      </c>
      <c r="O15" s="20">
        <f>'Orders Baseline'!BC15</f>
        <v>14</v>
      </c>
      <c r="P15" s="13">
        <v>13</v>
      </c>
      <c r="Q15" s="10">
        <f>ROUND('IHC Baseline'!AY15,2)</f>
        <v>0</v>
      </c>
      <c r="R15" s="11">
        <f>ROUND('IHC Baseline'!AZ15,2)</f>
        <v>0</v>
      </c>
      <c r="S15" s="11">
        <f>ROUND('IHC Baseline'!BA15,2)</f>
        <v>0</v>
      </c>
      <c r="T15" s="12">
        <f>ROUND('IHC Baseline'!BB15,2)</f>
        <v>0</v>
      </c>
      <c r="U15">
        <v>13</v>
      </c>
      <c r="V15" s="10">
        <f>ROUND('UBC Baseline'!AZ15,2)</f>
        <v>32</v>
      </c>
      <c r="W15" s="11">
        <f>ROUND('UBC Baseline'!BA15,2)</f>
        <v>2</v>
      </c>
      <c r="X15" s="11">
        <f>ROUND('UBC Baseline'!BB15,2)</f>
        <v>23</v>
      </c>
      <c r="Y15" s="12">
        <f>ROUND('UBC Baseline'!BC15,2)</f>
        <v>20</v>
      </c>
      <c r="Z15" s="14">
        <v>13</v>
      </c>
      <c r="AA15" s="6">
        <f t="shared" si="0"/>
        <v>118</v>
      </c>
      <c r="AB15" s="7">
        <f t="shared" si="1"/>
        <v>84.5</v>
      </c>
      <c r="AC15" s="7">
        <f t="shared" si="2"/>
        <v>97</v>
      </c>
      <c r="AD15" s="7">
        <f t="shared" si="3"/>
        <v>120</v>
      </c>
    </row>
    <row r="16" spans="1:30" x14ac:dyDescent="0.35">
      <c r="A16" s="14">
        <v>14</v>
      </c>
      <c r="B16" s="18">
        <f>'Inventory Baseline'!BA16</f>
        <v>0</v>
      </c>
      <c r="C16" s="19">
        <f>'Inventory Baseline'!BB16</f>
        <v>0</v>
      </c>
      <c r="D16" s="19">
        <f>'Inventory Baseline'!BC16</f>
        <v>0</v>
      </c>
      <c r="E16" s="20">
        <f>'Inventory Baseline'!BD16</f>
        <v>0</v>
      </c>
      <c r="F16" s="30">
        <v>14</v>
      </c>
      <c r="G16" s="18">
        <f>'Backlog Baseline'!BA16</f>
        <v>43</v>
      </c>
      <c r="H16" s="19">
        <f>'Backlog Baseline'!BB16</f>
        <v>25</v>
      </c>
      <c r="I16" s="19">
        <f>'Backlog Baseline'!BC16</f>
        <v>23</v>
      </c>
      <c r="J16" s="20">
        <f>'Backlog Baseline'!BD16</f>
        <v>29</v>
      </c>
      <c r="K16" s="30">
        <v>14</v>
      </c>
      <c r="L16" s="18">
        <f>'Orders Baseline'!AZ16</f>
        <v>8</v>
      </c>
      <c r="M16" s="19">
        <f>'Orders Baseline'!BA16</f>
        <v>27</v>
      </c>
      <c r="N16" s="19">
        <f>'Orders Baseline'!BB16</f>
        <v>10</v>
      </c>
      <c r="O16" s="20">
        <f>'Orders Baseline'!BC16</f>
        <v>12</v>
      </c>
      <c r="P16" s="13">
        <v>14</v>
      </c>
      <c r="Q16" s="10">
        <f>ROUND('IHC Baseline'!AY16,2)</f>
        <v>0</v>
      </c>
      <c r="R16" s="11">
        <f>ROUND('IHC Baseline'!AZ16,2)</f>
        <v>0</v>
      </c>
      <c r="S16" s="11">
        <f>ROUND('IHC Baseline'!BA16,2)</f>
        <v>0</v>
      </c>
      <c r="T16" s="12">
        <f>ROUND('IHC Baseline'!BB16,2)</f>
        <v>0</v>
      </c>
      <c r="U16">
        <v>14</v>
      </c>
      <c r="V16" s="10">
        <f>ROUND('UBC Baseline'!AZ16,2)</f>
        <v>43</v>
      </c>
      <c r="W16" s="11">
        <f>ROUND('UBC Baseline'!BA16,2)</f>
        <v>25</v>
      </c>
      <c r="X16" s="11">
        <f>ROUND('UBC Baseline'!BB16,2)</f>
        <v>23</v>
      </c>
      <c r="Y16" s="12">
        <f>ROUND('UBC Baseline'!BC16,2)</f>
        <v>29</v>
      </c>
      <c r="Z16" s="14">
        <v>14</v>
      </c>
      <c r="AA16" s="6">
        <f t="shared" si="0"/>
        <v>161</v>
      </c>
      <c r="AB16" s="7">
        <f t="shared" si="1"/>
        <v>109.5</v>
      </c>
      <c r="AC16" s="7">
        <f t="shared" si="2"/>
        <v>120</v>
      </c>
      <c r="AD16" s="7">
        <f t="shared" si="3"/>
        <v>149</v>
      </c>
    </row>
    <row r="17" spans="1:30" x14ac:dyDescent="0.35">
      <c r="A17" s="14">
        <v>15</v>
      </c>
      <c r="B17" s="18">
        <f>'Inventory Baseline'!BA17</f>
        <v>0</v>
      </c>
      <c r="C17" s="19">
        <f>'Inventory Baseline'!BB17</f>
        <v>0</v>
      </c>
      <c r="D17" s="19">
        <f>'Inventory Baseline'!BC17</f>
        <v>0</v>
      </c>
      <c r="E17" s="20">
        <f>'Inventory Baseline'!BD17</f>
        <v>0</v>
      </c>
      <c r="F17" s="30">
        <v>15</v>
      </c>
      <c r="G17" s="18">
        <f>'Backlog Baseline'!BA17</f>
        <v>42</v>
      </c>
      <c r="H17" s="19">
        <f>'Backlog Baseline'!BB17</f>
        <v>52</v>
      </c>
      <c r="I17" s="19">
        <f>'Backlog Baseline'!BC17</f>
        <v>20</v>
      </c>
      <c r="J17" s="20">
        <f>'Backlog Baseline'!BD17</f>
        <v>39</v>
      </c>
      <c r="K17" s="30">
        <v>15</v>
      </c>
      <c r="L17" s="18">
        <f>'Orders Baseline'!AZ17</f>
        <v>8</v>
      </c>
      <c r="M17" s="19">
        <f>'Orders Baseline'!BA17</f>
        <v>24</v>
      </c>
      <c r="N17" s="19">
        <f>'Orders Baseline'!BB17</f>
        <v>9</v>
      </c>
      <c r="O17" s="20">
        <f>'Orders Baseline'!BC17</f>
        <v>11</v>
      </c>
      <c r="P17" s="13">
        <v>15</v>
      </c>
      <c r="Q17" s="10">
        <f>ROUND('IHC Baseline'!AY17,2)</f>
        <v>0</v>
      </c>
      <c r="R17" s="11">
        <f>ROUND('IHC Baseline'!AZ17,2)</f>
        <v>0</v>
      </c>
      <c r="S17" s="11">
        <f>ROUND('IHC Baseline'!BA17,2)</f>
        <v>0</v>
      </c>
      <c r="T17" s="12">
        <f>ROUND('IHC Baseline'!BB17,2)</f>
        <v>0</v>
      </c>
      <c r="U17">
        <v>15</v>
      </c>
      <c r="V17" s="10">
        <f>ROUND('UBC Baseline'!AZ17,2)</f>
        <v>42</v>
      </c>
      <c r="W17" s="11">
        <f>ROUND('UBC Baseline'!BA17,2)</f>
        <v>52</v>
      </c>
      <c r="X17" s="11">
        <f>ROUND('UBC Baseline'!BB17,2)</f>
        <v>20</v>
      </c>
      <c r="Y17" s="12">
        <f>ROUND('UBC Baseline'!BC17,2)</f>
        <v>39</v>
      </c>
      <c r="Z17" s="14">
        <v>15</v>
      </c>
      <c r="AA17" s="6">
        <f t="shared" si="0"/>
        <v>203</v>
      </c>
      <c r="AB17" s="7">
        <f t="shared" si="1"/>
        <v>161.5</v>
      </c>
      <c r="AC17" s="7">
        <f t="shared" si="2"/>
        <v>140</v>
      </c>
      <c r="AD17" s="7">
        <f t="shared" si="3"/>
        <v>188</v>
      </c>
    </row>
    <row r="18" spans="1:30" x14ac:dyDescent="0.35">
      <c r="A18" s="14">
        <v>16</v>
      </c>
      <c r="B18" s="18">
        <f>'Inventory Baseline'!BA18</f>
        <v>0</v>
      </c>
      <c r="C18" s="19">
        <f>'Inventory Baseline'!BB18</f>
        <v>0</v>
      </c>
      <c r="D18" s="19">
        <f>'Inventory Baseline'!BC18</f>
        <v>0</v>
      </c>
      <c r="E18" s="20">
        <f>'Inventory Baseline'!BD18</f>
        <v>0</v>
      </c>
      <c r="F18" s="30">
        <v>16</v>
      </c>
      <c r="G18" s="18">
        <f>'Backlog Baseline'!BA18</f>
        <v>53</v>
      </c>
      <c r="H18" s="19">
        <f>'Backlog Baseline'!BB18</f>
        <v>63</v>
      </c>
      <c r="I18" s="19">
        <f>'Backlog Baseline'!BC18</f>
        <v>28</v>
      </c>
      <c r="J18" s="20">
        <f>'Backlog Baseline'!BD18</f>
        <v>45</v>
      </c>
      <c r="K18" s="30">
        <v>16</v>
      </c>
      <c r="L18" s="18">
        <f>'Orders Baseline'!AZ18</f>
        <v>8</v>
      </c>
      <c r="M18" s="19">
        <f>'Orders Baseline'!BA18</f>
        <v>19</v>
      </c>
      <c r="N18" s="19">
        <f>'Orders Baseline'!BB18</f>
        <v>8</v>
      </c>
      <c r="O18" s="20">
        <f>'Orders Baseline'!BC18</f>
        <v>13</v>
      </c>
      <c r="P18" s="13">
        <v>16</v>
      </c>
      <c r="Q18" s="10">
        <f>ROUND('IHC Baseline'!AY18,2)</f>
        <v>0</v>
      </c>
      <c r="R18" s="11">
        <f>ROUND('IHC Baseline'!AZ18,2)</f>
        <v>0</v>
      </c>
      <c r="S18" s="11">
        <f>ROUND('IHC Baseline'!BA18,2)</f>
        <v>0</v>
      </c>
      <c r="T18" s="12">
        <f>ROUND('IHC Baseline'!BB18,2)</f>
        <v>0</v>
      </c>
      <c r="U18">
        <v>16</v>
      </c>
      <c r="V18" s="10">
        <f>ROUND('UBC Baseline'!AZ18,2)</f>
        <v>53</v>
      </c>
      <c r="W18" s="11">
        <f>ROUND('UBC Baseline'!BA18,2)</f>
        <v>63</v>
      </c>
      <c r="X18" s="11">
        <f>ROUND('UBC Baseline'!BB18,2)</f>
        <v>28</v>
      </c>
      <c r="Y18" s="12">
        <f>ROUND('UBC Baseline'!BC18,2)</f>
        <v>45</v>
      </c>
      <c r="Z18" s="14">
        <v>16</v>
      </c>
      <c r="AA18" s="6">
        <f t="shared" si="0"/>
        <v>256</v>
      </c>
      <c r="AB18" s="7">
        <f t="shared" si="1"/>
        <v>224.5</v>
      </c>
      <c r="AC18" s="7">
        <f t="shared" si="2"/>
        <v>168</v>
      </c>
      <c r="AD18" s="7">
        <f t="shared" si="3"/>
        <v>233</v>
      </c>
    </row>
    <row r="19" spans="1:30" x14ac:dyDescent="0.35">
      <c r="A19" s="14">
        <v>17</v>
      </c>
      <c r="B19" s="18">
        <f>'Inventory Baseline'!BA19</f>
        <v>0</v>
      </c>
      <c r="C19" s="19">
        <f>'Inventory Baseline'!BB19</f>
        <v>0</v>
      </c>
      <c r="D19" s="19">
        <f>'Inventory Baseline'!BC19</f>
        <v>0</v>
      </c>
      <c r="E19" s="20">
        <f>'Inventory Baseline'!BD19</f>
        <v>0</v>
      </c>
      <c r="F19" s="30">
        <v>17</v>
      </c>
      <c r="G19" s="18">
        <f>'Backlog Baseline'!BA19</f>
        <v>66</v>
      </c>
      <c r="H19" s="19">
        <f>'Backlog Baseline'!BB19</f>
        <v>51</v>
      </c>
      <c r="I19" s="19">
        <f>'Backlog Baseline'!BC19</f>
        <v>36</v>
      </c>
      <c r="J19" s="20">
        <f>'Backlog Baseline'!BD19</f>
        <v>40</v>
      </c>
      <c r="K19" s="30">
        <v>17</v>
      </c>
      <c r="L19" s="18">
        <f>'Orders Baseline'!AZ19</f>
        <v>8</v>
      </c>
      <c r="M19" s="19">
        <f>'Orders Baseline'!BA19</f>
        <v>15</v>
      </c>
      <c r="N19" s="19">
        <f>'Orders Baseline'!BB19</f>
        <v>9</v>
      </c>
      <c r="O19" s="20">
        <f>'Orders Baseline'!BC19</f>
        <v>11</v>
      </c>
      <c r="P19" s="13">
        <v>17</v>
      </c>
      <c r="Q19" s="10">
        <f>ROUND('IHC Baseline'!AY19,2)</f>
        <v>0</v>
      </c>
      <c r="R19" s="11">
        <f>ROUND('IHC Baseline'!AZ19,2)</f>
        <v>0</v>
      </c>
      <c r="S19" s="11">
        <f>ROUND('IHC Baseline'!BA19,2)</f>
        <v>0</v>
      </c>
      <c r="T19" s="12">
        <f>ROUND('IHC Baseline'!BB19,2)</f>
        <v>0</v>
      </c>
      <c r="U19">
        <v>17</v>
      </c>
      <c r="V19" s="10">
        <f>ROUND('UBC Baseline'!AZ19,2)</f>
        <v>66</v>
      </c>
      <c r="W19" s="11">
        <f>ROUND('UBC Baseline'!BA19,2)</f>
        <v>51</v>
      </c>
      <c r="X19" s="11">
        <f>ROUND('UBC Baseline'!BB19,2)</f>
        <v>36</v>
      </c>
      <c r="Y19" s="12">
        <f>ROUND('UBC Baseline'!BC19,2)</f>
        <v>40</v>
      </c>
      <c r="Z19" s="14">
        <v>17</v>
      </c>
      <c r="AA19" s="6">
        <f t="shared" si="0"/>
        <v>322</v>
      </c>
      <c r="AB19" s="7">
        <f t="shared" si="1"/>
        <v>275.5</v>
      </c>
      <c r="AC19" s="7">
        <f t="shared" si="2"/>
        <v>204</v>
      </c>
      <c r="AD19" s="7">
        <f t="shared" si="3"/>
        <v>273</v>
      </c>
    </row>
    <row r="20" spans="1:30" x14ac:dyDescent="0.35">
      <c r="A20" s="14">
        <v>18</v>
      </c>
      <c r="B20" s="18">
        <f>'Inventory Baseline'!BA20</f>
        <v>0</v>
      </c>
      <c r="C20" s="19">
        <f>'Inventory Baseline'!BB20</f>
        <v>0</v>
      </c>
      <c r="D20" s="19">
        <f>'Inventory Baseline'!BC20</f>
        <v>0</v>
      </c>
      <c r="E20" s="20">
        <f>'Inventory Baseline'!BD20</f>
        <v>0</v>
      </c>
      <c r="F20" s="30">
        <v>18</v>
      </c>
      <c r="G20" s="18">
        <f>'Backlog Baseline'!BA20</f>
        <v>64</v>
      </c>
      <c r="H20" s="19">
        <f>'Backlog Baseline'!BB20</f>
        <v>24</v>
      </c>
      <c r="I20" s="19">
        <f>'Backlog Baseline'!BC20</f>
        <v>41</v>
      </c>
      <c r="J20" s="20">
        <f>'Backlog Baseline'!BD20</f>
        <v>49</v>
      </c>
      <c r="K20" s="30">
        <v>18</v>
      </c>
      <c r="L20" s="18">
        <f>'Orders Baseline'!AZ20</f>
        <v>8</v>
      </c>
      <c r="M20" s="19">
        <f>'Orders Baseline'!BA20</f>
        <v>16</v>
      </c>
      <c r="N20" s="19">
        <f>'Orders Baseline'!BB20</f>
        <v>10</v>
      </c>
      <c r="O20" s="20">
        <f>'Orders Baseline'!BC20</f>
        <v>8</v>
      </c>
      <c r="P20" s="13">
        <v>18</v>
      </c>
      <c r="Q20" s="10">
        <f>ROUND('IHC Baseline'!AY20,2)</f>
        <v>0</v>
      </c>
      <c r="R20" s="11">
        <f>ROUND('IHC Baseline'!AZ20,2)</f>
        <v>0</v>
      </c>
      <c r="S20" s="11">
        <f>ROUND('IHC Baseline'!BA20,2)</f>
        <v>0</v>
      </c>
      <c r="T20" s="12">
        <f>ROUND('IHC Baseline'!BB20,2)</f>
        <v>0</v>
      </c>
      <c r="U20">
        <v>18</v>
      </c>
      <c r="V20" s="10">
        <f>ROUND('UBC Baseline'!AZ20,2)</f>
        <v>64</v>
      </c>
      <c r="W20" s="11">
        <f>ROUND('UBC Baseline'!BA20,2)</f>
        <v>24</v>
      </c>
      <c r="X20" s="11">
        <f>ROUND('UBC Baseline'!BB20,2)</f>
        <v>41</v>
      </c>
      <c r="Y20" s="12">
        <f>ROUND('UBC Baseline'!BC20,2)</f>
        <v>49</v>
      </c>
      <c r="Z20" s="14">
        <v>18</v>
      </c>
      <c r="AA20" s="6">
        <f t="shared" si="0"/>
        <v>386</v>
      </c>
      <c r="AB20" s="7">
        <f t="shared" si="1"/>
        <v>299.5</v>
      </c>
      <c r="AC20" s="7">
        <f t="shared" si="2"/>
        <v>245</v>
      </c>
      <c r="AD20" s="7">
        <f t="shared" si="3"/>
        <v>322</v>
      </c>
    </row>
    <row r="21" spans="1:30" x14ac:dyDescent="0.35">
      <c r="A21" s="14">
        <v>19</v>
      </c>
      <c r="B21" s="18">
        <f>'Inventory Baseline'!BA21</f>
        <v>0</v>
      </c>
      <c r="C21" s="19">
        <f>'Inventory Baseline'!BB21</f>
        <v>0</v>
      </c>
      <c r="D21" s="19">
        <f>'Inventory Baseline'!BC21</f>
        <v>0</v>
      </c>
      <c r="E21" s="20">
        <f>'Inventory Baseline'!BD21</f>
        <v>0</v>
      </c>
      <c r="F21" s="30">
        <v>19</v>
      </c>
      <c r="G21" s="18">
        <f>'Backlog Baseline'!BA21</f>
        <v>41</v>
      </c>
      <c r="H21" s="19">
        <f>'Backlog Baseline'!BB21</f>
        <v>0</v>
      </c>
      <c r="I21" s="19">
        <f>'Backlog Baseline'!BC21</f>
        <v>36</v>
      </c>
      <c r="J21" s="20">
        <f>'Backlog Baseline'!BD21</f>
        <v>59</v>
      </c>
      <c r="K21" s="30">
        <v>19</v>
      </c>
      <c r="L21" s="18">
        <f>'Orders Baseline'!AZ21</f>
        <v>8</v>
      </c>
      <c r="M21" s="19">
        <f>'Orders Baseline'!BA21</f>
        <v>13</v>
      </c>
      <c r="N21" s="19">
        <f>'Orders Baseline'!BB21</f>
        <v>9</v>
      </c>
      <c r="O21" s="20">
        <f>'Orders Baseline'!BC21</f>
        <v>10</v>
      </c>
      <c r="P21" s="13">
        <v>19</v>
      </c>
      <c r="Q21" s="10">
        <f>ROUND('IHC Baseline'!AY21,2)</f>
        <v>0</v>
      </c>
      <c r="R21" s="11">
        <f>ROUND('IHC Baseline'!AZ21,2)</f>
        <v>0</v>
      </c>
      <c r="S21" s="11">
        <f>ROUND('IHC Baseline'!BA21,2)</f>
        <v>0</v>
      </c>
      <c r="T21" s="12">
        <f>ROUND('IHC Baseline'!BB21,2)</f>
        <v>0</v>
      </c>
      <c r="U21">
        <v>19</v>
      </c>
      <c r="V21" s="10">
        <f>ROUND('UBC Baseline'!AZ21,2)</f>
        <v>41</v>
      </c>
      <c r="W21" s="11">
        <f>ROUND('UBC Baseline'!BA21,2)</f>
        <v>0</v>
      </c>
      <c r="X21" s="11">
        <f>ROUND('UBC Baseline'!BB21,2)</f>
        <v>36</v>
      </c>
      <c r="Y21" s="12">
        <f>ROUND('UBC Baseline'!BC21,2)</f>
        <v>59</v>
      </c>
      <c r="Z21" s="14">
        <v>19</v>
      </c>
      <c r="AA21" s="6">
        <f t="shared" si="0"/>
        <v>427</v>
      </c>
      <c r="AB21" s="7">
        <f t="shared" si="1"/>
        <v>299.5</v>
      </c>
      <c r="AC21" s="7">
        <f t="shared" si="2"/>
        <v>281</v>
      </c>
      <c r="AD21" s="7">
        <f t="shared" si="3"/>
        <v>381</v>
      </c>
    </row>
    <row r="22" spans="1:30" x14ac:dyDescent="0.35">
      <c r="A22" s="14">
        <v>20</v>
      </c>
      <c r="B22" s="18">
        <f>'Inventory Baseline'!BA22</f>
        <v>0</v>
      </c>
      <c r="C22" s="19">
        <f>'Inventory Baseline'!BB22</f>
        <v>16</v>
      </c>
      <c r="D22" s="19">
        <f>'Inventory Baseline'!BC22</f>
        <v>0</v>
      </c>
      <c r="E22" s="20">
        <f>'Inventory Baseline'!BD22</f>
        <v>0</v>
      </c>
      <c r="F22" s="30">
        <v>20</v>
      </c>
      <c r="G22" s="18">
        <f>'Backlog Baseline'!BA22</f>
        <v>9</v>
      </c>
      <c r="H22" s="19">
        <f>'Backlog Baseline'!BB22</f>
        <v>0</v>
      </c>
      <c r="I22" s="19">
        <f>'Backlog Baseline'!BC22</f>
        <v>44</v>
      </c>
      <c r="J22" s="20">
        <f>'Backlog Baseline'!BD22</f>
        <v>55</v>
      </c>
      <c r="K22" s="30">
        <v>20</v>
      </c>
      <c r="L22" s="18">
        <f>'Orders Baseline'!AZ22</f>
        <v>8</v>
      </c>
      <c r="M22" s="19">
        <f>'Orders Baseline'!BA22</f>
        <v>5</v>
      </c>
      <c r="N22" s="19">
        <f>'Orders Baseline'!BB22</f>
        <v>8</v>
      </c>
      <c r="O22" s="20">
        <f>'Orders Baseline'!BC22</f>
        <v>12</v>
      </c>
      <c r="P22" s="13">
        <v>20</v>
      </c>
      <c r="Q22" s="10">
        <f>ROUND('IHC Baseline'!AY22,2)</f>
        <v>0</v>
      </c>
      <c r="R22" s="11">
        <f>ROUND('IHC Baseline'!AZ22,2)</f>
        <v>8</v>
      </c>
      <c r="S22" s="11">
        <f>ROUND('IHC Baseline'!BA22,2)</f>
        <v>0</v>
      </c>
      <c r="T22" s="12">
        <f>ROUND('IHC Baseline'!BB22,2)</f>
        <v>0</v>
      </c>
      <c r="U22">
        <v>20</v>
      </c>
      <c r="V22" s="10">
        <f>ROUND('UBC Baseline'!AZ22,2)</f>
        <v>9</v>
      </c>
      <c r="W22" s="11">
        <f>ROUND('UBC Baseline'!BA22,2)</f>
        <v>0</v>
      </c>
      <c r="X22" s="11">
        <f>ROUND('UBC Baseline'!BB22,2)</f>
        <v>44</v>
      </c>
      <c r="Y22" s="12">
        <f>ROUND('UBC Baseline'!BC22,2)</f>
        <v>55</v>
      </c>
      <c r="Z22" s="14">
        <v>20</v>
      </c>
      <c r="AA22" s="6">
        <f t="shared" si="0"/>
        <v>436</v>
      </c>
      <c r="AB22" s="7">
        <f t="shared" si="1"/>
        <v>307.5</v>
      </c>
      <c r="AC22" s="7">
        <f t="shared" si="2"/>
        <v>325</v>
      </c>
      <c r="AD22" s="7">
        <f t="shared" si="3"/>
        <v>436</v>
      </c>
    </row>
    <row r="23" spans="1:30" x14ac:dyDescent="0.35">
      <c r="A23" s="14">
        <v>21</v>
      </c>
      <c r="B23" s="18">
        <f>'Inventory Baseline'!BA23</f>
        <v>19</v>
      </c>
      <c r="C23" s="19">
        <f>'Inventory Baseline'!BB23</f>
        <v>28</v>
      </c>
      <c r="D23" s="19">
        <f>'Inventory Baseline'!BC23</f>
        <v>0</v>
      </c>
      <c r="E23" s="20">
        <f>'Inventory Baseline'!BD23</f>
        <v>0</v>
      </c>
      <c r="F23" s="30">
        <v>21</v>
      </c>
      <c r="G23" s="18">
        <f>'Backlog Baseline'!BA23</f>
        <v>0</v>
      </c>
      <c r="H23" s="19">
        <f>'Backlog Baseline'!BB23</f>
        <v>0</v>
      </c>
      <c r="I23" s="19">
        <f>'Backlog Baseline'!BC23</f>
        <v>52</v>
      </c>
      <c r="J23" s="20">
        <f>'Backlog Baseline'!BD23</f>
        <v>32</v>
      </c>
      <c r="K23" s="30">
        <v>21</v>
      </c>
      <c r="L23" s="18">
        <f>'Orders Baseline'!AZ23</f>
        <v>8</v>
      </c>
      <c r="M23" s="19">
        <f>'Orders Baseline'!BA23</f>
        <v>4</v>
      </c>
      <c r="N23" s="19">
        <f>'Orders Baseline'!BB23</f>
        <v>9</v>
      </c>
      <c r="O23" s="20">
        <f>'Orders Baseline'!BC23</f>
        <v>10</v>
      </c>
      <c r="P23" s="13">
        <v>21</v>
      </c>
      <c r="Q23" s="10">
        <f>ROUND('IHC Baseline'!AY23,2)</f>
        <v>9.5</v>
      </c>
      <c r="R23" s="11">
        <f>ROUND('IHC Baseline'!AZ23,2)</f>
        <v>14</v>
      </c>
      <c r="S23" s="11">
        <f>ROUND('IHC Baseline'!BA23,2)</f>
        <v>0</v>
      </c>
      <c r="T23" s="12">
        <f>ROUND('IHC Baseline'!BB23,2)</f>
        <v>0</v>
      </c>
      <c r="U23">
        <v>21</v>
      </c>
      <c r="V23" s="10">
        <f>ROUND('UBC Baseline'!AZ23,2)</f>
        <v>0</v>
      </c>
      <c r="W23" s="11">
        <f>ROUND('UBC Baseline'!BA23,2)</f>
        <v>0</v>
      </c>
      <c r="X23" s="11">
        <f>ROUND('UBC Baseline'!BB23,2)</f>
        <v>52</v>
      </c>
      <c r="Y23" s="12">
        <f>ROUND('UBC Baseline'!BC23,2)</f>
        <v>32</v>
      </c>
      <c r="Z23" s="14">
        <v>21</v>
      </c>
      <c r="AA23" s="6">
        <f t="shared" si="0"/>
        <v>445.5</v>
      </c>
      <c r="AB23" s="7">
        <f t="shared" si="1"/>
        <v>321.5</v>
      </c>
      <c r="AC23" s="7">
        <f t="shared" si="2"/>
        <v>377</v>
      </c>
      <c r="AD23" s="7">
        <f t="shared" si="3"/>
        <v>468</v>
      </c>
    </row>
    <row r="24" spans="1:30" x14ac:dyDescent="0.35">
      <c r="A24" s="14">
        <v>22</v>
      </c>
      <c r="B24" s="18">
        <f>'Inventory Baseline'!BA24</f>
        <v>22</v>
      </c>
      <c r="C24" s="19">
        <f>'Inventory Baseline'!BB24</f>
        <v>37</v>
      </c>
      <c r="D24" s="19">
        <f>'Inventory Baseline'!BC24</f>
        <v>0</v>
      </c>
      <c r="E24" s="20">
        <f>'Inventory Baseline'!BD24</f>
        <v>1</v>
      </c>
      <c r="F24" s="30">
        <v>22</v>
      </c>
      <c r="G24" s="18">
        <f>'Backlog Baseline'!BA24</f>
        <v>0</v>
      </c>
      <c r="H24" s="19">
        <f>'Backlog Baseline'!BB24</f>
        <v>0</v>
      </c>
      <c r="I24" s="19">
        <f>'Backlog Baseline'!BC24</f>
        <v>47</v>
      </c>
      <c r="J24" s="20">
        <f>'Backlog Baseline'!BD24</f>
        <v>0</v>
      </c>
      <c r="K24" s="30">
        <v>22</v>
      </c>
      <c r="L24" s="18">
        <f>'Orders Baseline'!AZ24</f>
        <v>8</v>
      </c>
      <c r="M24" s="19">
        <f>'Orders Baseline'!BA24</f>
        <v>6</v>
      </c>
      <c r="N24" s="19">
        <f>'Orders Baseline'!BB24</f>
        <v>10</v>
      </c>
      <c r="O24" s="20">
        <f>'Orders Baseline'!BC24</f>
        <v>6</v>
      </c>
      <c r="P24" s="13">
        <v>22</v>
      </c>
      <c r="Q24" s="10">
        <f>ROUND('IHC Baseline'!AY24,2)</f>
        <v>11</v>
      </c>
      <c r="R24" s="11">
        <f>ROUND('IHC Baseline'!AZ24,2)</f>
        <v>18.5</v>
      </c>
      <c r="S24" s="11">
        <f>ROUND('IHC Baseline'!BA24,2)</f>
        <v>0</v>
      </c>
      <c r="T24" s="12">
        <f>ROUND('IHC Baseline'!BB24,2)</f>
        <v>0.5</v>
      </c>
      <c r="U24">
        <v>22</v>
      </c>
      <c r="V24" s="10">
        <f>ROUND('UBC Baseline'!AZ24,2)</f>
        <v>0</v>
      </c>
      <c r="W24" s="11">
        <f>ROUND('UBC Baseline'!BA24,2)</f>
        <v>0</v>
      </c>
      <c r="X24" s="11">
        <f>ROUND('UBC Baseline'!BB24,2)</f>
        <v>47</v>
      </c>
      <c r="Y24" s="12">
        <f>ROUND('UBC Baseline'!BC24,2)</f>
        <v>0</v>
      </c>
      <c r="Z24" s="14">
        <v>22</v>
      </c>
      <c r="AA24" s="6">
        <f t="shared" si="0"/>
        <v>456.5</v>
      </c>
      <c r="AB24" s="7">
        <f t="shared" si="1"/>
        <v>340</v>
      </c>
      <c r="AC24" s="7">
        <f t="shared" si="2"/>
        <v>424</v>
      </c>
      <c r="AD24" s="7">
        <f t="shared" si="3"/>
        <v>468.5</v>
      </c>
    </row>
    <row r="25" spans="1:30" x14ac:dyDescent="0.35">
      <c r="A25" s="14">
        <v>23</v>
      </c>
      <c r="B25" s="18">
        <f>'Inventory Baseline'!BA25</f>
        <v>21</v>
      </c>
      <c r="C25" s="19">
        <f>'Inventory Baseline'!BB25</f>
        <v>39</v>
      </c>
      <c r="D25" s="19">
        <f>'Inventory Baseline'!BC25</f>
        <v>0</v>
      </c>
      <c r="E25" s="20">
        <f>'Inventory Baseline'!BD25</f>
        <v>12</v>
      </c>
      <c r="F25" s="30">
        <v>23</v>
      </c>
      <c r="G25" s="18">
        <f>'Backlog Baseline'!BA25</f>
        <v>0</v>
      </c>
      <c r="H25" s="19">
        <f>'Backlog Baseline'!BB25</f>
        <v>0</v>
      </c>
      <c r="I25" s="19">
        <f>'Backlog Baseline'!BC25</f>
        <v>24</v>
      </c>
      <c r="J25" s="20">
        <f>'Backlog Baseline'!BD25</f>
        <v>0</v>
      </c>
      <c r="K25" s="30">
        <v>23</v>
      </c>
      <c r="L25" s="18">
        <f>'Orders Baseline'!AZ25</f>
        <v>8</v>
      </c>
      <c r="M25" s="19">
        <f>'Orders Baseline'!BA25</f>
        <v>6</v>
      </c>
      <c r="N25" s="19">
        <f>'Orders Baseline'!BB25</f>
        <v>8</v>
      </c>
      <c r="O25" s="20">
        <f>'Orders Baseline'!BC25</f>
        <v>4</v>
      </c>
      <c r="P25" s="13">
        <v>23</v>
      </c>
      <c r="Q25" s="10">
        <f>ROUND('IHC Baseline'!AY25,2)</f>
        <v>10.5</v>
      </c>
      <c r="R25" s="11">
        <f>ROUND('IHC Baseline'!AZ25,2)</f>
        <v>19.5</v>
      </c>
      <c r="S25" s="11">
        <f>ROUND('IHC Baseline'!BA25,2)</f>
        <v>0</v>
      </c>
      <c r="T25" s="12">
        <f>ROUND('IHC Baseline'!BB25,2)</f>
        <v>6</v>
      </c>
      <c r="U25">
        <v>23</v>
      </c>
      <c r="V25" s="10">
        <f>ROUND('UBC Baseline'!AZ25,2)</f>
        <v>0</v>
      </c>
      <c r="W25" s="11">
        <f>ROUND('UBC Baseline'!BA25,2)</f>
        <v>0</v>
      </c>
      <c r="X25" s="11">
        <f>ROUND('UBC Baseline'!BB25,2)</f>
        <v>24</v>
      </c>
      <c r="Y25" s="12">
        <f>ROUND('UBC Baseline'!BC25,2)</f>
        <v>0</v>
      </c>
      <c r="Z25" s="14">
        <v>23</v>
      </c>
      <c r="AA25" s="6">
        <f t="shared" si="0"/>
        <v>467</v>
      </c>
      <c r="AB25" s="7">
        <f t="shared" si="1"/>
        <v>359.5</v>
      </c>
      <c r="AC25" s="7">
        <f t="shared" si="2"/>
        <v>448</v>
      </c>
      <c r="AD25" s="7">
        <f t="shared" si="3"/>
        <v>474.5</v>
      </c>
    </row>
    <row r="26" spans="1:30" x14ac:dyDescent="0.35">
      <c r="A26" s="14">
        <v>24</v>
      </c>
      <c r="B26" s="18">
        <f>'Inventory Baseline'!BA26</f>
        <v>21</v>
      </c>
      <c r="C26" s="19">
        <f>'Inventory Baseline'!BB26</f>
        <v>33</v>
      </c>
      <c r="D26" s="19">
        <f>'Inventory Baseline'!BC26</f>
        <v>9</v>
      </c>
      <c r="E26" s="20">
        <f>'Inventory Baseline'!BD26</f>
        <v>14</v>
      </c>
      <c r="F26" s="30">
        <v>24</v>
      </c>
      <c r="G26" s="18">
        <f>'Backlog Baseline'!BA26</f>
        <v>0</v>
      </c>
      <c r="H26" s="19">
        <f>'Backlog Baseline'!BB26</f>
        <v>0</v>
      </c>
      <c r="I26" s="19">
        <f>'Backlog Baseline'!BC26</f>
        <v>0</v>
      </c>
      <c r="J26" s="20">
        <f>'Backlog Baseline'!BD26</f>
        <v>0</v>
      </c>
      <c r="K26" s="30">
        <v>24</v>
      </c>
      <c r="L26" s="18">
        <f>'Orders Baseline'!AZ26</f>
        <v>8</v>
      </c>
      <c r="M26" s="19">
        <f>'Orders Baseline'!BA26</f>
        <v>2</v>
      </c>
      <c r="N26" s="19">
        <f>'Orders Baseline'!BB26</f>
        <v>6</v>
      </c>
      <c r="O26" s="20">
        <f>'Orders Baseline'!BC26</f>
        <v>6</v>
      </c>
      <c r="P26" s="13">
        <v>24</v>
      </c>
      <c r="Q26" s="10">
        <f>ROUND('IHC Baseline'!AY26,2)</f>
        <v>10.5</v>
      </c>
      <c r="R26" s="11">
        <f>ROUND('IHC Baseline'!AZ26,2)</f>
        <v>16.5</v>
      </c>
      <c r="S26" s="11">
        <f>ROUND('IHC Baseline'!BA26,2)</f>
        <v>4.5</v>
      </c>
      <c r="T26" s="12">
        <f>ROUND('IHC Baseline'!BB26,2)</f>
        <v>7</v>
      </c>
      <c r="U26">
        <v>24</v>
      </c>
      <c r="V26" s="10">
        <f>ROUND('UBC Baseline'!AZ26,2)</f>
        <v>0</v>
      </c>
      <c r="W26" s="11">
        <f>ROUND('UBC Baseline'!BA26,2)</f>
        <v>0</v>
      </c>
      <c r="X26" s="11">
        <f>ROUND('UBC Baseline'!BB26,2)</f>
        <v>0</v>
      </c>
      <c r="Y26" s="12">
        <f>ROUND('UBC Baseline'!BC26,2)</f>
        <v>0</v>
      </c>
      <c r="Z26" s="14">
        <v>24</v>
      </c>
      <c r="AA26" s="6">
        <f t="shared" si="0"/>
        <v>477.5</v>
      </c>
      <c r="AB26" s="7">
        <f t="shared" si="1"/>
        <v>376</v>
      </c>
      <c r="AC26" s="7">
        <f t="shared" si="2"/>
        <v>452.5</v>
      </c>
      <c r="AD26" s="7">
        <f t="shared" si="3"/>
        <v>481.5</v>
      </c>
    </row>
    <row r="27" spans="1:30" x14ac:dyDescent="0.35">
      <c r="A27" s="14">
        <v>25</v>
      </c>
      <c r="B27" s="18">
        <f>'Inventory Baseline'!BA27</f>
        <v>21</v>
      </c>
      <c r="C27" s="19">
        <f>'Inventory Baseline'!BB27</f>
        <v>31</v>
      </c>
      <c r="D27" s="19">
        <f>'Inventory Baseline'!BC27</f>
        <v>11</v>
      </c>
      <c r="E27" s="20">
        <f>'Inventory Baseline'!BD27</f>
        <v>14</v>
      </c>
      <c r="F27" s="30">
        <v>25</v>
      </c>
      <c r="G27" s="18">
        <f>'Backlog Baseline'!BA27</f>
        <v>0</v>
      </c>
      <c r="H27" s="19">
        <f>'Backlog Baseline'!BB27</f>
        <v>0</v>
      </c>
      <c r="I27" s="19">
        <f>'Backlog Baseline'!BC27</f>
        <v>0</v>
      </c>
      <c r="J27" s="20">
        <f>'Backlog Baseline'!BD27</f>
        <v>0</v>
      </c>
      <c r="K27" s="30">
        <v>25</v>
      </c>
      <c r="L27" s="18">
        <f>'Orders Baseline'!AZ27</f>
        <v>8</v>
      </c>
      <c r="M27" s="19">
        <f>'Orders Baseline'!BA27</f>
        <v>0</v>
      </c>
      <c r="N27" s="19">
        <f>'Orders Baseline'!BB27</f>
        <v>3</v>
      </c>
      <c r="O27" s="20">
        <f>'Orders Baseline'!BC27</f>
        <v>6</v>
      </c>
      <c r="P27" s="13">
        <v>25</v>
      </c>
      <c r="Q27" s="10">
        <f>ROUND('IHC Baseline'!AY27,2)</f>
        <v>10.5</v>
      </c>
      <c r="R27" s="11">
        <f>ROUND('IHC Baseline'!AZ27,2)</f>
        <v>15.5</v>
      </c>
      <c r="S27" s="11">
        <f>ROUND('IHC Baseline'!BA27,2)</f>
        <v>5.5</v>
      </c>
      <c r="T27" s="12">
        <f>ROUND('IHC Baseline'!BB27,2)</f>
        <v>7</v>
      </c>
      <c r="U27">
        <v>25</v>
      </c>
      <c r="V27" s="10">
        <f>ROUND('UBC Baseline'!AZ27,2)</f>
        <v>0</v>
      </c>
      <c r="W27" s="11">
        <f>ROUND('UBC Baseline'!BA27,2)</f>
        <v>0</v>
      </c>
      <c r="X27" s="11">
        <f>ROUND('UBC Baseline'!BB27,2)</f>
        <v>0</v>
      </c>
      <c r="Y27" s="12">
        <f>ROUND('UBC Baseline'!BC27,2)</f>
        <v>0</v>
      </c>
      <c r="Z27" s="14">
        <v>25</v>
      </c>
      <c r="AA27" s="6">
        <f t="shared" si="0"/>
        <v>488</v>
      </c>
      <c r="AB27" s="7">
        <f t="shared" si="1"/>
        <v>391.5</v>
      </c>
      <c r="AC27" s="7">
        <f t="shared" si="2"/>
        <v>458</v>
      </c>
      <c r="AD27" s="7">
        <f t="shared" si="3"/>
        <v>488.5</v>
      </c>
    </row>
    <row r="28" spans="1:30" x14ac:dyDescent="0.35">
      <c r="A28" s="14">
        <v>26</v>
      </c>
      <c r="B28" s="18">
        <f>'Inventory Baseline'!BA28</f>
        <v>21</v>
      </c>
      <c r="C28" s="19">
        <f>'Inventory Baseline'!BB28</f>
        <v>31</v>
      </c>
      <c r="D28" s="19">
        <f>'Inventory Baseline'!BC28</f>
        <v>11</v>
      </c>
      <c r="E28" s="20">
        <f>'Inventory Baseline'!BD28</f>
        <v>15</v>
      </c>
      <c r="F28" s="30">
        <v>26</v>
      </c>
      <c r="G28" s="18">
        <f>'Backlog Baseline'!BA28</f>
        <v>0</v>
      </c>
      <c r="H28" s="19">
        <f>'Backlog Baseline'!BB28</f>
        <v>0</v>
      </c>
      <c r="I28" s="19">
        <f>'Backlog Baseline'!BC28</f>
        <v>0</v>
      </c>
      <c r="J28" s="20">
        <f>'Backlog Baseline'!BD28</f>
        <v>0</v>
      </c>
      <c r="K28" s="30">
        <v>26</v>
      </c>
      <c r="L28" s="18">
        <f>'Orders Baseline'!AZ28</f>
        <v>8</v>
      </c>
      <c r="M28" s="19">
        <f>'Orders Baseline'!BA28</f>
        <v>1</v>
      </c>
      <c r="N28" s="19">
        <f>'Orders Baseline'!BB28</f>
        <v>5</v>
      </c>
      <c r="O28" s="20">
        <f>'Orders Baseline'!BC28</f>
        <v>3</v>
      </c>
      <c r="P28" s="13">
        <v>26</v>
      </c>
      <c r="Q28" s="10">
        <f>ROUND('IHC Baseline'!AY28,2)</f>
        <v>10.5</v>
      </c>
      <c r="R28" s="11">
        <f>ROUND('IHC Baseline'!AZ28,2)</f>
        <v>15.5</v>
      </c>
      <c r="S28" s="11">
        <f>ROUND('IHC Baseline'!BA28,2)</f>
        <v>5.5</v>
      </c>
      <c r="T28" s="12">
        <f>ROUND('IHC Baseline'!BB28,2)</f>
        <v>7.5</v>
      </c>
      <c r="U28">
        <v>26</v>
      </c>
      <c r="V28" s="10">
        <f>ROUND('UBC Baseline'!AZ28,2)</f>
        <v>0</v>
      </c>
      <c r="W28" s="11">
        <f>ROUND('UBC Baseline'!BA28,2)</f>
        <v>0</v>
      </c>
      <c r="X28" s="11">
        <f>ROUND('UBC Baseline'!BB28,2)</f>
        <v>0</v>
      </c>
      <c r="Y28" s="12">
        <f>ROUND('UBC Baseline'!BC28,2)</f>
        <v>0</v>
      </c>
      <c r="Z28" s="14">
        <v>26</v>
      </c>
      <c r="AA28" s="6">
        <f t="shared" si="0"/>
        <v>498.5</v>
      </c>
      <c r="AB28" s="7">
        <f t="shared" si="1"/>
        <v>407</v>
      </c>
      <c r="AC28" s="7">
        <f t="shared" si="2"/>
        <v>463.5</v>
      </c>
      <c r="AD28" s="7">
        <f t="shared" si="3"/>
        <v>496</v>
      </c>
    </row>
    <row r="29" spans="1:30" x14ac:dyDescent="0.35">
      <c r="A29" s="14">
        <v>27</v>
      </c>
      <c r="B29" s="18">
        <f>'Inventory Baseline'!BA29</f>
        <v>20</v>
      </c>
      <c r="C29" s="19">
        <f>'Inventory Baseline'!BB29</f>
        <v>30</v>
      </c>
      <c r="D29" s="19">
        <f>'Inventory Baseline'!BC29</f>
        <v>9</v>
      </c>
      <c r="E29" s="20">
        <f>'Inventory Baseline'!BD29</f>
        <v>16</v>
      </c>
      <c r="F29" s="30">
        <v>27</v>
      </c>
      <c r="G29" s="18">
        <f>'Backlog Baseline'!BA29</f>
        <v>0</v>
      </c>
      <c r="H29" s="19">
        <f>'Backlog Baseline'!BB29</f>
        <v>0</v>
      </c>
      <c r="I29" s="19">
        <f>'Backlog Baseline'!BC29</f>
        <v>0</v>
      </c>
      <c r="J29" s="20">
        <f>'Backlog Baseline'!BD29</f>
        <v>0</v>
      </c>
      <c r="K29" s="30">
        <v>27</v>
      </c>
      <c r="L29" s="18">
        <f>'Orders Baseline'!AZ29</f>
        <v>8</v>
      </c>
      <c r="M29" s="19">
        <f>'Orders Baseline'!BA29</f>
        <v>2</v>
      </c>
      <c r="N29" s="19">
        <f>'Orders Baseline'!BB29</f>
        <v>6</v>
      </c>
      <c r="O29" s="20">
        <f>'Orders Baseline'!BC29</f>
        <v>0</v>
      </c>
      <c r="P29" s="13">
        <v>27</v>
      </c>
      <c r="Q29" s="10">
        <f>ROUND('IHC Baseline'!AY29,2)</f>
        <v>10</v>
      </c>
      <c r="R29" s="11">
        <f>ROUND('IHC Baseline'!AZ29,2)</f>
        <v>15</v>
      </c>
      <c r="S29" s="11">
        <f>ROUND('IHC Baseline'!BA29,2)</f>
        <v>4.5</v>
      </c>
      <c r="T29" s="12">
        <f>ROUND('IHC Baseline'!BB29,2)</f>
        <v>8</v>
      </c>
      <c r="U29">
        <v>27</v>
      </c>
      <c r="V29" s="10">
        <f>ROUND('UBC Baseline'!AZ29,2)</f>
        <v>0</v>
      </c>
      <c r="W29" s="11">
        <f>ROUND('UBC Baseline'!BA29,2)</f>
        <v>0</v>
      </c>
      <c r="X29" s="11">
        <f>ROUND('UBC Baseline'!BB29,2)</f>
        <v>0</v>
      </c>
      <c r="Y29" s="12">
        <f>ROUND('UBC Baseline'!BC29,2)</f>
        <v>0</v>
      </c>
      <c r="Z29" s="14">
        <v>27</v>
      </c>
      <c r="AA29" s="6">
        <f t="shared" si="0"/>
        <v>508.5</v>
      </c>
      <c r="AB29" s="7">
        <f t="shared" si="1"/>
        <v>422</v>
      </c>
      <c r="AC29" s="7">
        <f t="shared" si="2"/>
        <v>468</v>
      </c>
      <c r="AD29" s="7">
        <f t="shared" si="3"/>
        <v>504</v>
      </c>
    </row>
    <row r="30" spans="1:30" x14ac:dyDescent="0.35">
      <c r="A30" s="14">
        <v>28</v>
      </c>
      <c r="B30" s="18">
        <f>'Inventory Baseline'!BA30</f>
        <v>20</v>
      </c>
      <c r="C30" s="19">
        <f>'Inventory Baseline'!BB30</f>
        <v>28</v>
      </c>
      <c r="D30" s="19">
        <f>'Inventory Baseline'!BC30</f>
        <v>4</v>
      </c>
      <c r="E30" s="20">
        <f>'Inventory Baseline'!BD30</f>
        <v>16</v>
      </c>
      <c r="F30" s="30">
        <v>28</v>
      </c>
      <c r="G30" s="18">
        <f>'Backlog Baseline'!BA30</f>
        <v>0</v>
      </c>
      <c r="H30" s="19">
        <f>'Backlog Baseline'!BB30</f>
        <v>0</v>
      </c>
      <c r="I30" s="19">
        <f>'Backlog Baseline'!BC30</f>
        <v>0</v>
      </c>
      <c r="J30" s="20">
        <f>'Backlog Baseline'!BD30</f>
        <v>0</v>
      </c>
      <c r="K30" s="30">
        <v>28</v>
      </c>
      <c r="L30" s="18">
        <f>'Orders Baseline'!AZ30</f>
        <v>8</v>
      </c>
      <c r="M30" s="19">
        <f>'Orders Baseline'!BA30</f>
        <v>0</v>
      </c>
      <c r="N30" s="19">
        <f>'Orders Baseline'!BB30</f>
        <v>7</v>
      </c>
      <c r="O30" s="20">
        <f>'Orders Baseline'!BC30</f>
        <v>0</v>
      </c>
      <c r="P30" s="13">
        <v>28</v>
      </c>
      <c r="Q30" s="10">
        <f>ROUND('IHC Baseline'!AY30,2)</f>
        <v>10</v>
      </c>
      <c r="R30" s="11">
        <f>ROUND('IHC Baseline'!AZ30,2)</f>
        <v>14</v>
      </c>
      <c r="S30" s="11">
        <f>ROUND('IHC Baseline'!BA30,2)</f>
        <v>2</v>
      </c>
      <c r="T30" s="12">
        <f>ROUND('IHC Baseline'!BB30,2)</f>
        <v>8</v>
      </c>
      <c r="U30">
        <v>28</v>
      </c>
      <c r="V30" s="10">
        <f>ROUND('UBC Baseline'!AZ30,2)</f>
        <v>0</v>
      </c>
      <c r="W30" s="11">
        <f>ROUND('UBC Baseline'!BA30,2)</f>
        <v>0</v>
      </c>
      <c r="X30" s="11">
        <f>ROUND('UBC Baseline'!BB30,2)</f>
        <v>0</v>
      </c>
      <c r="Y30" s="12">
        <f>ROUND('UBC Baseline'!BC30,2)</f>
        <v>0</v>
      </c>
      <c r="Z30" s="14">
        <v>28</v>
      </c>
      <c r="AA30" s="6">
        <f t="shared" si="0"/>
        <v>518.5</v>
      </c>
      <c r="AB30" s="7">
        <f t="shared" si="1"/>
        <v>436</v>
      </c>
      <c r="AC30" s="7">
        <f t="shared" si="2"/>
        <v>470</v>
      </c>
      <c r="AD30" s="7">
        <f t="shared" si="3"/>
        <v>512</v>
      </c>
    </row>
    <row r="31" spans="1:30" x14ac:dyDescent="0.35">
      <c r="A31" s="14">
        <v>29</v>
      </c>
      <c r="B31" s="18">
        <f>'Inventory Baseline'!BA31</f>
        <v>21</v>
      </c>
      <c r="C31" s="19">
        <f>'Inventory Baseline'!BB31</f>
        <v>28</v>
      </c>
      <c r="D31" s="19">
        <f>'Inventory Baseline'!BC31</f>
        <v>1</v>
      </c>
      <c r="E31" s="20">
        <f>'Inventory Baseline'!BD31</f>
        <v>12</v>
      </c>
      <c r="F31" s="30">
        <v>29</v>
      </c>
      <c r="G31" s="18">
        <f>'Backlog Baseline'!BA31</f>
        <v>0</v>
      </c>
      <c r="H31" s="19">
        <f>'Backlog Baseline'!BB31</f>
        <v>0</v>
      </c>
      <c r="I31" s="19">
        <f>'Backlog Baseline'!BC31</f>
        <v>0</v>
      </c>
      <c r="J31" s="20">
        <f>'Backlog Baseline'!BD31</f>
        <v>0</v>
      </c>
      <c r="K31" s="30">
        <v>29</v>
      </c>
      <c r="L31" s="18">
        <f>'Orders Baseline'!AZ31</f>
        <v>8</v>
      </c>
      <c r="M31" s="19">
        <f>'Orders Baseline'!BA31</f>
        <v>0</v>
      </c>
      <c r="N31" s="19">
        <f>'Orders Baseline'!BB31</f>
        <v>8</v>
      </c>
      <c r="O31" s="20">
        <f>'Orders Baseline'!BC31</f>
        <v>3</v>
      </c>
      <c r="P31" s="13">
        <v>29</v>
      </c>
      <c r="Q31" s="10">
        <f>ROUND('IHC Baseline'!AY31,2)</f>
        <v>10.5</v>
      </c>
      <c r="R31" s="11">
        <f>ROUND('IHC Baseline'!AZ31,2)</f>
        <v>14</v>
      </c>
      <c r="S31" s="11">
        <f>ROUND('IHC Baseline'!BA31,2)</f>
        <v>0.5</v>
      </c>
      <c r="T31" s="12">
        <f>ROUND('IHC Baseline'!BB31,2)</f>
        <v>6</v>
      </c>
      <c r="U31">
        <v>29</v>
      </c>
      <c r="V31" s="10">
        <f>ROUND('UBC Baseline'!AZ31,2)</f>
        <v>0</v>
      </c>
      <c r="W31" s="11">
        <f>ROUND('UBC Baseline'!BA31,2)</f>
        <v>0</v>
      </c>
      <c r="X31" s="11">
        <f>ROUND('UBC Baseline'!BB31,2)</f>
        <v>0</v>
      </c>
      <c r="Y31" s="12">
        <f>ROUND('UBC Baseline'!BC31,2)</f>
        <v>0</v>
      </c>
      <c r="Z31" s="14">
        <v>29</v>
      </c>
      <c r="AA31" s="6">
        <f t="shared" si="0"/>
        <v>529</v>
      </c>
      <c r="AB31" s="7">
        <f t="shared" si="1"/>
        <v>450</v>
      </c>
      <c r="AC31" s="7">
        <f t="shared" si="2"/>
        <v>470.5</v>
      </c>
      <c r="AD31" s="7">
        <f t="shared" si="3"/>
        <v>518</v>
      </c>
    </row>
    <row r="32" spans="1:30" x14ac:dyDescent="0.35">
      <c r="A32" s="14">
        <v>30</v>
      </c>
      <c r="B32" s="18">
        <f>'Inventory Baseline'!BA32</f>
        <v>20</v>
      </c>
      <c r="C32" s="19">
        <f>'Inventory Baseline'!BB32</f>
        <v>28</v>
      </c>
      <c r="D32" s="19">
        <f>'Inventory Baseline'!BC32</f>
        <v>0</v>
      </c>
      <c r="E32" s="20">
        <f>'Inventory Baseline'!BD32</f>
        <v>4</v>
      </c>
      <c r="F32" s="30">
        <v>30</v>
      </c>
      <c r="G32" s="18">
        <f>'Backlog Baseline'!BA32</f>
        <v>0</v>
      </c>
      <c r="H32" s="19">
        <f>'Backlog Baseline'!BB32</f>
        <v>0</v>
      </c>
      <c r="I32" s="19">
        <f>'Backlog Baseline'!BC32</f>
        <v>1</v>
      </c>
      <c r="J32" s="20">
        <f>'Backlog Baseline'!BD32</f>
        <v>0</v>
      </c>
      <c r="K32" s="30">
        <v>30</v>
      </c>
      <c r="L32" s="18">
        <f>'Orders Baseline'!AZ32</f>
        <v>8</v>
      </c>
      <c r="M32" s="19">
        <f>'Orders Baseline'!BA32</f>
        <v>0</v>
      </c>
      <c r="N32" s="19">
        <f>'Orders Baseline'!BB32</f>
        <v>9</v>
      </c>
      <c r="O32" s="20">
        <f>'Orders Baseline'!BC32</f>
        <v>6</v>
      </c>
      <c r="P32" s="13">
        <v>30</v>
      </c>
      <c r="Q32" s="10">
        <f>ROUND('IHC Baseline'!AY32,2)</f>
        <v>10</v>
      </c>
      <c r="R32" s="11">
        <f>ROUND('IHC Baseline'!AZ32,2)</f>
        <v>14</v>
      </c>
      <c r="S32" s="11">
        <f>ROUND('IHC Baseline'!BA32,2)</f>
        <v>0</v>
      </c>
      <c r="T32" s="12">
        <f>ROUND('IHC Baseline'!BB32,2)</f>
        <v>2</v>
      </c>
      <c r="U32">
        <v>30</v>
      </c>
      <c r="V32" s="10">
        <f>ROUND('UBC Baseline'!AZ32,2)</f>
        <v>0</v>
      </c>
      <c r="W32" s="11">
        <f>ROUND('UBC Baseline'!BA32,2)</f>
        <v>0</v>
      </c>
      <c r="X32" s="11">
        <f>ROUND('UBC Baseline'!BB32,2)</f>
        <v>1</v>
      </c>
      <c r="Y32" s="12">
        <f>ROUND('UBC Baseline'!BC32,2)</f>
        <v>0</v>
      </c>
      <c r="Z32" s="14">
        <v>30</v>
      </c>
      <c r="AA32" s="6">
        <f t="shared" si="0"/>
        <v>539</v>
      </c>
      <c r="AB32" s="7">
        <f t="shared" si="1"/>
        <v>464</v>
      </c>
      <c r="AC32" s="7">
        <f t="shared" si="2"/>
        <v>471.5</v>
      </c>
      <c r="AD32" s="7">
        <f t="shared" si="3"/>
        <v>520</v>
      </c>
    </row>
    <row r="33" spans="1:30" x14ac:dyDescent="0.35">
      <c r="A33" s="14">
        <v>31</v>
      </c>
      <c r="B33" s="18">
        <f>'Inventory Baseline'!BA33</f>
        <v>14</v>
      </c>
      <c r="C33" s="19">
        <f>'Inventory Baseline'!BB33</f>
        <v>28</v>
      </c>
      <c r="D33" s="19">
        <f>'Inventory Baseline'!BC33</f>
        <v>0</v>
      </c>
      <c r="E33" s="20">
        <f>'Inventory Baseline'!BD33</f>
        <v>0</v>
      </c>
      <c r="F33" s="30">
        <v>31</v>
      </c>
      <c r="G33" s="18">
        <f>'Backlog Baseline'!BA33</f>
        <v>0</v>
      </c>
      <c r="H33" s="19">
        <f>'Backlog Baseline'!BB33</f>
        <v>0</v>
      </c>
      <c r="I33" s="19">
        <f>'Backlog Baseline'!BC33</f>
        <v>2</v>
      </c>
      <c r="J33" s="20">
        <f>'Backlog Baseline'!BD33</f>
        <v>5</v>
      </c>
      <c r="K33" s="30">
        <v>31</v>
      </c>
      <c r="L33" s="18">
        <f>'Orders Baseline'!AZ33</f>
        <v>8</v>
      </c>
      <c r="M33" s="19">
        <f>'Orders Baseline'!BA33</f>
        <v>0</v>
      </c>
      <c r="N33" s="19">
        <f>'Orders Baseline'!BB33</f>
        <v>8</v>
      </c>
      <c r="O33" s="20">
        <f>'Orders Baseline'!BC33</f>
        <v>10</v>
      </c>
      <c r="P33" s="13">
        <v>31</v>
      </c>
      <c r="Q33" s="10">
        <f>ROUND('IHC Baseline'!AY33,2)</f>
        <v>7</v>
      </c>
      <c r="R33" s="11">
        <f>ROUND('IHC Baseline'!AZ33,2)</f>
        <v>14</v>
      </c>
      <c r="S33" s="11">
        <f>ROUND('IHC Baseline'!BA33,2)</f>
        <v>0</v>
      </c>
      <c r="T33" s="12">
        <f>ROUND('IHC Baseline'!BB33,2)</f>
        <v>0</v>
      </c>
      <c r="U33">
        <v>31</v>
      </c>
      <c r="V33" s="10">
        <f>ROUND('UBC Baseline'!AZ33,2)</f>
        <v>0</v>
      </c>
      <c r="W33" s="11">
        <f>ROUND('UBC Baseline'!BA33,2)</f>
        <v>0</v>
      </c>
      <c r="X33" s="11">
        <f>ROUND('UBC Baseline'!BB33,2)</f>
        <v>2</v>
      </c>
      <c r="Y33" s="12">
        <f>ROUND('UBC Baseline'!BC33,2)</f>
        <v>5</v>
      </c>
      <c r="Z33" s="14">
        <v>31</v>
      </c>
      <c r="AA33" s="6">
        <f t="shared" si="0"/>
        <v>546</v>
      </c>
      <c r="AB33" s="7">
        <f t="shared" si="1"/>
        <v>478</v>
      </c>
      <c r="AC33" s="7">
        <f t="shared" si="2"/>
        <v>473.5</v>
      </c>
      <c r="AD33" s="7">
        <f t="shared" si="3"/>
        <v>525</v>
      </c>
    </row>
    <row r="34" spans="1:30" x14ac:dyDescent="0.35">
      <c r="A34" s="14">
        <v>32</v>
      </c>
      <c r="B34" s="18">
        <f>'Inventory Baseline'!BA34</f>
        <v>4</v>
      </c>
      <c r="C34" s="19">
        <f>'Inventory Baseline'!BB34</f>
        <v>28</v>
      </c>
      <c r="D34" s="19">
        <f>'Inventory Baseline'!BC34</f>
        <v>0</v>
      </c>
      <c r="E34" s="20">
        <f>'Inventory Baseline'!BD34</f>
        <v>0</v>
      </c>
      <c r="F34" s="30">
        <v>32</v>
      </c>
      <c r="G34" s="18">
        <f>'Backlog Baseline'!BA34</f>
        <v>0</v>
      </c>
      <c r="H34" s="19">
        <f>'Backlog Baseline'!BB34</f>
        <v>0</v>
      </c>
      <c r="I34" s="19">
        <f>'Backlog Baseline'!BC34</f>
        <v>2</v>
      </c>
      <c r="J34" s="20">
        <f>'Backlog Baseline'!BD34</f>
        <v>10</v>
      </c>
      <c r="K34" s="30">
        <v>32</v>
      </c>
      <c r="L34" s="18">
        <f>'Orders Baseline'!AZ34</f>
        <v>8</v>
      </c>
      <c r="M34" s="19">
        <f>'Orders Baseline'!BA34</f>
        <v>1</v>
      </c>
      <c r="N34" s="19">
        <f>'Orders Baseline'!BB34</f>
        <v>9</v>
      </c>
      <c r="O34" s="20">
        <f>'Orders Baseline'!BC34</f>
        <v>12</v>
      </c>
      <c r="P34" s="13">
        <v>32</v>
      </c>
      <c r="Q34" s="10">
        <f>ROUND('IHC Baseline'!AY34,2)</f>
        <v>2</v>
      </c>
      <c r="R34" s="11">
        <f>ROUND('IHC Baseline'!AZ34,2)</f>
        <v>14</v>
      </c>
      <c r="S34" s="11">
        <f>ROUND('IHC Baseline'!BA34,2)</f>
        <v>0</v>
      </c>
      <c r="T34" s="12">
        <f>ROUND('IHC Baseline'!BB34,2)</f>
        <v>0</v>
      </c>
      <c r="U34">
        <v>32</v>
      </c>
      <c r="V34" s="10">
        <f>ROUND('UBC Baseline'!AZ34,2)</f>
        <v>0</v>
      </c>
      <c r="W34" s="11">
        <f>ROUND('UBC Baseline'!BA34,2)</f>
        <v>0</v>
      </c>
      <c r="X34" s="11">
        <f>ROUND('UBC Baseline'!BB34,2)</f>
        <v>2</v>
      </c>
      <c r="Y34" s="12">
        <f>ROUND('UBC Baseline'!BC34,2)</f>
        <v>10</v>
      </c>
      <c r="Z34" s="14">
        <v>32</v>
      </c>
      <c r="AA34" s="6">
        <f t="shared" si="0"/>
        <v>548</v>
      </c>
      <c r="AB34" s="7">
        <f t="shared" si="1"/>
        <v>492</v>
      </c>
      <c r="AC34" s="7">
        <f t="shared" si="2"/>
        <v>475.5</v>
      </c>
      <c r="AD34" s="7">
        <f t="shared" si="3"/>
        <v>535</v>
      </c>
    </row>
    <row r="35" spans="1:30" x14ac:dyDescent="0.35">
      <c r="A35" s="14">
        <v>33</v>
      </c>
      <c r="B35" s="18">
        <f>'Inventory Baseline'!BA35</f>
        <v>0</v>
      </c>
      <c r="C35" s="19">
        <f>'Inventory Baseline'!BB35</f>
        <v>27</v>
      </c>
      <c r="D35" s="19">
        <f>'Inventory Baseline'!BC35</f>
        <v>0</v>
      </c>
      <c r="E35" s="20">
        <f>'Inventory Baseline'!BD35</f>
        <v>0</v>
      </c>
      <c r="F35" s="30">
        <v>33</v>
      </c>
      <c r="G35" s="18">
        <f>'Backlog Baseline'!BA35</f>
        <v>8</v>
      </c>
      <c r="H35" s="19">
        <f>'Backlog Baseline'!BB35</f>
        <v>0</v>
      </c>
      <c r="I35" s="19">
        <f>'Backlog Baseline'!BC35</f>
        <v>6</v>
      </c>
      <c r="J35" s="20">
        <f>'Backlog Baseline'!BD35</f>
        <v>13</v>
      </c>
      <c r="K35" s="30">
        <v>33</v>
      </c>
      <c r="L35" s="18">
        <f>'Orders Baseline'!AZ35</f>
        <v>8</v>
      </c>
      <c r="M35" s="19">
        <f>'Orders Baseline'!BA35</f>
        <v>11</v>
      </c>
      <c r="N35" s="19">
        <f>'Orders Baseline'!BB35</f>
        <v>8</v>
      </c>
      <c r="O35" s="20">
        <f>'Orders Baseline'!BC35</f>
        <v>11</v>
      </c>
      <c r="P35" s="13">
        <v>33</v>
      </c>
      <c r="Q35" s="10">
        <f>ROUND('IHC Baseline'!AY35,2)</f>
        <v>0</v>
      </c>
      <c r="R35" s="11">
        <f>ROUND('IHC Baseline'!AZ35,2)</f>
        <v>13.5</v>
      </c>
      <c r="S35" s="11">
        <f>ROUND('IHC Baseline'!BA35,2)</f>
        <v>0</v>
      </c>
      <c r="T35" s="12">
        <f>ROUND('IHC Baseline'!BB35,2)</f>
        <v>0</v>
      </c>
      <c r="U35">
        <v>33</v>
      </c>
      <c r="V35" s="10">
        <f>ROUND('UBC Baseline'!AZ35,2)</f>
        <v>8</v>
      </c>
      <c r="W35" s="11">
        <f>ROUND('UBC Baseline'!BA35,2)</f>
        <v>0</v>
      </c>
      <c r="X35" s="11">
        <f>ROUND('UBC Baseline'!BB35,2)</f>
        <v>6</v>
      </c>
      <c r="Y35" s="12">
        <f>ROUND('UBC Baseline'!BC35,2)</f>
        <v>13</v>
      </c>
      <c r="Z35" s="14">
        <v>33</v>
      </c>
      <c r="AA35" s="6">
        <f t="shared" si="0"/>
        <v>556</v>
      </c>
      <c r="AB35" s="7">
        <f t="shared" si="1"/>
        <v>505.5</v>
      </c>
      <c r="AC35" s="7">
        <f t="shared" si="2"/>
        <v>481.5</v>
      </c>
      <c r="AD35" s="7">
        <f t="shared" si="3"/>
        <v>548</v>
      </c>
    </row>
    <row r="36" spans="1:30" x14ac:dyDescent="0.35">
      <c r="A36" s="14">
        <v>34</v>
      </c>
      <c r="B36" s="18">
        <f>'Inventory Baseline'!BA36</f>
        <v>0</v>
      </c>
      <c r="C36" s="19">
        <f>'Inventory Baseline'!BB36</f>
        <v>16</v>
      </c>
      <c r="D36" s="19">
        <f>'Inventory Baseline'!BC36</f>
        <v>0</v>
      </c>
      <c r="E36" s="20">
        <f>'Inventory Baseline'!BD36</f>
        <v>0</v>
      </c>
      <c r="F36" s="30">
        <v>34</v>
      </c>
      <c r="G36" s="18">
        <f>'Backlog Baseline'!BA36</f>
        <v>19</v>
      </c>
      <c r="H36" s="19">
        <f>'Backlog Baseline'!BB36</f>
        <v>0</v>
      </c>
      <c r="I36" s="19">
        <f>'Backlog Baseline'!BC36</f>
        <v>11</v>
      </c>
      <c r="J36" s="20">
        <f>'Backlog Baseline'!BD36</f>
        <v>11</v>
      </c>
      <c r="K36" s="30">
        <v>34</v>
      </c>
      <c r="L36" s="18">
        <f>'Orders Baseline'!AZ36</f>
        <v>8</v>
      </c>
      <c r="M36" s="19">
        <f>'Orders Baseline'!BA36</f>
        <v>18</v>
      </c>
      <c r="N36" s="19">
        <f>'Orders Baseline'!BB36</f>
        <v>9</v>
      </c>
      <c r="O36" s="20">
        <f>'Orders Baseline'!BC36</f>
        <v>12</v>
      </c>
      <c r="P36" s="13">
        <v>34</v>
      </c>
      <c r="Q36" s="10">
        <f>ROUND('IHC Baseline'!AY36,2)</f>
        <v>0</v>
      </c>
      <c r="R36" s="11">
        <f>ROUND('IHC Baseline'!AZ36,2)</f>
        <v>8</v>
      </c>
      <c r="S36" s="11">
        <f>ROUND('IHC Baseline'!BA36,2)</f>
        <v>0</v>
      </c>
      <c r="T36" s="12">
        <f>ROUND('IHC Baseline'!BB36,2)</f>
        <v>0</v>
      </c>
      <c r="U36">
        <v>34</v>
      </c>
      <c r="V36" s="10">
        <f>ROUND('UBC Baseline'!AZ36,2)</f>
        <v>19</v>
      </c>
      <c r="W36" s="11">
        <f>ROUND('UBC Baseline'!BA36,2)</f>
        <v>0</v>
      </c>
      <c r="X36" s="11">
        <f>ROUND('UBC Baseline'!BB36,2)</f>
        <v>11</v>
      </c>
      <c r="Y36" s="12">
        <f>ROUND('UBC Baseline'!BC36,2)</f>
        <v>11</v>
      </c>
      <c r="Z36" s="14">
        <v>34</v>
      </c>
      <c r="AA36" s="6">
        <f t="shared" si="0"/>
        <v>575</v>
      </c>
      <c r="AB36" s="7">
        <f t="shared" si="1"/>
        <v>513.5</v>
      </c>
      <c r="AC36" s="7">
        <f t="shared" si="2"/>
        <v>492.5</v>
      </c>
      <c r="AD36" s="7">
        <f t="shared" si="3"/>
        <v>559</v>
      </c>
    </row>
    <row r="37" spans="1:30" x14ac:dyDescent="0.35">
      <c r="A37" s="14">
        <v>35</v>
      </c>
      <c r="B37" s="18">
        <f>'Inventory Baseline'!BA37</f>
        <v>0</v>
      </c>
      <c r="C37" s="19">
        <f>'Inventory Baseline'!BB37</f>
        <v>0</v>
      </c>
      <c r="D37" s="19">
        <f>'Inventory Baseline'!BC37</f>
        <v>0</v>
      </c>
      <c r="E37" s="20">
        <f>'Inventory Baseline'!BD37</f>
        <v>0</v>
      </c>
      <c r="F37" s="30">
        <v>35</v>
      </c>
      <c r="G37" s="18">
        <f>'Backlog Baseline'!BA37</f>
        <v>30</v>
      </c>
      <c r="H37" s="19">
        <f>'Backlog Baseline'!BB37</f>
        <v>2</v>
      </c>
      <c r="I37" s="19">
        <f>'Backlog Baseline'!BC37</f>
        <v>13</v>
      </c>
      <c r="J37" s="20">
        <f>'Backlog Baseline'!BD37</f>
        <v>16</v>
      </c>
      <c r="K37" s="30">
        <v>35</v>
      </c>
      <c r="L37" s="18">
        <f>'Orders Baseline'!AZ37</f>
        <v>8</v>
      </c>
      <c r="M37" s="19">
        <f>'Orders Baseline'!BA37</f>
        <v>18</v>
      </c>
      <c r="N37" s="19">
        <f>'Orders Baseline'!BB37</f>
        <v>9</v>
      </c>
      <c r="O37" s="20">
        <f>'Orders Baseline'!BC37</f>
        <v>10</v>
      </c>
      <c r="P37" s="13">
        <v>35</v>
      </c>
      <c r="Q37" s="10">
        <f>ROUND('IHC Baseline'!AY37,2)</f>
        <v>0</v>
      </c>
      <c r="R37" s="11">
        <f>ROUND('IHC Baseline'!AZ37,2)</f>
        <v>0</v>
      </c>
      <c r="S37" s="11">
        <f>ROUND('IHC Baseline'!BA37,2)</f>
        <v>0</v>
      </c>
      <c r="T37" s="12">
        <f>ROUND('IHC Baseline'!BB37,2)</f>
        <v>0</v>
      </c>
      <c r="U37">
        <v>35</v>
      </c>
      <c r="V37" s="10">
        <f>ROUND('UBC Baseline'!AZ37,2)</f>
        <v>30</v>
      </c>
      <c r="W37" s="11">
        <f>ROUND('UBC Baseline'!BA37,2)</f>
        <v>2</v>
      </c>
      <c r="X37" s="11">
        <f>ROUND('UBC Baseline'!BB37,2)</f>
        <v>13</v>
      </c>
      <c r="Y37" s="12">
        <f>ROUND('UBC Baseline'!BC37,2)</f>
        <v>16</v>
      </c>
      <c r="Z37" s="14">
        <v>35</v>
      </c>
      <c r="AA37" s="6">
        <f t="shared" si="0"/>
        <v>605</v>
      </c>
      <c r="AB37" s="7">
        <f t="shared" si="1"/>
        <v>515.5</v>
      </c>
      <c r="AC37" s="7">
        <f t="shared" si="2"/>
        <v>505.5</v>
      </c>
      <c r="AD37" s="7">
        <f t="shared" si="3"/>
        <v>575</v>
      </c>
    </row>
    <row r="38" spans="1:30" x14ac:dyDescent="0.35">
      <c r="A38" s="14">
        <v>36</v>
      </c>
      <c r="B38" s="18">
        <f>'Inventory Baseline'!BA38</f>
        <v>0</v>
      </c>
      <c r="C38" s="19">
        <f>'Inventory Baseline'!BB38</f>
        <v>0</v>
      </c>
      <c r="D38" s="19">
        <f>'Inventory Baseline'!BC38</f>
        <v>0</v>
      </c>
      <c r="E38" s="20">
        <f>'Inventory Baseline'!BD38</f>
        <v>0</v>
      </c>
      <c r="F38" s="30">
        <v>36</v>
      </c>
      <c r="G38" s="18">
        <f>'Backlog Baseline'!BA38</f>
        <v>29</v>
      </c>
      <c r="H38" s="19">
        <f>'Backlog Baseline'!BB38</f>
        <v>20</v>
      </c>
      <c r="I38" s="19">
        <f>'Backlog Baseline'!BC38</f>
        <v>11</v>
      </c>
      <c r="J38" s="20">
        <f>'Backlog Baseline'!BD38</f>
        <v>25</v>
      </c>
      <c r="K38" s="30">
        <v>36</v>
      </c>
      <c r="L38" s="18">
        <f>'Orders Baseline'!AZ38</f>
        <v>8</v>
      </c>
      <c r="M38" s="19">
        <f>'Orders Baseline'!BA38</f>
        <v>19</v>
      </c>
      <c r="N38" s="19">
        <f>'Orders Baseline'!BB38</f>
        <v>8</v>
      </c>
      <c r="O38" s="20">
        <f>'Orders Baseline'!BC38</f>
        <v>10</v>
      </c>
      <c r="P38" s="13">
        <v>36</v>
      </c>
      <c r="Q38" s="10">
        <f>ROUND('IHC Baseline'!AY38,2)</f>
        <v>0</v>
      </c>
      <c r="R38" s="11">
        <f>ROUND('IHC Baseline'!AZ38,2)</f>
        <v>0</v>
      </c>
      <c r="S38" s="11">
        <f>ROUND('IHC Baseline'!BA38,2)</f>
        <v>0</v>
      </c>
      <c r="T38" s="12">
        <f>ROUND('IHC Baseline'!BB38,2)</f>
        <v>0</v>
      </c>
      <c r="U38">
        <v>36</v>
      </c>
      <c r="V38" s="10">
        <f>ROUND('UBC Baseline'!AZ38,2)</f>
        <v>29</v>
      </c>
      <c r="W38" s="11">
        <f>ROUND('UBC Baseline'!BA38,2)</f>
        <v>20</v>
      </c>
      <c r="X38" s="11">
        <f>ROUND('UBC Baseline'!BB38,2)</f>
        <v>11</v>
      </c>
      <c r="Y38" s="12">
        <f>ROUND('UBC Baseline'!BC38,2)</f>
        <v>25</v>
      </c>
      <c r="Z38" s="14">
        <v>36</v>
      </c>
      <c r="AA38" s="6">
        <f t="shared" si="0"/>
        <v>634</v>
      </c>
      <c r="AB38" s="7">
        <f t="shared" si="1"/>
        <v>535.5</v>
      </c>
      <c r="AC38" s="7">
        <f t="shared" si="2"/>
        <v>516.5</v>
      </c>
      <c r="AD38" s="7">
        <f t="shared" si="3"/>
        <v>600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5C8D-25B8-4412-9461-1078798D1FC6}">
  <dimension ref="A1"/>
  <sheetViews>
    <sheetView topLeftCell="A67" workbookViewId="0">
      <selection activeCell="I20" sqref="I2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A553-4D8E-4D61-AF54-004064109F30}">
  <dimension ref="A1:BD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W3" sqref="AW3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1" max="52" width="8.7265625" style="5"/>
  </cols>
  <sheetData>
    <row r="1" spans="1:56" x14ac:dyDescent="0.35">
      <c r="A1" t="s">
        <v>19</v>
      </c>
      <c r="B1" t="s">
        <v>23</v>
      </c>
      <c r="C1" t="s">
        <v>24</v>
      </c>
      <c r="D1" t="s">
        <v>25</v>
      </c>
      <c r="E1" t="s">
        <v>26</v>
      </c>
      <c r="G1" t="s">
        <v>23</v>
      </c>
      <c r="H1" t="s">
        <v>24</v>
      </c>
      <c r="I1" t="s">
        <v>25</v>
      </c>
      <c r="J1" t="s">
        <v>26</v>
      </c>
      <c r="L1" t="s">
        <v>23</v>
      </c>
      <c r="M1" t="s">
        <v>24</v>
      </c>
      <c r="N1" t="s">
        <v>25</v>
      </c>
      <c r="O1" t="s">
        <v>26</v>
      </c>
      <c r="Q1" t="s">
        <v>23</v>
      </c>
      <c r="R1" t="s">
        <v>24</v>
      </c>
      <c r="S1" t="s">
        <v>25</v>
      </c>
      <c r="T1" t="s">
        <v>26</v>
      </c>
      <c r="V1" t="s">
        <v>23</v>
      </c>
      <c r="W1" t="s">
        <v>24</v>
      </c>
      <c r="X1" t="s">
        <v>25</v>
      </c>
      <c r="Y1" t="s">
        <v>26</v>
      </c>
      <c r="AA1" t="s">
        <v>23</v>
      </c>
      <c r="AB1" t="s">
        <v>24</v>
      </c>
      <c r="AC1" t="s">
        <v>25</v>
      </c>
      <c r="AD1" t="s">
        <v>26</v>
      </c>
      <c r="AF1" t="s">
        <v>23</v>
      </c>
      <c r="AG1" t="s">
        <v>24</v>
      </c>
      <c r="AH1" t="s">
        <v>25</v>
      </c>
      <c r="AI1" t="s">
        <v>26</v>
      </c>
      <c r="AK1" t="s">
        <v>23</v>
      </c>
      <c r="AL1" t="s">
        <v>24</v>
      </c>
      <c r="AM1" t="s">
        <v>25</v>
      </c>
      <c r="AN1" t="s">
        <v>26</v>
      </c>
      <c r="AP1" t="s">
        <v>23</v>
      </c>
      <c r="AQ1" t="s">
        <v>24</v>
      </c>
      <c r="AR1" t="s">
        <v>25</v>
      </c>
      <c r="AS1" t="s">
        <v>26</v>
      </c>
      <c r="AU1" t="s">
        <v>23</v>
      </c>
      <c r="AV1" t="s">
        <v>24</v>
      </c>
      <c r="AW1" t="s">
        <v>25</v>
      </c>
      <c r="AX1" t="s">
        <v>26</v>
      </c>
      <c r="BA1" t="s">
        <v>35</v>
      </c>
      <c r="BB1" t="s">
        <v>36</v>
      </c>
      <c r="BC1" t="s">
        <v>37</v>
      </c>
      <c r="BD1" t="s">
        <v>46</v>
      </c>
    </row>
    <row r="2" spans="1:56" x14ac:dyDescent="0.35">
      <c r="A2">
        <v>0</v>
      </c>
      <c r="B2">
        <v>12</v>
      </c>
      <c r="C2">
        <v>12</v>
      </c>
      <c r="D2">
        <v>12</v>
      </c>
      <c r="E2">
        <v>12</v>
      </c>
      <c r="G2">
        <v>12</v>
      </c>
      <c r="H2">
        <v>12</v>
      </c>
      <c r="I2">
        <v>12</v>
      </c>
      <c r="J2">
        <v>12</v>
      </c>
      <c r="L2">
        <v>12</v>
      </c>
      <c r="M2">
        <v>12</v>
      </c>
      <c r="N2">
        <v>12</v>
      </c>
      <c r="O2">
        <v>12</v>
      </c>
      <c r="Q2">
        <v>12</v>
      </c>
      <c r="R2">
        <v>12</v>
      </c>
      <c r="S2">
        <v>12</v>
      </c>
      <c r="T2">
        <v>12</v>
      </c>
      <c r="V2">
        <v>12</v>
      </c>
      <c r="W2">
        <v>12</v>
      </c>
      <c r="X2">
        <v>12</v>
      </c>
      <c r="Y2">
        <v>12</v>
      </c>
      <c r="AA2">
        <v>12</v>
      </c>
      <c r="AB2">
        <v>12</v>
      </c>
      <c r="AC2">
        <v>12</v>
      </c>
      <c r="AD2">
        <v>12</v>
      </c>
      <c r="AF2">
        <v>12</v>
      </c>
      <c r="AG2">
        <v>12</v>
      </c>
      <c r="AH2">
        <v>12</v>
      </c>
      <c r="AI2">
        <v>12</v>
      </c>
      <c r="AK2">
        <v>12</v>
      </c>
      <c r="AL2">
        <v>12</v>
      </c>
      <c r="AM2">
        <v>12</v>
      </c>
      <c r="AN2">
        <v>12</v>
      </c>
      <c r="AP2">
        <v>12</v>
      </c>
      <c r="AQ2">
        <v>12</v>
      </c>
      <c r="AR2">
        <v>12</v>
      </c>
      <c r="AS2">
        <v>12</v>
      </c>
      <c r="AU2">
        <v>12</v>
      </c>
      <c r="AV2">
        <v>12</v>
      </c>
      <c r="AW2">
        <v>12</v>
      </c>
      <c r="AX2">
        <v>12</v>
      </c>
      <c r="BA2">
        <f>AVERAGE(B2,G2,L2,Q2,V2,AA2,AF2,AK2,AP2,AU2)</f>
        <v>12</v>
      </c>
      <c r="BB2">
        <f t="shared" ref="BB2:BD17" si="0">AVERAGE(C2,H2,M2,R2,W2,AB2,AG2,AL2,AQ2,AV2)</f>
        <v>12</v>
      </c>
      <c r="BC2">
        <f t="shared" si="0"/>
        <v>12</v>
      </c>
      <c r="BD2">
        <f t="shared" si="0"/>
        <v>12</v>
      </c>
    </row>
    <row r="3" spans="1:56" x14ac:dyDescent="0.35">
      <c r="A3">
        <v>1</v>
      </c>
      <c r="B3">
        <v>12</v>
      </c>
      <c r="C3">
        <v>12</v>
      </c>
      <c r="D3">
        <v>12</v>
      </c>
      <c r="E3">
        <v>12</v>
      </c>
      <c r="G3">
        <v>12</v>
      </c>
      <c r="H3">
        <v>12</v>
      </c>
      <c r="I3">
        <v>12</v>
      </c>
      <c r="J3">
        <v>12</v>
      </c>
      <c r="L3">
        <v>12</v>
      </c>
      <c r="M3">
        <v>12</v>
      </c>
      <c r="N3">
        <v>12</v>
      </c>
      <c r="O3">
        <v>12</v>
      </c>
      <c r="Q3">
        <v>12</v>
      </c>
      <c r="R3">
        <v>12</v>
      </c>
      <c r="S3">
        <v>12</v>
      </c>
      <c r="T3">
        <v>12</v>
      </c>
      <c r="V3">
        <v>12</v>
      </c>
      <c r="W3">
        <v>12</v>
      </c>
      <c r="X3">
        <v>12</v>
      </c>
      <c r="Y3">
        <v>12</v>
      </c>
      <c r="AA3">
        <v>12</v>
      </c>
      <c r="AB3">
        <v>12</v>
      </c>
      <c r="AC3">
        <v>12</v>
      </c>
      <c r="AD3">
        <v>12</v>
      </c>
      <c r="AF3">
        <v>12</v>
      </c>
      <c r="AG3">
        <v>12</v>
      </c>
      <c r="AH3">
        <v>12</v>
      </c>
      <c r="AI3">
        <v>12</v>
      </c>
      <c r="AK3">
        <v>12</v>
      </c>
      <c r="AL3">
        <v>12</v>
      </c>
      <c r="AM3">
        <v>12</v>
      </c>
      <c r="AN3">
        <v>12</v>
      </c>
      <c r="AP3">
        <v>12</v>
      </c>
      <c r="AQ3">
        <v>12</v>
      </c>
      <c r="AR3">
        <v>12</v>
      </c>
      <c r="AS3">
        <v>12</v>
      </c>
      <c r="AU3">
        <v>12</v>
      </c>
      <c r="AV3">
        <v>12</v>
      </c>
      <c r="AW3">
        <v>12</v>
      </c>
      <c r="AX3">
        <v>12</v>
      </c>
      <c r="BA3">
        <f t="shared" ref="BA3:BD38" si="1">AVERAGE(B3,G3,L3,Q3,V3,AA3,AF3,AK3,AP3,AU3)</f>
        <v>12</v>
      </c>
      <c r="BB3">
        <f t="shared" si="0"/>
        <v>12</v>
      </c>
      <c r="BC3">
        <f t="shared" si="0"/>
        <v>12</v>
      </c>
      <c r="BD3">
        <f t="shared" si="0"/>
        <v>12</v>
      </c>
    </row>
    <row r="4" spans="1:56" x14ac:dyDescent="0.35">
      <c r="A4">
        <v>2</v>
      </c>
      <c r="B4">
        <v>12</v>
      </c>
      <c r="C4">
        <v>12</v>
      </c>
      <c r="D4">
        <v>12</v>
      </c>
      <c r="E4">
        <v>12</v>
      </c>
      <c r="G4">
        <v>12</v>
      </c>
      <c r="H4">
        <v>12</v>
      </c>
      <c r="I4">
        <v>12</v>
      </c>
      <c r="J4">
        <v>12</v>
      </c>
      <c r="L4">
        <v>12</v>
      </c>
      <c r="M4">
        <v>12</v>
      </c>
      <c r="N4">
        <v>12</v>
      </c>
      <c r="O4">
        <v>12</v>
      </c>
      <c r="Q4">
        <v>12</v>
      </c>
      <c r="R4">
        <v>12</v>
      </c>
      <c r="S4">
        <v>12</v>
      </c>
      <c r="T4">
        <v>12</v>
      </c>
      <c r="V4">
        <v>12</v>
      </c>
      <c r="W4">
        <v>12</v>
      </c>
      <c r="X4">
        <v>12</v>
      </c>
      <c r="Y4">
        <v>12</v>
      </c>
      <c r="AA4">
        <v>12</v>
      </c>
      <c r="AB4">
        <v>12</v>
      </c>
      <c r="AC4">
        <v>12</v>
      </c>
      <c r="AD4">
        <v>12</v>
      </c>
      <c r="AF4">
        <v>12</v>
      </c>
      <c r="AG4">
        <v>12</v>
      </c>
      <c r="AH4">
        <v>12</v>
      </c>
      <c r="AI4">
        <v>12</v>
      </c>
      <c r="AK4">
        <v>12</v>
      </c>
      <c r="AL4">
        <v>12</v>
      </c>
      <c r="AM4">
        <v>12</v>
      </c>
      <c r="AN4">
        <v>12</v>
      </c>
      <c r="AP4">
        <v>12</v>
      </c>
      <c r="AQ4">
        <v>12</v>
      </c>
      <c r="AR4">
        <v>12</v>
      </c>
      <c r="AS4">
        <v>12</v>
      </c>
      <c r="AU4">
        <v>12</v>
      </c>
      <c r="AV4">
        <v>12</v>
      </c>
      <c r="AW4">
        <v>12</v>
      </c>
      <c r="AX4">
        <v>12</v>
      </c>
      <c r="BA4">
        <f t="shared" si="1"/>
        <v>12</v>
      </c>
      <c r="BB4">
        <f t="shared" si="0"/>
        <v>12</v>
      </c>
      <c r="BC4">
        <f t="shared" si="0"/>
        <v>12</v>
      </c>
      <c r="BD4">
        <f t="shared" si="0"/>
        <v>12</v>
      </c>
    </row>
    <row r="5" spans="1:56" x14ac:dyDescent="0.35">
      <c r="A5">
        <v>3</v>
      </c>
      <c r="B5">
        <v>12</v>
      </c>
      <c r="C5">
        <v>12</v>
      </c>
      <c r="D5">
        <v>12</v>
      </c>
      <c r="E5">
        <v>12</v>
      </c>
      <c r="G5">
        <v>12</v>
      </c>
      <c r="H5">
        <v>12</v>
      </c>
      <c r="I5">
        <v>12</v>
      </c>
      <c r="J5">
        <v>12</v>
      </c>
      <c r="L5">
        <v>12</v>
      </c>
      <c r="M5">
        <v>12</v>
      </c>
      <c r="N5">
        <v>12</v>
      </c>
      <c r="O5">
        <v>12</v>
      </c>
      <c r="Q5">
        <v>12</v>
      </c>
      <c r="R5">
        <v>12</v>
      </c>
      <c r="S5">
        <v>12</v>
      </c>
      <c r="T5">
        <v>12</v>
      </c>
      <c r="V5">
        <v>12</v>
      </c>
      <c r="W5">
        <v>12</v>
      </c>
      <c r="X5">
        <v>12</v>
      </c>
      <c r="Y5">
        <v>12</v>
      </c>
      <c r="AA5">
        <v>12</v>
      </c>
      <c r="AB5">
        <v>12</v>
      </c>
      <c r="AC5">
        <v>12</v>
      </c>
      <c r="AD5">
        <v>12</v>
      </c>
      <c r="AF5">
        <v>12</v>
      </c>
      <c r="AG5">
        <v>12</v>
      </c>
      <c r="AH5">
        <v>12</v>
      </c>
      <c r="AI5">
        <v>12</v>
      </c>
      <c r="AK5">
        <v>12</v>
      </c>
      <c r="AL5">
        <v>12</v>
      </c>
      <c r="AM5">
        <v>12</v>
      </c>
      <c r="AN5">
        <v>12</v>
      </c>
      <c r="AP5">
        <v>12</v>
      </c>
      <c r="AQ5">
        <v>12</v>
      </c>
      <c r="AR5">
        <v>12</v>
      </c>
      <c r="AS5">
        <v>12</v>
      </c>
      <c r="AU5">
        <v>12</v>
      </c>
      <c r="AV5">
        <v>12</v>
      </c>
      <c r="AW5">
        <v>12</v>
      </c>
      <c r="AX5">
        <v>12</v>
      </c>
      <c r="BA5">
        <f t="shared" si="1"/>
        <v>12</v>
      </c>
      <c r="BB5">
        <f t="shared" si="0"/>
        <v>12</v>
      </c>
      <c r="BC5">
        <f t="shared" si="0"/>
        <v>12</v>
      </c>
      <c r="BD5">
        <f t="shared" si="0"/>
        <v>12</v>
      </c>
    </row>
    <row r="6" spans="1:56" x14ac:dyDescent="0.35">
      <c r="A6">
        <v>4</v>
      </c>
      <c r="B6">
        <v>12</v>
      </c>
      <c r="C6">
        <v>12</v>
      </c>
      <c r="D6">
        <v>12</v>
      </c>
      <c r="E6">
        <v>12</v>
      </c>
      <c r="G6">
        <v>12</v>
      </c>
      <c r="H6">
        <v>12</v>
      </c>
      <c r="I6">
        <v>12</v>
      </c>
      <c r="J6">
        <v>12</v>
      </c>
      <c r="L6">
        <v>12</v>
      </c>
      <c r="M6">
        <v>12</v>
      </c>
      <c r="N6">
        <v>12</v>
      </c>
      <c r="O6">
        <v>12</v>
      </c>
      <c r="Q6">
        <v>12</v>
      </c>
      <c r="R6">
        <v>12</v>
      </c>
      <c r="S6">
        <v>12</v>
      </c>
      <c r="T6">
        <v>12</v>
      </c>
      <c r="V6">
        <v>12</v>
      </c>
      <c r="W6">
        <v>12</v>
      </c>
      <c r="X6">
        <v>12</v>
      </c>
      <c r="Y6">
        <v>12</v>
      </c>
      <c r="AA6">
        <v>12</v>
      </c>
      <c r="AB6">
        <v>12</v>
      </c>
      <c r="AC6">
        <v>12</v>
      </c>
      <c r="AD6">
        <v>12</v>
      </c>
      <c r="AF6">
        <v>12</v>
      </c>
      <c r="AG6">
        <v>12</v>
      </c>
      <c r="AH6">
        <v>12</v>
      </c>
      <c r="AI6">
        <v>12</v>
      </c>
      <c r="AK6">
        <v>12</v>
      </c>
      <c r="AL6">
        <v>12</v>
      </c>
      <c r="AM6">
        <v>12</v>
      </c>
      <c r="AN6">
        <v>12</v>
      </c>
      <c r="AP6">
        <v>12</v>
      </c>
      <c r="AQ6">
        <v>12</v>
      </c>
      <c r="AR6">
        <v>12</v>
      </c>
      <c r="AS6">
        <v>12</v>
      </c>
      <c r="AU6">
        <v>12</v>
      </c>
      <c r="AV6">
        <v>12</v>
      </c>
      <c r="AW6">
        <v>12</v>
      </c>
      <c r="AX6">
        <v>12</v>
      </c>
      <c r="BA6">
        <f t="shared" si="1"/>
        <v>12</v>
      </c>
      <c r="BB6">
        <f t="shared" si="0"/>
        <v>12</v>
      </c>
      <c r="BC6">
        <f t="shared" si="0"/>
        <v>12</v>
      </c>
      <c r="BD6">
        <f t="shared" si="0"/>
        <v>12</v>
      </c>
    </row>
    <row r="7" spans="1:56" x14ac:dyDescent="0.35">
      <c r="A7">
        <v>5</v>
      </c>
      <c r="B7">
        <v>12</v>
      </c>
      <c r="C7">
        <v>12</v>
      </c>
      <c r="D7">
        <v>8</v>
      </c>
      <c r="E7">
        <v>12</v>
      </c>
      <c r="G7">
        <v>12</v>
      </c>
      <c r="H7">
        <v>12</v>
      </c>
      <c r="I7">
        <v>8</v>
      </c>
      <c r="J7">
        <v>12</v>
      </c>
      <c r="L7">
        <v>12</v>
      </c>
      <c r="M7">
        <v>12</v>
      </c>
      <c r="N7">
        <v>8</v>
      </c>
      <c r="O7">
        <v>12</v>
      </c>
      <c r="Q7">
        <v>12</v>
      </c>
      <c r="R7">
        <v>12</v>
      </c>
      <c r="S7">
        <v>8</v>
      </c>
      <c r="T7">
        <v>12</v>
      </c>
      <c r="V7">
        <v>12</v>
      </c>
      <c r="W7">
        <v>12</v>
      </c>
      <c r="X7">
        <v>8</v>
      </c>
      <c r="Y7">
        <v>12</v>
      </c>
      <c r="AA7">
        <v>12</v>
      </c>
      <c r="AB7">
        <v>12</v>
      </c>
      <c r="AC7">
        <v>8</v>
      </c>
      <c r="AD7">
        <v>12</v>
      </c>
      <c r="AF7">
        <v>12</v>
      </c>
      <c r="AG7">
        <v>12</v>
      </c>
      <c r="AH7">
        <v>8</v>
      </c>
      <c r="AI7">
        <v>12</v>
      </c>
      <c r="AK7">
        <v>12</v>
      </c>
      <c r="AL7">
        <v>12</v>
      </c>
      <c r="AM7">
        <v>8</v>
      </c>
      <c r="AN7">
        <v>12</v>
      </c>
      <c r="AP7">
        <v>12</v>
      </c>
      <c r="AQ7">
        <v>12</v>
      </c>
      <c r="AR7">
        <v>8</v>
      </c>
      <c r="AS7">
        <v>12</v>
      </c>
      <c r="AU7">
        <v>12</v>
      </c>
      <c r="AV7">
        <v>12</v>
      </c>
      <c r="AW7">
        <v>8</v>
      </c>
      <c r="AX7">
        <v>12</v>
      </c>
      <c r="BA7">
        <f t="shared" si="1"/>
        <v>12</v>
      </c>
      <c r="BB7">
        <f t="shared" si="0"/>
        <v>12</v>
      </c>
      <c r="BC7">
        <f t="shared" si="0"/>
        <v>8</v>
      </c>
      <c r="BD7">
        <f t="shared" si="0"/>
        <v>12</v>
      </c>
    </row>
    <row r="8" spans="1:56" x14ac:dyDescent="0.35">
      <c r="A8">
        <v>6</v>
      </c>
      <c r="B8">
        <v>12</v>
      </c>
      <c r="C8">
        <v>12</v>
      </c>
      <c r="D8">
        <v>4</v>
      </c>
      <c r="E8">
        <v>12</v>
      </c>
      <c r="G8">
        <v>12</v>
      </c>
      <c r="H8">
        <v>12</v>
      </c>
      <c r="I8">
        <v>4</v>
      </c>
      <c r="J8">
        <v>12</v>
      </c>
      <c r="L8">
        <v>12</v>
      </c>
      <c r="M8">
        <v>12</v>
      </c>
      <c r="N8">
        <v>4</v>
      </c>
      <c r="O8">
        <v>12</v>
      </c>
      <c r="Q8">
        <v>12</v>
      </c>
      <c r="R8">
        <v>12</v>
      </c>
      <c r="S8">
        <v>4</v>
      </c>
      <c r="T8">
        <v>12</v>
      </c>
      <c r="V8">
        <v>12</v>
      </c>
      <c r="W8">
        <v>12</v>
      </c>
      <c r="X8">
        <v>4</v>
      </c>
      <c r="Y8">
        <v>12</v>
      </c>
      <c r="AA8">
        <v>12</v>
      </c>
      <c r="AB8">
        <v>12</v>
      </c>
      <c r="AC8">
        <v>4</v>
      </c>
      <c r="AD8">
        <v>12</v>
      </c>
      <c r="AF8">
        <v>12</v>
      </c>
      <c r="AG8">
        <v>12</v>
      </c>
      <c r="AH8">
        <v>4</v>
      </c>
      <c r="AI8">
        <v>12</v>
      </c>
      <c r="AK8">
        <v>12</v>
      </c>
      <c r="AL8">
        <v>12</v>
      </c>
      <c r="AM8">
        <v>4</v>
      </c>
      <c r="AN8">
        <v>12</v>
      </c>
      <c r="AP8">
        <v>12</v>
      </c>
      <c r="AQ8">
        <v>12</v>
      </c>
      <c r="AR8">
        <v>4</v>
      </c>
      <c r="AS8">
        <v>12</v>
      </c>
      <c r="AU8">
        <v>12</v>
      </c>
      <c r="AV8">
        <v>12</v>
      </c>
      <c r="AW8">
        <v>4</v>
      </c>
      <c r="AX8">
        <v>12</v>
      </c>
      <c r="BA8">
        <f t="shared" si="1"/>
        <v>12</v>
      </c>
      <c r="BB8">
        <f t="shared" si="0"/>
        <v>12</v>
      </c>
      <c r="BC8">
        <f t="shared" si="0"/>
        <v>4</v>
      </c>
      <c r="BD8">
        <f t="shared" si="0"/>
        <v>12</v>
      </c>
    </row>
    <row r="9" spans="1:56" x14ac:dyDescent="0.35">
      <c r="A9">
        <v>7</v>
      </c>
      <c r="B9">
        <v>16</v>
      </c>
      <c r="C9">
        <v>16</v>
      </c>
      <c r="D9">
        <v>0</v>
      </c>
      <c r="E9">
        <v>12</v>
      </c>
      <c r="G9">
        <v>16</v>
      </c>
      <c r="H9">
        <v>16</v>
      </c>
      <c r="I9">
        <v>0</v>
      </c>
      <c r="J9">
        <v>12</v>
      </c>
      <c r="L9">
        <v>16</v>
      </c>
      <c r="M9">
        <v>16</v>
      </c>
      <c r="N9">
        <v>0</v>
      </c>
      <c r="O9">
        <v>12</v>
      </c>
      <c r="Q9">
        <v>16</v>
      </c>
      <c r="R9">
        <v>16</v>
      </c>
      <c r="S9">
        <v>0</v>
      </c>
      <c r="T9">
        <v>12</v>
      </c>
      <c r="V9">
        <v>16</v>
      </c>
      <c r="W9">
        <v>16</v>
      </c>
      <c r="X9">
        <v>0</v>
      </c>
      <c r="Y9">
        <v>12</v>
      </c>
      <c r="AA9">
        <v>16</v>
      </c>
      <c r="AB9">
        <v>16</v>
      </c>
      <c r="AC9">
        <v>0</v>
      </c>
      <c r="AD9">
        <v>12</v>
      </c>
      <c r="AF9">
        <v>16</v>
      </c>
      <c r="AG9">
        <v>16</v>
      </c>
      <c r="AH9">
        <v>0</v>
      </c>
      <c r="AI9">
        <v>12</v>
      </c>
      <c r="AK9">
        <v>16</v>
      </c>
      <c r="AL9">
        <v>16</v>
      </c>
      <c r="AM9">
        <v>0</v>
      </c>
      <c r="AN9">
        <v>12</v>
      </c>
      <c r="AP9">
        <v>16</v>
      </c>
      <c r="AQ9">
        <v>16</v>
      </c>
      <c r="AR9">
        <v>0</v>
      </c>
      <c r="AS9">
        <v>12</v>
      </c>
      <c r="AU9">
        <v>16</v>
      </c>
      <c r="AV9">
        <v>16</v>
      </c>
      <c r="AW9">
        <v>0</v>
      </c>
      <c r="AX9">
        <v>12</v>
      </c>
      <c r="BA9">
        <f t="shared" si="1"/>
        <v>16</v>
      </c>
      <c r="BB9">
        <f t="shared" si="0"/>
        <v>16</v>
      </c>
      <c r="BC9">
        <f t="shared" si="0"/>
        <v>0</v>
      </c>
      <c r="BD9">
        <f t="shared" si="0"/>
        <v>12</v>
      </c>
    </row>
    <row r="10" spans="1:56" x14ac:dyDescent="0.35">
      <c r="A10">
        <v>8</v>
      </c>
      <c r="B10">
        <v>20</v>
      </c>
      <c r="C10">
        <v>16</v>
      </c>
      <c r="D10">
        <v>0</v>
      </c>
      <c r="E10">
        <v>8</v>
      </c>
      <c r="G10">
        <v>20</v>
      </c>
      <c r="H10">
        <v>16</v>
      </c>
      <c r="I10">
        <v>0</v>
      </c>
      <c r="J10">
        <v>8</v>
      </c>
      <c r="L10">
        <v>20</v>
      </c>
      <c r="M10">
        <v>16</v>
      </c>
      <c r="N10">
        <v>0</v>
      </c>
      <c r="O10">
        <v>8</v>
      </c>
      <c r="Q10">
        <v>20</v>
      </c>
      <c r="R10">
        <v>16</v>
      </c>
      <c r="S10">
        <v>0</v>
      </c>
      <c r="T10">
        <v>8</v>
      </c>
      <c r="V10">
        <v>20</v>
      </c>
      <c r="W10">
        <v>16</v>
      </c>
      <c r="X10">
        <v>0</v>
      </c>
      <c r="Y10">
        <v>8</v>
      </c>
      <c r="AA10">
        <v>20</v>
      </c>
      <c r="AB10">
        <v>16</v>
      </c>
      <c r="AC10">
        <v>0</v>
      </c>
      <c r="AD10">
        <v>8</v>
      </c>
      <c r="AF10">
        <v>20</v>
      </c>
      <c r="AG10">
        <v>16</v>
      </c>
      <c r="AH10">
        <v>0</v>
      </c>
      <c r="AI10">
        <v>8</v>
      </c>
      <c r="AK10">
        <v>20</v>
      </c>
      <c r="AL10">
        <v>16</v>
      </c>
      <c r="AM10">
        <v>0</v>
      </c>
      <c r="AN10">
        <v>8</v>
      </c>
      <c r="AP10">
        <v>20</v>
      </c>
      <c r="AQ10">
        <v>16</v>
      </c>
      <c r="AR10">
        <v>0</v>
      </c>
      <c r="AS10">
        <v>8</v>
      </c>
      <c r="AU10">
        <v>20</v>
      </c>
      <c r="AV10">
        <v>16</v>
      </c>
      <c r="AW10">
        <v>0</v>
      </c>
      <c r="AX10">
        <v>8</v>
      </c>
      <c r="BA10">
        <f t="shared" si="1"/>
        <v>20</v>
      </c>
      <c r="BB10">
        <f t="shared" si="0"/>
        <v>16</v>
      </c>
      <c r="BC10">
        <f t="shared" si="0"/>
        <v>0</v>
      </c>
      <c r="BD10">
        <f t="shared" si="0"/>
        <v>8</v>
      </c>
    </row>
    <row r="11" spans="1:56" x14ac:dyDescent="0.35">
      <c r="A11">
        <v>9</v>
      </c>
      <c r="B11">
        <v>19</v>
      </c>
      <c r="C11">
        <v>16</v>
      </c>
      <c r="D11">
        <v>0</v>
      </c>
      <c r="E11">
        <v>0</v>
      </c>
      <c r="G11">
        <v>19</v>
      </c>
      <c r="H11">
        <v>16</v>
      </c>
      <c r="I11">
        <v>0</v>
      </c>
      <c r="J11">
        <v>0</v>
      </c>
      <c r="L11">
        <v>19</v>
      </c>
      <c r="M11">
        <v>16</v>
      </c>
      <c r="N11">
        <v>0</v>
      </c>
      <c r="O11">
        <v>0</v>
      </c>
      <c r="Q11">
        <v>19</v>
      </c>
      <c r="R11">
        <v>16</v>
      </c>
      <c r="S11">
        <v>0</v>
      </c>
      <c r="T11">
        <v>0</v>
      </c>
      <c r="V11">
        <v>19</v>
      </c>
      <c r="W11">
        <v>16</v>
      </c>
      <c r="X11">
        <v>0</v>
      </c>
      <c r="Y11">
        <v>0</v>
      </c>
      <c r="AA11">
        <v>19</v>
      </c>
      <c r="AB11">
        <v>16</v>
      </c>
      <c r="AC11">
        <v>0</v>
      </c>
      <c r="AD11">
        <v>0</v>
      </c>
      <c r="AF11">
        <v>19</v>
      </c>
      <c r="AG11">
        <v>16</v>
      </c>
      <c r="AH11">
        <v>0</v>
      </c>
      <c r="AI11">
        <v>0</v>
      </c>
      <c r="AK11">
        <v>19</v>
      </c>
      <c r="AL11">
        <v>16</v>
      </c>
      <c r="AM11">
        <v>0</v>
      </c>
      <c r="AN11">
        <v>0</v>
      </c>
      <c r="AP11">
        <v>19</v>
      </c>
      <c r="AQ11">
        <v>16</v>
      </c>
      <c r="AR11">
        <v>0</v>
      </c>
      <c r="AS11">
        <v>0</v>
      </c>
      <c r="AU11">
        <v>19</v>
      </c>
      <c r="AV11">
        <v>16</v>
      </c>
      <c r="AW11">
        <v>0</v>
      </c>
      <c r="AX11">
        <v>0</v>
      </c>
      <c r="BA11">
        <f t="shared" si="1"/>
        <v>19</v>
      </c>
      <c r="BB11">
        <f t="shared" si="0"/>
        <v>16</v>
      </c>
      <c r="BC11">
        <f t="shared" si="0"/>
        <v>0</v>
      </c>
      <c r="BD11">
        <f t="shared" si="0"/>
        <v>0</v>
      </c>
    </row>
    <row r="12" spans="1:56" x14ac:dyDescent="0.35">
      <c r="A12">
        <v>10</v>
      </c>
      <c r="B12">
        <v>11</v>
      </c>
      <c r="C12">
        <v>16</v>
      </c>
      <c r="D12">
        <v>0</v>
      </c>
      <c r="E12">
        <v>0</v>
      </c>
      <c r="G12">
        <v>11</v>
      </c>
      <c r="H12">
        <v>16</v>
      </c>
      <c r="I12">
        <v>0</v>
      </c>
      <c r="J12">
        <v>0</v>
      </c>
      <c r="L12">
        <v>11</v>
      </c>
      <c r="M12">
        <v>16</v>
      </c>
      <c r="N12">
        <v>0</v>
      </c>
      <c r="O12">
        <v>0</v>
      </c>
      <c r="Q12">
        <v>11</v>
      </c>
      <c r="R12">
        <v>16</v>
      </c>
      <c r="S12">
        <v>0</v>
      </c>
      <c r="T12">
        <v>0</v>
      </c>
      <c r="V12">
        <v>11</v>
      </c>
      <c r="W12">
        <v>16</v>
      </c>
      <c r="X12">
        <v>0</v>
      </c>
      <c r="Y12">
        <v>0</v>
      </c>
      <c r="AA12">
        <v>11</v>
      </c>
      <c r="AB12">
        <v>16</v>
      </c>
      <c r="AC12">
        <v>0</v>
      </c>
      <c r="AD12">
        <v>0</v>
      </c>
      <c r="AF12">
        <v>11</v>
      </c>
      <c r="AG12">
        <v>16</v>
      </c>
      <c r="AH12">
        <v>0</v>
      </c>
      <c r="AI12">
        <v>0</v>
      </c>
      <c r="AK12">
        <v>11</v>
      </c>
      <c r="AL12">
        <v>16</v>
      </c>
      <c r="AM12">
        <v>0</v>
      </c>
      <c r="AN12">
        <v>0</v>
      </c>
      <c r="AP12">
        <v>11</v>
      </c>
      <c r="AQ12">
        <v>16</v>
      </c>
      <c r="AR12">
        <v>0</v>
      </c>
      <c r="AS12">
        <v>0</v>
      </c>
      <c r="AU12">
        <v>11</v>
      </c>
      <c r="AV12">
        <v>16</v>
      </c>
      <c r="AW12">
        <v>0</v>
      </c>
      <c r="AX12">
        <v>0</v>
      </c>
      <c r="BA12">
        <f t="shared" si="1"/>
        <v>11</v>
      </c>
      <c r="BB12">
        <f t="shared" si="0"/>
        <v>16</v>
      </c>
      <c r="BC12">
        <f t="shared" si="0"/>
        <v>0</v>
      </c>
      <c r="BD12">
        <f t="shared" si="0"/>
        <v>0</v>
      </c>
    </row>
    <row r="13" spans="1:56" x14ac:dyDescent="0.35">
      <c r="A13">
        <v>11</v>
      </c>
      <c r="B13">
        <v>0</v>
      </c>
      <c r="C13">
        <v>16</v>
      </c>
      <c r="D13">
        <v>0</v>
      </c>
      <c r="E13">
        <v>0</v>
      </c>
      <c r="G13">
        <v>0</v>
      </c>
      <c r="H13">
        <v>16</v>
      </c>
      <c r="I13">
        <v>0</v>
      </c>
      <c r="J13">
        <v>0</v>
      </c>
      <c r="L13">
        <v>0</v>
      </c>
      <c r="M13">
        <v>16</v>
      </c>
      <c r="N13">
        <v>0</v>
      </c>
      <c r="O13">
        <v>0</v>
      </c>
      <c r="Q13">
        <v>0</v>
      </c>
      <c r="R13">
        <v>16</v>
      </c>
      <c r="S13">
        <v>0</v>
      </c>
      <c r="T13">
        <v>0</v>
      </c>
      <c r="V13">
        <v>0</v>
      </c>
      <c r="W13">
        <v>16</v>
      </c>
      <c r="X13">
        <v>0</v>
      </c>
      <c r="Y13">
        <v>0</v>
      </c>
      <c r="AA13">
        <v>0</v>
      </c>
      <c r="AB13">
        <v>16</v>
      </c>
      <c r="AC13">
        <v>0</v>
      </c>
      <c r="AD13">
        <v>0</v>
      </c>
      <c r="AF13">
        <v>0</v>
      </c>
      <c r="AG13">
        <v>16</v>
      </c>
      <c r="AH13">
        <v>0</v>
      </c>
      <c r="AI13">
        <v>0</v>
      </c>
      <c r="AK13">
        <v>0</v>
      </c>
      <c r="AL13">
        <v>16</v>
      </c>
      <c r="AM13">
        <v>0</v>
      </c>
      <c r="AN13">
        <v>0</v>
      </c>
      <c r="AP13">
        <v>0</v>
      </c>
      <c r="AQ13">
        <v>16</v>
      </c>
      <c r="AR13">
        <v>0</v>
      </c>
      <c r="AS13">
        <v>0</v>
      </c>
      <c r="AU13">
        <v>0</v>
      </c>
      <c r="AV13">
        <v>16</v>
      </c>
      <c r="AW13">
        <v>0</v>
      </c>
      <c r="AX13">
        <v>0</v>
      </c>
      <c r="BA13">
        <f t="shared" si="1"/>
        <v>0</v>
      </c>
      <c r="BB13">
        <f t="shared" si="0"/>
        <v>16</v>
      </c>
      <c r="BC13">
        <f t="shared" si="0"/>
        <v>0</v>
      </c>
      <c r="BD13">
        <f t="shared" si="0"/>
        <v>0</v>
      </c>
    </row>
    <row r="14" spans="1:56" x14ac:dyDescent="0.35">
      <c r="A14">
        <v>12</v>
      </c>
      <c r="B14">
        <v>0</v>
      </c>
      <c r="C14">
        <v>13</v>
      </c>
      <c r="D14">
        <v>0</v>
      </c>
      <c r="E14">
        <v>0</v>
      </c>
      <c r="G14">
        <v>0</v>
      </c>
      <c r="H14">
        <v>13</v>
      </c>
      <c r="I14">
        <v>0</v>
      </c>
      <c r="J14">
        <v>0</v>
      </c>
      <c r="L14">
        <v>0</v>
      </c>
      <c r="M14">
        <v>13</v>
      </c>
      <c r="N14">
        <v>0</v>
      </c>
      <c r="O14">
        <v>0</v>
      </c>
      <c r="Q14">
        <v>0</v>
      </c>
      <c r="R14">
        <v>13</v>
      </c>
      <c r="S14">
        <v>0</v>
      </c>
      <c r="T14">
        <v>0</v>
      </c>
      <c r="V14">
        <v>0</v>
      </c>
      <c r="W14">
        <v>13</v>
      </c>
      <c r="X14">
        <v>0</v>
      </c>
      <c r="Y14">
        <v>0</v>
      </c>
      <c r="AA14">
        <v>0</v>
      </c>
      <c r="AB14">
        <v>13</v>
      </c>
      <c r="AC14">
        <v>0</v>
      </c>
      <c r="AD14">
        <v>0</v>
      </c>
      <c r="AF14">
        <v>0</v>
      </c>
      <c r="AG14">
        <v>13</v>
      </c>
      <c r="AH14">
        <v>0</v>
      </c>
      <c r="AI14">
        <v>0</v>
      </c>
      <c r="AK14">
        <v>0</v>
      </c>
      <c r="AL14">
        <v>13</v>
      </c>
      <c r="AM14">
        <v>0</v>
      </c>
      <c r="AN14">
        <v>0</v>
      </c>
      <c r="AP14">
        <v>0</v>
      </c>
      <c r="AQ14">
        <v>13</v>
      </c>
      <c r="AR14">
        <v>0</v>
      </c>
      <c r="AS14">
        <v>0</v>
      </c>
      <c r="AU14">
        <v>0</v>
      </c>
      <c r="AV14">
        <v>13</v>
      </c>
      <c r="AW14">
        <v>0</v>
      </c>
      <c r="AX14">
        <v>0</v>
      </c>
      <c r="BA14">
        <f t="shared" si="1"/>
        <v>0</v>
      </c>
      <c r="BB14">
        <f t="shared" si="0"/>
        <v>13</v>
      </c>
      <c r="BC14">
        <f t="shared" si="0"/>
        <v>0</v>
      </c>
      <c r="BD14">
        <f t="shared" si="0"/>
        <v>0</v>
      </c>
    </row>
    <row r="15" spans="1:56" x14ac:dyDescent="0.35">
      <c r="A15">
        <v>13</v>
      </c>
      <c r="B15">
        <v>0</v>
      </c>
      <c r="C15">
        <v>0</v>
      </c>
      <c r="D15">
        <v>0</v>
      </c>
      <c r="E15">
        <v>0</v>
      </c>
      <c r="G15">
        <v>0</v>
      </c>
      <c r="H15">
        <v>0</v>
      </c>
      <c r="I15">
        <v>0</v>
      </c>
      <c r="J15">
        <v>0</v>
      </c>
      <c r="L15">
        <v>0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  <c r="T15">
        <v>0</v>
      </c>
      <c r="V15">
        <v>0</v>
      </c>
      <c r="W15">
        <v>0</v>
      </c>
      <c r="X15">
        <v>0</v>
      </c>
      <c r="Y15">
        <v>0</v>
      </c>
      <c r="AA15">
        <v>0</v>
      </c>
      <c r="AB15">
        <v>0</v>
      </c>
      <c r="AC15">
        <v>0</v>
      </c>
      <c r="AD15">
        <v>0</v>
      </c>
      <c r="AF15">
        <v>0</v>
      </c>
      <c r="AG15">
        <v>0</v>
      </c>
      <c r="AH15">
        <v>0</v>
      </c>
      <c r="AI15">
        <v>0</v>
      </c>
      <c r="AK15">
        <v>0</v>
      </c>
      <c r="AL15">
        <v>0</v>
      </c>
      <c r="AM15">
        <v>0</v>
      </c>
      <c r="AN15">
        <v>0</v>
      </c>
      <c r="AP15">
        <v>0</v>
      </c>
      <c r="AQ15">
        <v>0</v>
      </c>
      <c r="AR15">
        <v>0</v>
      </c>
      <c r="AS15">
        <v>0</v>
      </c>
      <c r="AU15">
        <v>0</v>
      </c>
      <c r="AV15">
        <v>0</v>
      </c>
      <c r="AW15">
        <v>0</v>
      </c>
      <c r="AX15">
        <v>0</v>
      </c>
      <c r="BA15">
        <f t="shared" si="1"/>
        <v>0</v>
      </c>
      <c r="BB15">
        <f t="shared" si="0"/>
        <v>0</v>
      </c>
      <c r="BC15">
        <f t="shared" si="0"/>
        <v>0</v>
      </c>
      <c r="BD15">
        <f t="shared" si="0"/>
        <v>0</v>
      </c>
    </row>
    <row r="16" spans="1:56" x14ac:dyDescent="0.35">
      <c r="A16">
        <v>14</v>
      </c>
      <c r="B16">
        <v>0</v>
      </c>
      <c r="C16">
        <v>0</v>
      </c>
      <c r="D16">
        <v>0</v>
      </c>
      <c r="E16">
        <v>0</v>
      </c>
      <c r="G16">
        <v>0</v>
      </c>
      <c r="H16">
        <v>0</v>
      </c>
      <c r="I16">
        <v>0</v>
      </c>
      <c r="J16">
        <v>0</v>
      </c>
      <c r="L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0</v>
      </c>
      <c r="V16">
        <v>0</v>
      </c>
      <c r="W16">
        <v>0</v>
      </c>
      <c r="X16">
        <v>0</v>
      </c>
      <c r="Y16">
        <v>0</v>
      </c>
      <c r="AA16">
        <v>0</v>
      </c>
      <c r="AB16">
        <v>0</v>
      </c>
      <c r="AC16">
        <v>0</v>
      </c>
      <c r="AD16">
        <v>0</v>
      </c>
      <c r="AF16">
        <v>0</v>
      </c>
      <c r="AG16">
        <v>0</v>
      </c>
      <c r="AH16">
        <v>0</v>
      </c>
      <c r="AI16">
        <v>0</v>
      </c>
      <c r="AK16">
        <v>0</v>
      </c>
      <c r="AL16">
        <v>0</v>
      </c>
      <c r="AM16">
        <v>0</v>
      </c>
      <c r="AN16">
        <v>0</v>
      </c>
      <c r="AP16">
        <v>0</v>
      </c>
      <c r="AQ16">
        <v>0</v>
      </c>
      <c r="AR16">
        <v>0</v>
      </c>
      <c r="AS16">
        <v>0</v>
      </c>
      <c r="AU16">
        <v>0</v>
      </c>
      <c r="AV16">
        <v>0</v>
      </c>
      <c r="AW16">
        <v>0</v>
      </c>
      <c r="AX16">
        <v>0</v>
      </c>
      <c r="BA16">
        <f t="shared" si="1"/>
        <v>0</v>
      </c>
      <c r="BB16">
        <f t="shared" si="0"/>
        <v>0</v>
      </c>
      <c r="BC16">
        <f t="shared" si="0"/>
        <v>0</v>
      </c>
      <c r="BD16">
        <f t="shared" si="0"/>
        <v>0</v>
      </c>
    </row>
    <row r="17" spans="1:56" x14ac:dyDescent="0.35">
      <c r="A17">
        <v>15</v>
      </c>
      <c r="B17">
        <v>0</v>
      </c>
      <c r="C17">
        <v>0</v>
      </c>
      <c r="D17">
        <v>0</v>
      </c>
      <c r="E17">
        <v>0</v>
      </c>
      <c r="G17">
        <v>0</v>
      </c>
      <c r="H17">
        <v>0</v>
      </c>
      <c r="I17">
        <v>0</v>
      </c>
      <c r="J17">
        <v>0</v>
      </c>
      <c r="L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0</v>
      </c>
      <c r="V17">
        <v>0</v>
      </c>
      <c r="W17">
        <v>0</v>
      </c>
      <c r="X17">
        <v>0</v>
      </c>
      <c r="Y17">
        <v>0</v>
      </c>
      <c r="AA17">
        <v>0</v>
      </c>
      <c r="AB17">
        <v>0</v>
      </c>
      <c r="AC17">
        <v>0</v>
      </c>
      <c r="AD17">
        <v>0</v>
      </c>
      <c r="AF17">
        <v>0</v>
      </c>
      <c r="AG17">
        <v>0</v>
      </c>
      <c r="AH17">
        <v>0</v>
      </c>
      <c r="AI17">
        <v>0</v>
      </c>
      <c r="AK17">
        <v>0</v>
      </c>
      <c r="AL17">
        <v>0</v>
      </c>
      <c r="AM17">
        <v>0</v>
      </c>
      <c r="AN17">
        <v>0</v>
      </c>
      <c r="AP17">
        <v>0</v>
      </c>
      <c r="AQ17">
        <v>0</v>
      </c>
      <c r="AR17">
        <v>0</v>
      </c>
      <c r="AS17">
        <v>0</v>
      </c>
      <c r="AU17">
        <v>0</v>
      </c>
      <c r="AV17">
        <v>0</v>
      </c>
      <c r="AW17">
        <v>0</v>
      </c>
      <c r="AX17">
        <v>0</v>
      </c>
      <c r="BA17">
        <f t="shared" si="1"/>
        <v>0</v>
      </c>
      <c r="BB17">
        <f t="shared" si="0"/>
        <v>0</v>
      </c>
      <c r="BC17">
        <f t="shared" si="0"/>
        <v>0</v>
      </c>
      <c r="BD17">
        <f t="shared" si="0"/>
        <v>0</v>
      </c>
    </row>
    <row r="18" spans="1:56" x14ac:dyDescent="0.35">
      <c r="A18">
        <v>16</v>
      </c>
      <c r="B18">
        <v>0</v>
      </c>
      <c r="C18">
        <v>0</v>
      </c>
      <c r="D18">
        <v>0</v>
      </c>
      <c r="E18">
        <v>0</v>
      </c>
      <c r="G18">
        <v>0</v>
      </c>
      <c r="H18">
        <v>0</v>
      </c>
      <c r="I18">
        <v>0</v>
      </c>
      <c r="J18">
        <v>0</v>
      </c>
      <c r="L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0</v>
      </c>
      <c r="V18">
        <v>0</v>
      </c>
      <c r="W18">
        <v>0</v>
      </c>
      <c r="X18">
        <v>0</v>
      </c>
      <c r="Y18">
        <v>0</v>
      </c>
      <c r="AA18">
        <v>0</v>
      </c>
      <c r="AB18">
        <v>0</v>
      </c>
      <c r="AC18">
        <v>0</v>
      </c>
      <c r="AD18">
        <v>0</v>
      </c>
      <c r="AF18">
        <v>0</v>
      </c>
      <c r="AG18">
        <v>0</v>
      </c>
      <c r="AH18">
        <v>0</v>
      </c>
      <c r="AI18">
        <v>0</v>
      </c>
      <c r="AK18">
        <v>0</v>
      </c>
      <c r="AL18">
        <v>0</v>
      </c>
      <c r="AM18">
        <v>0</v>
      </c>
      <c r="AN18">
        <v>0</v>
      </c>
      <c r="AP18">
        <v>0</v>
      </c>
      <c r="AQ18">
        <v>0</v>
      </c>
      <c r="AR18">
        <v>0</v>
      </c>
      <c r="AS18">
        <v>0</v>
      </c>
      <c r="AU18">
        <v>0</v>
      </c>
      <c r="AV18">
        <v>0</v>
      </c>
      <c r="AW18">
        <v>0</v>
      </c>
      <c r="AX18">
        <v>0</v>
      </c>
      <c r="BA18">
        <f t="shared" si="1"/>
        <v>0</v>
      </c>
      <c r="BB18">
        <f t="shared" si="1"/>
        <v>0</v>
      </c>
      <c r="BC18">
        <f t="shared" si="1"/>
        <v>0</v>
      </c>
      <c r="BD18">
        <f t="shared" si="1"/>
        <v>0</v>
      </c>
    </row>
    <row r="19" spans="1:56" x14ac:dyDescent="0.35">
      <c r="A19">
        <v>17</v>
      </c>
      <c r="B19">
        <v>0</v>
      </c>
      <c r="C19">
        <v>0</v>
      </c>
      <c r="D19">
        <v>0</v>
      </c>
      <c r="E19">
        <v>0</v>
      </c>
      <c r="G19">
        <v>0</v>
      </c>
      <c r="H19">
        <v>0</v>
      </c>
      <c r="I19">
        <v>0</v>
      </c>
      <c r="J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  <c r="V19">
        <v>0</v>
      </c>
      <c r="W19">
        <v>0</v>
      </c>
      <c r="X19">
        <v>0</v>
      </c>
      <c r="Y19">
        <v>0</v>
      </c>
      <c r="AA19">
        <v>0</v>
      </c>
      <c r="AB19">
        <v>0</v>
      </c>
      <c r="AC19">
        <v>0</v>
      </c>
      <c r="AD19">
        <v>0</v>
      </c>
      <c r="AF19">
        <v>0</v>
      </c>
      <c r="AG19">
        <v>0</v>
      </c>
      <c r="AH19">
        <v>0</v>
      </c>
      <c r="AI19">
        <v>0</v>
      </c>
      <c r="AK19">
        <v>0</v>
      </c>
      <c r="AL19">
        <v>0</v>
      </c>
      <c r="AM19">
        <v>0</v>
      </c>
      <c r="AN19">
        <v>0</v>
      </c>
      <c r="AP19">
        <v>0</v>
      </c>
      <c r="AQ19">
        <v>0</v>
      </c>
      <c r="AR19">
        <v>0</v>
      </c>
      <c r="AS19">
        <v>0</v>
      </c>
      <c r="AU19">
        <v>0</v>
      </c>
      <c r="AV19">
        <v>0</v>
      </c>
      <c r="AW19">
        <v>0</v>
      </c>
      <c r="AX19">
        <v>0</v>
      </c>
      <c r="BA19">
        <f t="shared" si="1"/>
        <v>0</v>
      </c>
      <c r="BB19">
        <f t="shared" si="1"/>
        <v>0</v>
      </c>
      <c r="BC19">
        <f t="shared" si="1"/>
        <v>0</v>
      </c>
      <c r="BD19">
        <f t="shared" si="1"/>
        <v>0</v>
      </c>
    </row>
    <row r="20" spans="1:56" x14ac:dyDescent="0.35">
      <c r="A20">
        <v>18</v>
      </c>
      <c r="B20">
        <v>0</v>
      </c>
      <c r="C20">
        <v>0</v>
      </c>
      <c r="D20">
        <v>0</v>
      </c>
      <c r="E20">
        <v>0</v>
      </c>
      <c r="G20">
        <v>0</v>
      </c>
      <c r="H20">
        <v>0</v>
      </c>
      <c r="I20">
        <v>0</v>
      </c>
      <c r="J20">
        <v>0</v>
      </c>
      <c r="L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  <c r="T20">
        <v>0</v>
      </c>
      <c r="V20">
        <v>0</v>
      </c>
      <c r="W20">
        <v>0</v>
      </c>
      <c r="X20">
        <v>0</v>
      </c>
      <c r="Y20">
        <v>0</v>
      </c>
      <c r="AA20">
        <v>0</v>
      </c>
      <c r="AB20">
        <v>0</v>
      </c>
      <c r="AC20">
        <v>0</v>
      </c>
      <c r="AD20">
        <v>0</v>
      </c>
      <c r="AF20">
        <v>0</v>
      </c>
      <c r="AG20">
        <v>0</v>
      </c>
      <c r="AH20">
        <v>0</v>
      </c>
      <c r="AI20">
        <v>0</v>
      </c>
      <c r="AK20">
        <v>0</v>
      </c>
      <c r="AL20">
        <v>0</v>
      </c>
      <c r="AM20">
        <v>0</v>
      </c>
      <c r="AN20">
        <v>0</v>
      </c>
      <c r="AP20">
        <v>0</v>
      </c>
      <c r="AQ20">
        <v>0</v>
      </c>
      <c r="AR20">
        <v>0</v>
      </c>
      <c r="AS20">
        <v>0</v>
      </c>
      <c r="AU20">
        <v>0</v>
      </c>
      <c r="AV20">
        <v>0</v>
      </c>
      <c r="AW20">
        <v>0</v>
      </c>
      <c r="AX20">
        <v>0</v>
      </c>
      <c r="BA20">
        <f t="shared" si="1"/>
        <v>0</v>
      </c>
      <c r="BB20">
        <f t="shared" si="1"/>
        <v>0</v>
      </c>
      <c r="BC20">
        <f t="shared" si="1"/>
        <v>0</v>
      </c>
      <c r="BD20">
        <f t="shared" si="1"/>
        <v>0</v>
      </c>
    </row>
    <row r="21" spans="1:56" x14ac:dyDescent="0.35">
      <c r="A21">
        <v>19</v>
      </c>
      <c r="B21">
        <v>0</v>
      </c>
      <c r="C21">
        <v>0</v>
      </c>
      <c r="D21">
        <v>0</v>
      </c>
      <c r="E21">
        <v>0</v>
      </c>
      <c r="G21">
        <v>0</v>
      </c>
      <c r="H21">
        <v>0</v>
      </c>
      <c r="I21">
        <v>0</v>
      </c>
      <c r="J21">
        <v>0</v>
      </c>
      <c r="L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  <c r="T21">
        <v>0</v>
      </c>
      <c r="V21">
        <v>0</v>
      </c>
      <c r="W21">
        <v>0</v>
      </c>
      <c r="X21">
        <v>0</v>
      </c>
      <c r="Y21">
        <v>0</v>
      </c>
      <c r="AA21">
        <v>0</v>
      </c>
      <c r="AB21">
        <v>0</v>
      </c>
      <c r="AC21">
        <v>0</v>
      </c>
      <c r="AD21">
        <v>0</v>
      </c>
      <c r="AF21">
        <v>0</v>
      </c>
      <c r="AG21">
        <v>0</v>
      </c>
      <c r="AH21">
        <v>0</v>
      </c>
      <c r="AI21">
        <v>0</v>
      </c>
      <c r="AK21">
        <v>0</v>
      </c>
      <c r="AL21">
        <v>0</v>
      </c>
      <c r="AM21">
        <v>0</v>
      </c>
      <c r="AN21">
        <v>0</v>
      </c>
      <c r="AP21">
        <v>0</v>
      </c>
      <c r="AQ21">
        <v>0</v>
      </c>
      <c r="AR21">
        <v>0</v>
      </c>
      <c r="AS21">
        <v>0</v>
      </c>
      <c r="AU21">
        <v>0</v>
      </c>
      <c r="AV21">
        <v>0</v>
      </c>
      <c r="AW21">
        <v>0</v>
      </c>
      <c r="AX21">
        <v>0</v>
      </c>
      <c r="BA21">
        <f t="shared" si="1"/>
        <v>0</v>
      </c>
      <c r="BB21">
        <f t="shared" si="1"/>
        <v>0</v>
      </c>
      <c r="BC21">
        <f t="shared" si="1"/>
        <v>0</v>
      </c>
      <c r="BD21">
        <f t="shared" si="1"/>
        <v>0</v>
      </c>
    </row>
    <row r="22" spans="1:56" x14ac:dyDescent="0.35">
      <c r="A22">
        <v>20</v>
      </c>
      <c r="B22">
        <v>0</v>
      </c>
      <c r="C22">
        <v>16</v>
      </c>
      <c r="D22">
        <v>0</v>
      </c>
      <c r="E22">
        <v>0</v>
      </c>
      <c r="G22">
        <v>0</v>
      </c>
      <c r="H22">
        <v>16</v>
      </c>
      <c r="I22">
        <v>0</v>
      </c>
      <c r="J22">
        <v>0</v>
      </c>
      <c r="L22">
        <v>0</v>
      </c>
      <c r="M22">
        <v>16</v>
      </c>
      <c r="N22">
        <v>0</v>
      </c>
      <c r="O22">
        <v>0</v>
      </c>
      <c r="Q22">
        <v>0</v>
      </c>
      <c r="R22">
        <v>16</v>
      </c>
      <c r="S22">
        <v>0</v>
      </c>
      <c r="T22">
        <v>0</v>
      </c>
      <c r="V22">
        <v>0</v>
      </c>
      <c r="W22">
        <v>16</v>
      </c>
      <c r="X22">
        <v>0</v>
      </c>
      <c r="Y22">
        <v>0</v>
      </c>
      <c r="AA22">
        <v>0</v>
      </c>
      <c r="AB22">
        <v>16</v>
      </c>
      <c r="AC22">
        <v>0</v>
      </c>
      <c r="AD22">
        <v>0</v>
      </c>
      <c r="AF22">
        <v>0</v>
      </c>
      <c r="AG22">
        <v>16</v>
      </c>
      <c r="AH22">
        <v>0</v>
      </c>
      <c r="AI22">
        <v>0</v>
      </c>
      <c r="AK22">
        <v>0</v>
      </c>
      <c r="AL22">
        <v>16</v>
      </c>
      <c r="AM22">
        <v>0</v>
      </c>
      <c r="AN22">
        <v>0</v>
      </c>
      <c r="AP22">
        <v>0</v>
      </c>
      <c r="AQ22">
        <v>16</v>
      </c>
      <c r="AR22">
        <v>0</v>
      </c>
      <c r="AS22">
        <v>0</v>
      </c>
      <c r="AU22">
        <v>0</v>
      </c>
      <c r="AV22">
        <v>16</v>
      </c>
      <c r="AW22">
        <v>0</v>
      </c>
      <c r="AX22">
        <v>0</v>
      </c>
      <c r="BA22">
        <f t="shared" si="1"/>
        <v>0</v>
      </c>
      <c r="BB22">
        <f t="shared" si="1"/>
        <v>16</v>
      </c>
      <c r="BC22">
        <f t="shared" si="1"/>
        <v>0</v>
      </c>
      <c r="BD22">
        <f t="shared" si="1"/>
        <v>0</v>
      </c>
    </row>
    <row r="23" spans="1:56" x14ac:dyDescent="0.35">
      <c r="A23">
        <v>21</v>
      </c>
      <c r="B23">
        <v>19</v>
      </c>
      <c r="C23">
        <v>28</v>
      </c>
      <c r="D23">
        <v>0</v>
      </c>
      <c r="E23">
        <v>0</v>
      </c>
      <c r="G23">
        <v>19</v>
      </c>
      <c r="H23">
        <v>28</v>
      </c>
      <c r="I23">
        <v>0</v>
      </c>
      <c r="J23">
        <v>0</v>
      </c>
      <c r="L23">
        <v>19</v>
      </c>
      <c r="M23">
        <v>28</v>
      </c>
      <c r="N23">
        <v>0</v>
      </c>
      <c r="O23">
        <v>0</v>
      </c>
      <c r="Q23">
        <v>19</v>
      </c>
      <c r="R23">
        <v>28</v>
      </c>
      <c r="S23">
        <v>0</v>
      </c>
      <c r="T23">
        <v>0</v>
      </c>
      <c r="V23">
        <v>19</v>
      </c>
      <c r="W23">
        <v>28</v>
      </c>
      <c r="X23">
        <v>0</v>
      </c>
      <c r="Y23">
        <v>0</v>
      </c>
      <c r="AA23">
        <v>19</v>
      </c>
      <c r="AB23">
        <v>28</v>
      </c>
      <c r="AC23">
        <v>0</v>
      </c>
      <c r="AD23">
        <v>0</v>
      </c>
      <c r="AF23">
        <v>19</v>
      </c>
      <c r="AG23">
        <v>28</v>
      </c>
      <c r="AH23">
        <v>0</v>
      </c>
      <c r="AI23">
        <v>0</v>
      </c>
      <c r="AK23">
        <v>19</v>
      </c>
      <c r="AL23">
        <v>28</v>
      </c>
      <c r="AM23">
        <v>0</v>
      </c>
      <c r="AN23">
        <v>0</v>
      </c>
      <c r="AP23">
        <v>19</v>
      </c>
      <c r="AQ23">
        <v>28</v>
      </c>
      <c r="AR23">
        <v>0</v>
      </c>
      <c r="AS23">
        <v>0</v>
      </c>
      <c r="AU23">
        <v>19</v>
      </c>
      <c r="AV23">
        <v>28</v>
      </c>
      <c r="AW23">
        <v>0</v>
      </c>
      <c r="AX23">
        <v>0</v>
      </c>
      <c r="BA23">
        <f t="shared" si="1"/>
        <v>19</v>
      </c>
      <c r="BB23">
        <f t="shared" si="1"/>
        <v>28</v>
      </c>
      <c r="BC23">
        <f t="shared" si="1"/>
        <v>0</v>
      </c>
      <c r="BD23">
        <f t="shared" si="1"/>
        <v>0</v>
      </c>
    </row>
    <row r="24" spans="1:56" x14ac:dyDescent="0.35">
      <c r="A24">
        <v>22</v>
      </c>
      <c r="B24">
        <v>22</v>
      </c>
      <c r="C24">
        <v>37</v>
      </c>
      <c r="D24">
        <v>0</v>
      </c>
      <c r="E24">
        <v>1</v>
      </c>
      <c r="G24">
        <v>22</v>
      </c>
      <c r="H24">
        <v>37</v>
      </c>
      <c r="I24">
        <v>0</v>
      </c>
      <c r="J24">
        <v>1</v>
      </c>
      <c r="L24">
        <v>22</v>
      </c>
      <c r="M24">
        <v>37</v>
      </c>
      <c r="N24">
        <v>0</v>
      </c>
      <c r="O24">
        <v>1</v>
      </c>
      <c r="Q24">
        <v>22</v>
      </c>
      <c r="R24">
        <v>37</v>
      </c>
      <c r="S24">
        <v>0</v>
      </c>
      <c r="T24">
        <v>1</v>
      </c>
      <c r="V24">
        <v>22</v>
      </c>
      <c r="W24">
        <v>37</v>
      </c>
      <c r="X24">
        <v>0</v>
      </c>
      <c r="Y24">
        <v>1</v>
      </c>
      <c r="AA24">
        <v>22</v>
      </c>
      <c r="AB24">
        <v>37</v>
      </c>
      <c r="AC24">
        <v>0</v>
      </c>
      <c r="AD24">
        <v>1</v>
      </c>
      <c r="AF24">
        <v>22</v>
      </c>
      <c r="AG24">
        <v>37</v>
      </c>
      <c r="AH24">
        <v>0</v>
      </c>
      <c r="AI24">
        <v>1</v>
      </c>
      <c r="AK24">
        <v>22</v>
      </c>
      <c r="AL24">
        <v>37</v>
      </c>
      <c r="AM24">
        <v>0</v>
      </c>
      <c r="AN24">
        <v>1</v>
      </c>
      <c r="AP24">
        <v>22</v>
      </c>
      <c r="AQ24">
        <v>37</v>
      </c>
      <c r="AR24">
        <v>0</v>
      </c>
      <c r="AS24">
        <v>1</v>
      </c>
      <c r="AU24">
        <v>22</v>
      </c>
      <c r="AV24">
        <v>37</v>
      </c>
      <c r="AW24">
        <v>0</v>
      </c>
      <c r="AX24">
        <v>1</v>
      </c>
      <c r="BA24">
        <f t="shared" si="1"/>
        <v>22</v>
      </c>
      <c r="BB24">
        <f t="shared" si="1"/>
        <v>37</v>
      </c>
      <c r="BC24">
        <f t="shared" si="1"/>
        <v>0</v>
      </c>
      <c r="BD24">
        <f t="shared" si="1"/>
        <v>1</v>
      </c>
    </row>
    <row r="25" spans="1:56" x14ac:dyDescent="0.35">
      <c r="A25">
        <v>23</v>
      </c>
      <c r="B25">
        <v>21</v>
      </c>
      <c r="C25">
        <v>39</v>
      </c>
      <c r="D25">
        <v>0</v>
      </c>
      <c r="E25">
        <v>12</v>
      </c>
      <c r="G25">
        <v>21</v>
      </c>
      <c r="H25">
        <v>39</v>
      </c>
      <c r="I25">
        <v>0</v>
      </c>
      <c r="J25">
        <v>12</v>
      </c>
      <c r="L25">
        <v>21</v>
      </c>
      <c r="M25">
        <v>39</v>
      </c>
      <c r="N25">
        <v>0</v>
      </c>
      <c r="O25">
        <v>12</v>
      </c>
      <c r="Q25">
        <v>21</v>
      </c>
      <c r="R25">
        <v>39</v>
      </c>
      <c r="S25">
        <v>0</v>
      </c>
      <c r="T25">
        <v>12</v>
      </c>
      <c r="V25">
        <v>21</v>
      </c>
      <c r="W25">
        <v>39</v>
      </c>
      <c r="X25">
        <v>0</v>
      </c>
      <c r="Y25">
        <v>12</v>
      </c>
      <c r="AA25">
        <v>21</v>
      </c>
      <c r="AB25">
        <v>39</v>
      </c>
      <c r="AC25">
        <v>0</v>
      </c>
      <c r="AD25">
        <v>12</v>
      </c>
      <c r="AF25">
        <v>21</v>
      </c>
      <c r="AG25">
        <v>39</v>
      </c>
      <c r="AH25">
        <v>0</v>
      </c>
      <c r="AI25">
        <v>12</v>
      </c>
      <c r="AK25">
        <v>21</v>
      </c>
      <c r="AL25">
        <v>39</v>
      </c>
      <c r="AM25">
        <v>0</v>
      </c>
      <c r="AN25">
        <v>12</v>
      </c>
      <c r="AP25">
        <v>21</v>
      </c>
      <c r="AQ25">
        <v>39</v>
      </c>
      <c r="AR25">
        <v>0</v>
      </c>
      <c r="AS25">
        <v>12</v>
      </c>
      <c r="AU25">
        <v>21</v>
      </c>
      <c r="AV25">
        <v>39</v>
      </c>
      <c r="AW25">
        <v>0</v>
      </c>
      <c r="AX25">
        <v>12</v>
      </c>
      <c r="BA25">
        <f t="shared" si="1"/>
        <v>21</v>
      </c>
      <c r="BB25">
        <f t="shared" si="1"/>
        <v>39</v>
      </c>
      <c r="BC25">
        <f t="shared" si="1"/>
        <v>0</v>
      </c>
      <c r="BD25">
        <f t="shared" si="1"/>
        <v>12</v>
      </c>
    </row>
    <row r="26" spans="1:56" x14ac:dyDescent="0.35">
      <c r="A26">
        <v>24</v>
      </c>
      <c r="B26">
        <v>21</v>
      </c>
      <c r="C26">
        <v>33</v>
      </c>
      <c r="D26">
        <v>9</v>
      </c>
      <c r="E26">
        <v>14</v>
      </c>
      <c r="G26">
        <v>21</v>
      </c>
      <c r="H26">
        <v>33</v>
      </c>
      <c r="I26">
        <v>9</v>
      </c>
      <c r="J26">
        <v>14</v>
      </c>
      <c r="L26">
        <v>21</v>
      </c>
      <c r="M26">
        <v>33</v>
      </c>
      <c r="N26">
        <v>9</v>
      </c>
      <c r="O26">
        <v>14</v>
      </c>
      <c r="Q26">
        <v>21</v>
      </c>
      <c r="R26">
        <v>33</v>
      </c>
      <c r="S26">
        <v>9</v>
      </c>
      <c r="T26">
        <v>14</v>
      </c>
      <c r="V26">
        <v>21</v>
      </c>
      <c r="W26">
        <v>33</v>
      </c>
      <c r="X26">
        <v>9</v>
      </c>
      <c r="Y26">
        <v>14</v>
      </c>
      <c r="AA26">
        <v>21</v>
      </c>
      <c r="AB26">
        <v>33</v>
      </c>
      <c r="AC26">
        <v>9</v>
      </c>
      <c r="AD26">
        <v>14</v>
      </c>
      <c r="AF26">
        <v>21</v>
      </c>
      <c r="AG26">
        <v>33</v>
      </c>
      <c r="AH26">
        <v>9</v>
      </c>
      <c r="AI26">
        <v>14</v>
      </c>
      <c r="AK26">
        <v>21</v>
      </c>
      <c r="AL26">
        <v>33</v>
      </c>
      <c r="AM26">
        <v>9</v>
      </c>
      <c r="AN26">
        <v>14</v>
      </c>
      <c r="AP26">
        <v>21</v>
      </c>
      <c r="AQ26">
        <v>33</v>
      </c>
      <c r="AR26">
        <v>9</v>
      </c>
      <c r="AS26">
        <v>14</v>
      </c>
      <c r="AU26">
        <v>21</v>
      </c>
      <c r="AV26">
        <v>33</v>
      </c>
      <c r="AW26">
        <v>9</v>
      </c>
      <c r="AX26">
        <v>14</v>
      </c>
      <c r="BA26">
        <f t="shared" si="1"/>
        <v>21</v>
      </c>
      <c r="BB26">
        <f t="shared" si="1"/>
        <v>33</v>
      </c>
      <c r="BC26">
        <f t="shared" si="1"/>
        <v>9</v>
      </c>
      <c r="BD26">
        <f t="shared" si="1"/>
        <v>14</v>
      </c>
    </row>
    <row r="27" spans="1:56" x14ac:dyDescent="0.35">
      <c r="A27">
        <v>25</v>
      </c>
      <c r="B27">
        <v>21</v>
      </c>
      <c r="C27">
        <v>31</v>
      </c>
      <c r="D27">
        <v>11</v>
      </c>
      <c r="E27">
        <v>14</v>
      </c>
      <c r="G27">
        <v>21</v>
      </c>
      <c r="H27">
        <v>31</v>
      </c>
      <c r="I27">
        <v>11</v>
      </c>
      <c r="J27">
        <v>14</v>
      </c>
      <c r="L27">
        <v>21</v>
      </c>
      <c r="M27">
        <v>31</v>
      </c>
      <c r="N27">
        <v>11</v>
      </c>
      <c r="O27">
        <v>14</v>
      </c>
      <c r="Q27">
        <v>21</v>
      </c>
      <c r="R27">
        <v>31</v>
      </c>
      <c r="S27">
        <v>11</v>
      </c>
      <c r="T27">
        <v>14</v>
      </c>
      <c r="V27">
        <v>21</v>
      </c>
      <c r="W27">
        <v>31</v>
      </c>
      <c r="X27">
        <v>11</v>
      </c>
      <c r="Y27">
        <v>14</v>
      </c>
      <c r="AA27">
        <v>21</v>
      </c>
      <c r="AB27">
        <v>31</v>
      </c>
      <c r="AC27">
        <v>11</v>
      </c>
      <c r="AD27">
        <v>14</v>
      </c>
      <c r="AF27">
        <v>21</v>
      </c>
      <c r="AG27">
        <v>31</v>
      </c>
      <c r="AH27">
        <v>11</v>
      </c>
      <c r="AI27">
        <v>14</v>
      </c>
      <c r="AK27">
        <v>21</v>
      </c>
      <c r="AL27">
        <v>31</v>
      </c>
      <c r="AM27">
        <v>11</v>
      </c>
      <c r="AN27">
        <v>14</v>
      </c>
      <c r="AP27">
        <v>21</v>
      </c>
      <c r="AQ27">
        <v>31</v>
      </c>
      <c r="AR27">
        <v>11</v>
      </c>
      <c r="AS27">
        <v>14</v>
      </c>
      <c r="AU27">
        <v>21</v>
      </c>
      <c r="AV27">
        <v>31</v>
      </c>
      <c r="AW27">
        <v>11</v>
      </c>
      <c r="AX27">
        <v>14</v>
      </c>
      <c r="BA27">
        <f t="shared" si="1"/>
        <v>21</v>
      </c>
      <c r="BB27">
        <f t="shared" si="1"/>
        <v>31</v>
      </c>
      <c r="BC27">
        <f t="shared" si="1"/>
        <v>11</v>
      </c>
      <c r="BD27">
        <f t="shared" si="1"/>
        <v>14</v>
      </c>
    </row>
    <row r="28" spans="1:56" x14ac:dyDescent="0.35">
      <c r="A28">
        <v>26</v>
      </c>
      <c r="B28">
        <v>21</v>
      </c>
      <c r="C28">
        <v>31</v>
      </c>
      <c r="D28">
        <v>11</v>
      </c>
      <c r="E28">
        <v>15</v>
      </c>
      <c r="G28">
        <v>21</v>
      </c>
      <c r="H28">
        <v>31</v>
      </c>
      <c r="I28">
        <v>11</v>
      </c>
      <c r="J28">
        <v>15</v>
      </c>
      <c r="L28">
        <v>21</v>
      </c>
      <c r="M28">
        <v>31</v>
      </c>
      <c r="N28">
        <v>11</v>
      </c>
      <c r="O28">
        <v>15</v>
      </c>
      <c r="Q28">
        <v>21</v>
      </c>
      <c r="R28">
        <v>31</v>
      </c>
      <c r="S28">
        <v>11</v>
      </c>
      <c r="T28">
        <v>15</v>
      </c>
      <c r="V28">
        <v>21</v>
      </c>
      <c r="W28">
        <v>31</v>
      </c>
      <c r="X28">
        <v>11</v>
      </c>
      <c r="Y28">
        <v>15</v>
      </c>
      <c r="AA28">
        <v>21</v>
      </c>
      <c r="AB28">
        <v>31</v>
      </c>
      <c r="AC28">
        <v>11</v>
      </c>
      <c r="AD28">
        <v>15</v>
      </c>
      <c r="AF28">
        <v>21</v>
      </c>
      <c r="AG28">
        <v>31</v>
      </c>
      <c r="AH28">
        <v>11</v>
      </c>
      <c r="AI28">
        <v>15</v>
      </c>
      <c r="AK28">
        <v>21</v>
      </c>
      <c r="AL28">
        <v>31</v>
      </c>
      <c r="AM28">
        <v>11</v>
      </c>
      <c r="AN28">
        <v>15</v>
      </c>
      <c r="AP28">
        <v>21</v>
      </c>
      <c r="AQ28">
        <v>31</v>
      </c>
      <c r="AR28">
        <v>11</v>
      </c>
      <c r="AS28">
        <v>15</v>
      </c>
      <c r="AU28">
        <v>21</v>
      </c>
      <c r="AV28">
        <v>31</v>
      </c>
      <c r="AW28">
        <v>11</v>
      </c>
      <c r="AX28">
        <v>15</v>
      </c>
      <c r="BA28">
        <f t="shared" si="1"/>
        <v>21</v>
      </c>
      <c r="BB28">
        <f t="shared" si="1"/>
        <v>31</v>
      </c>
      <c r="BC28">
        <f t="shared" si="1"/>
        <v>11</v>
      </c>
      <c r="BD28">
        <f t="shared" si="1"/>
        <v>15</v>
      </c>
    </row>
    <row r="29" spans="1:56" x14ac:dyDescent="0.35">
      <c r="A29">
        <v>27</v>
      </c>
      <c r="B29">
        <v>20</v>
      </c>
      <c r="C29">
        <v>30</v>
      </c>
      <c r="D29">
        <v>9</v>
      </c>
      <c r="E29">
        <v>16</v>
      </c>
      <c r="G29">
        <v>20</v>
      </c>
      <c r="H29">
        <v>30</v>
      </c>
      <c r="I29">
        <v>9</v>
      </c>
      <c r="J29">
        <v>16</v>
      </c>
      <c r="L29">
        <v>20</v>
      </c>
      <c r="M29">
        <v>30</v>
      </c>
      <c r="N29">
        <v>9</v>
      </c>
      <c r="O29">
        <v>16</v>
      </c>
      <c r="Q29">
        <v>20</v>
      </c>
      <c r="R29">
        <v>30</v>
      </c>
      <c r="S29">
        <v>9</v>
      </c>
      <c r="T29">
        <v>16</v>
      </c>
      <c r="V29">
        <v>20</v>
      </c>
      <c r="W29">
        <v>30</v>
      </c>
      <c r="X29">
        <v>9</v>
      </c>
      <c r="Y29">
        <v>16</v>
      </c>
      <c r="AA29">
        <v>20</v>
      </c>
      <c r="AB29">
        <v>30</v>
      </c>
      <c r="AC29">
        <v>9</v>
      </c>
      <c r="AD29">
        <v>16</v>
      </c>
      <c r="AF29">
        <v>20</v>
      </c>
      <c r="AG29">
        <v>30</v>
      </c>
      <c r="AH29">
        <v>9</v>
      </c>
      <c r="AI29">
        <v>16</v>
      </c>
      <c r="AK29">
        <v>20</v>
      </c>
      <c r="AL29">
        <v>30</v>
      </c>
      <c r="AM29">
        <v>9</v>
      </c>
      <c r="AN29">
        <v>16</v>
      </c>
      <c r="AP29">
        <v>20</v>
      </c>
      <c r="AQ29">
        <v>30</v>
      </c>
      <c r="AR29">
        <v>9</v>
      </c>
      <c r="AS29">
        <v>16</v>
      </c>
      <c r="AU29">
        <v>20</v>
      </c>
      <c r="AV29">
        <v>30</v>
      </c>
      <c r="AW29">
        <v>9</v>
      </c>
      <c r="AX29">
        <v>16</v>
      </c>
      <c r="BA29">
        <f t="shared" si="1"/>
        <v>20</v>
      </c>
      <c r="BB29">
        <f t="shared" si="1"/>
        <v>30</v>
      </c>
      <c r="BC29">
        <f t="shared" si="1"/>
        <v>9</v>
      </c>
      <c r="BD29">
        <f t="shared" si="1"/>
        <v>16</v>
      </c>
    </row>
    <row r="30" spans="1:56" x14ac:dyDescent="0.35">
      <c r="A30">
        <v>28</v>
      </c>
      <c r="B30">
        <v>20</v>
      </c>
      <c r="C30">
        <v>28</v>
      </c>
      <c r="D30">
        <v>4</v>
      </c>
      <c r="E30">
        <v>16</v>
      </c>
      <c r="G30">
        <v>20</v>
      </c>
      <c r="H30">
        <v>28</v>
      </c>
      <c r="I30">
        <v>4</v>
      </c>
      <c r="J30">
        <v>16</v>
      </c>
      <c r="L30">
        <v>20</v>
      </c>
      <c r="M30">
        <v>28</v>
      </c>
      <c r="N30">
        <v>4</v>
      </c>
      <c r="O30">
        <v>16</v>
      </c>
      <c r="Q30">
        <v>20</v>
      </c>
      <c r="R30">
        <v>28</v>
      </c>
      <c r="S30">
        <v>4</v>
      </c>
      <c r="T30">
        <v>16</v>
      </c>
      <c r="V30">
        <v>20</v>
      </c>
      <c r="W30">
        <v>28</v>
      </c>
      <c r="X30">
        <v>4</v>
      </c>
      <c r="Y30">
        <v>16</v>
      </c>
      <c r="AA30">
        <v>20</v>
      </c>
      <c r="AB30">
        <v>28</v>
      </c>
      <c r="AC30">
        <v>4</v>
      </c>
      <c r="AD30">
        <v>16</v>
      </c>
      <c r="AF30">
        <v>20</v>
      </c>
      <c r="AG30">
        <v>28</v>
      </c>
      <c r="AH30">
        <v>4</v>
      </c>
      <c r="AI30">
        <v>16</v>
      </c>
      <c r="AK30">
        <v>20</v>
      </c>
      <c r="AL30">
        <v>28</v>
      </c>
      <c r="AM30">
        <v>4</v>
      </c>
      <c r="AN30">
        <v>16</v>
      </c>
      <c r="AP30">
        <v>20</v>
      </c>
      <c r="AQ30">
        <v>28</v>
      </c>
      <c r="AR30">
        <v>4</v>
      </c>
      <c r="AS30">
        <v>16</v>
      </c>
      <c r="AU30">
        <v>20</v>
      </c>
      <c r="AV30">
        <v>28</v>
      </c>
      <c r="AW30">
        <v>4</v>
      </c>
      <c r="AX30">
        <v>16</v>
      </c>
      <c r="BA30">
        <f t="shared" si="1"/>
        <v>20</v>
      </c>
      <c r="BB30">
        <f t="shared" si="1"/>
        <v>28</v>
      </c>
      <c r="BC30">
        <f t="shared" si="1"/>
        <v>4</v>
      </c>
      <c r="BD30">
        <f t="shared" si="1"/>
        <v>16</v>
      </c>
    </row>
    <row r="31" spans="1:56" x14ac:dyDescent="0.35">
      <c r="A31">
        <v>29</v>
      </c>
      <c r="B31">
        <v>21</v>
      </c>
      <c r="C31">
        <v>28</v>
      </c>
      <c r="D31">
        <v>1</v>
      </c>
      <c r="E31">
        <v>12</v>
      </c>
      <c r="G31">
        <v>21</v>
      </c>
      <c r="H31">
        <v>28</v>
      </c>
      <c r="I31">
        <v>1</v>
      </c>
      <c r="J31">
        <v>12</v>
      </c>
      <c r="L31">
        <v>21</v>
      </c>
      <c r="M31">
        <v>28</v>
      </c>
      <c r="N31">
        <v>1</v>
      </c>
      <c r="O31">
        <v>12</v>
      </c>
      <c r="Q31">
        <v>21</v>
      </c>
      <c r="R31">
        <v>28</v>
      </c>
      <c r="S31">
        <v>1</v>
      </c>
      <c r="T31">
        <v>12</v>
      </c>
      <c r="V31">
        <v>21</v>
      </c>
      <c r="W31">
        <v>28</v>
      </c>
      <c r="X31">
        <v>1</v>
      </c>
      <c r="Y31">
        <v>12</v>
      </c>
      <c r="AA31">
        <v>21</v>
      </c>
      <c r="AB31">
        <v>28</v>
      </c>
      <c r="AC31">
        <v>1</v>
      </c>
      <c r="AD31">
        <v>12</v>
      </c>
      <c r="AF31">
        <v>21</v>
      </c>
      <c r="AG31">
        <v>28</v>
      </c>
      <c r="AH31">
        <v>1</v>
      </c>
      <c r="AI31">
        <v>12</v>
      </c>
      <c r="AK31">
        <v>21</v>
      </c>
      <c r="AL31">
        <v>28</v>
      </c>
      <c r="AM31">
        <v>1</v>
      </c>
      <c r="AN31">
        <v>12</v>
      </c>
      <c r="AP31">
        <v>21</v>
      </c>
      <c r="AQ31">
        <v>28</v>
      </c>
      <c r="AR31">
        <v>1</v>
      </c>
      <c r="AS31">
        <v>12</v>
      </c>
      <c r="AU31">
        <v>21</v>
      </c>
      <c r="AV31">
        <v>28</v>
      </c>
      <c r="AW31">
        <v>1</v>
      </c>
      <c r="AX31">
        <v>12</v>
      </c>
      <c r="BA31">
        <f t="shared" si="1"/>
        <v>21</v>
      </c>
      <c r="BB31">
        <f t="shared" si="1"/>
        <v>28</v>
      </c>
      <c r="BC31">
        <f t="shared" si="1"/>
        <v>1</v>
      </c>
      <c r="BD31">
        <f t="shared" si="1"/>
        <v>12</v>
      </c>
    </row>
    <row r="32" spans="1:56" x14ac:dyDescent="0.35">
      <c r="A32">
        <v>30</v>
      </c>
      <c r="B32">
        <v>20</v>
      </c>
      <c r="C32">
        <v>28</v>
      </c>
      <c r="D32">
        <v>0</v>
      </c>
      <c r="E32">
        <v>4</v>
      </c>
      <c r="G32">
        <v>20</v>
      </c>
      <c r="H32">
        <v>28</v>
      </c>
      <c r="I32">
        <v>0</v>
      </c>
      <c r="J32">
        <v>4</v>
      </c>
      <c r="L32">
        <v>20</v>
      </c>
      <c r="M32">
        <v>28</v>
      </c>
      <c r="N32">
        <v>0</v>
      </c>
      <c r="O32">
        <v>4</v>
      </c>
      <c r="Q32">
        <v>20</v>
      </c>
      <c r="R32">
        <v>28</v>
      </c>
      <c r="S32">
        <v>0</v>
      </c>
      <c r="T32">
        <v>4</v>
      </c>
      <c r="V32">
        <v>20</v>
      </c>
      <c r="W32">
        <v>28</v>
      </c>
      <c r="X32">
        <v>0</v>
      </c>
      <c r="Y32">
        <v>4</v>
      </c>
      <c r="AA32">
        <v>20</v>
      </c>
      <c r="AB32">
        <v>28</v>
      </c>
      <c r="AC32">
        <v>0</v>
      </c>
      <c r="AD32">
        <v>4</v>
      </c>
      <c r="AF32">
        <v>20</v>
      </c>
      <c r="AG32">
        <v>28</v>
      </c>
      <c r="AH32">
        <v>0</v>
      </c>
      <c r="AI32">
        <v>4</v>
      </c>
      <c r="AK32">
        <v>20</v>
      </c>
      <c r="AL32">
        <v>28</v>
      </c>
      <c r="AM32">
        <v>0</v>
      </c>
      <c r="AN32">
        <v>4</v>
      </c>
      <c r="AP32">
        <v>20</v>
      </c>
      <c r="AQ32">
        <v>28</v>
      </c>
      <c r="AR32">
        <v>0</v>
      </c>
      <c r="AS32">
        <v>4</v>
      </c>
      <c r="AU32">
        <v>20</v>
      </c>
      <c r="AV32">
        <v>28</v>
      </c>
      <c r="AW32">
        <v>0</v>
      </c>
      <c r="AX32">
        <v>4</v>
      </c>
      <c r="BA32">
        <f t="shared" si="1"/>
        <v>20</v>
      </c>
      <c r="BB32">
        <f t="shared" si="1"/>
        <v>28</v>
      </c>
      <c r="BC32">
        <f t="shared" si="1"/>
        <v>0</v>
      </c>
      <c r="BD32">
        <f t="shared" si="1"/>
        <v>4</v>
      </c>
    </row>
    <row r="33" spans="1:56" x14ac:dyDescent="0.35">
      <c r="A33">
        <v>31</v>
      </c>
      <c r="B33">
        <v>14</v>
      </c>
      <c r="C33">
        <v>28</v>
      </c>
      <c r="D33">
        <v>0</v>
      </c>
      <c r="E33">
        <v>0</v>
      </c>
      <c r="G33">
        <v>14</v>
      </c>
      <c r="H33">
        <v>28</v>
      </c>
      <c r="I33">
        <v>0</v>
      </c>
      <c r="J33">
        <v>0</v>
      </c>
      <c r="L33">
        <v>14</v>
      </c>
      <c r="M33">
        <v>28</v>
      </c>
      <c r="N33">
        <v>0</v>
      </c>
      <c r="O33">
        <v>0</v>
      </c>
      <c r="Q33">
        <v>14</v>
      </c>
      <c r="R33">
        <v>28</v>
      </c>
      <c r="S33">
        <v>0</v>
      </c>
      <c r="T33">
        <v>0</v>
      </c>
      <c r="V33">
        <v>14</v>
      </c>
      <c r="W33">
        <v>28</v>
      </c>
      <c r="X33">
        <v>0</v>
      </c>
      <c r="Y33">
        <v>0</v>
      </c>
      <c r="AA33">
        <v>14</v>
      </c>
      <c r="AB33">
        <v>28</v>
      </c>
      <c r="AC33">
        <v>0</v>
      </c>
      <c r="AD33">
        <v>0</v>
      </c>
      <c r="AF33">
        <v>14</v>
      </c>
      <c r="AG33">
        <v>28</v>
      </c>
      <c r="AH33">
        <v>0</v>
      </c>
      <c r="AI33">
        <v>0</v>
      </c>
      <c r="AK33">
        <v>14</v>
      </c>
      <c r="AL33">
        <v>28</v>
      </c>
      <c r="AM33">
        <v>0</v>
      </c>
      <c r="AN33">
        <v>0</v>
      </c>
      <c r="AP33">
        <v>14</v>
      </c>
      <c r="AQ33">
        <v>28</v>
      </c>
      <c r="AR33">
        <v>0</v>
      </c>
      <c r="AS33">
        <v>0</v>
      </c>
      <c r="AU33">
        <v>14</v>
      </c>
      <c r="AV33">
        <v>28</v>
      </c>
      <c r="AW33">
        <v>0</v>
      </c>
      <c r="AX33">
        <v>0</v>
      </c>
      <c r="BA33">
        <f t="shared" si="1"/>
        <v>14</v>
      </c>
      <c r="BB33">
        <f t="shared" si="1"/>
        <v>28</v>
      </c>
      <c r="BC33">
        <f t="shared" si="1"/>
        <v>0</v>
      </c>
      <c r="BD33">
        <f t="shared" si="1"/>
        <v>0</v>
      </c>
    </row>
    <row r="34" spans="1:56" x14ac:dyDescent="0.35">
      <c r="A34">
        <v>32</v>
      </c>
      <c r="B34">
        <v>4</v>
      </c>
      <c r="C34">
        <v>28</v>
      </c>
      <c r="D34">
        <v>0</v>
      </c>
      <c r="E34">
        <v>0</v>
      </c>
      <c r="G34">
        <v>4</v>
      </c>
      <c r="H34">
        <v>28</v>
      </c>
      <c r="I34">
        <v>0</v>
      </c>
      <c r="J34">
        <v>0</v>
      </c>
      <c r="L34">
        <v>4</v>
      </c>
      <c r="M34">
        <v>28</v>
      </c>
      <c r="N34">
        <v>0</v>
      </c>
      <c r="O34">
        <v>0</v>
      </c>
      <c r="Q34">
        <v>4</v>
      </c>
      <c r="R34">
        <v>28</v>
      </c>
      <c r="S34">
        <v>0</v>
      </c>
      <c r="T34">
        <v>0</v>
      </c>
      <c r="V34">
        <v>4</v>
      </c>
      <c r="W34">
        <v>28</v>
      </c>
      <c r="X34">
        <v>0</v>
      </c>
      <c r="Y34">
        <v>0</v>
      </c>
      <c r="AA34">
        <v>4</v>
      </c>
      <c r="AB34">
        <v>28</v>
      </c>
      <c r="AC34">
        <v>0</v>
      </c>
      <c r="AD34">
        <v>0</v>
      </c>
      <c r="AF34">
        <v>4</v>
      </c>
      <c r="AG34">
        <v>28</v>
      </c>
      <c r="AH34">
        <v>0</v>
      </c>
      <c r="AI34">
        <v>0</v>
      </c>
      <c r="AK34">
        <v>4</v>
      </c>
      <c r="AL34">
        <v>28</v>
      </c>
      <c r="AM34">
        <v>0</v>
      </c>
      <c r="AN34">
        <v>0</v>
      </c>
      <c r="AP34">
        <v>4</v>
      </c>
      <c r="AQ34">
        <v>28</v>
      </c>
      <c r="AR34">
        <v>0</v>
      </c>
      <c r="AS34">
        <v>0</v>
      </c>
      <c r="AU34">
        <v>4</v>
      </c>
      <c r="AV34">
        <v>28</v>
      </c>
      <c r="AW34">
        <v>0</v>
      </c>
      <c r="AX34">
        <v>0</v>
      </c>
      <c r="BA34">
        <f t="shared" si="1"/>
        <v>4</v>
      </c>
      <c r="BB34">
        <f t="shared" si="1"/>
        <v>28</v>
      </c>
      <c r="BC34">
        <f t="shared" si="1"/>
        <v>0</v>
      </c>
      <c r="BD34">
        <f t="shared" si="1"/>
        <v>0</v>
      </c>
    </row>
    <row r="35" spans="1:56" x14ac:dyDescent="0.35">
      <c r="A35">
        <v>33</v>
      </c>
      <c r="B35">
        <v>0</v>
      </c>
      <c r="C35">
        <v>27</v>
      </c>
      <c r="D35">
        <v>0</v>
      </c>
      <c r="E35">
        <v>0</v>
      </c>
      <c r="G35">
        <v>0</v>
      </c>
      <c r="H35">
        <v>27</v>
      </c>
      <c r="I35">
        <v>0</v>
      </c>
      <c r="J35">
        <v>0</v>
      </c>
      <c r="L35">
        <v>0</v>
      </c>
      <c r="M35">
        <v>27</v>
      </c>
      <c r="N35">
        <v>0</v>
      </c>
      <c r="O35">
        <v>0</v>
      </c>
      <c r="Q35">
        <v>0</v>
      </c>
      <c r="R35">
        <v>27</v>
      </c>
      <c r="S35">
        <v>0</v>
      </c>
      <c r="T35">
        <v>0</v>
      </c>
      <c r="V35">
        <v>0</v>
      </c>
      <c r="W35">
        <v>27</v>
      </c>
      <c r="X35">
        <v>0</v>
      </c>
      <c r="Y35">
        <v>0</v>
      </c>
      <c r="AA35">
        <v>0</v>
      </c>
      <c r="AB35">
        <v>27</v>
      </c>
      <c r="AC35">
        <v>0</v>
      </c>
      <c r="AD35">
        <v>0</v>
      </c>
      <c r="AF35">
        <v>0</v>
      </c>
      <c r="AG35">
        <v>27</v>
      </c>
      <c r="AH35">
        <v>0</v>
      </c>
      <c r="AI35">
        <v>0</v>
      </c>
      <c r="AK35">
        <v>0</v>
      </c>
      <c r="AL35">
        <v>27</v>
      </c>
      <c r="AM35">
        <v>0</v>
      </c>
      <c r="AN35">
        <v>0</v>
      </c>
      <c r="AP35">
        <v>0</v>
      </c>
      <c r="AQ35">
        <v>27</v>
      </c>
      <c r="AR35">
        <v>0</v>
      </c>
      <c r="AS35">
        <v>0</v>
      </c>
      <c r="AU35">
        <v>0</v>
      </c>
      <c r="AV35">
        <v>27</v>
      </c>
      <c r="AW35">
        <v>0</v>
      </c>
      <c r="AX35">
        <v>0</v>
      </c>
      <c r="BA35">
        <f t="shared" si="1"/>
        <v>0</v>
      </c>
      <c r="BB35">
        <f t="shared" si="1"/>
        <v>27</v>
      </c>
      <c r="BC35">
        <f t="shared" si="1"/>
        <v>0</v>
      </c>
      <c r="BD35">
        <f t="shared" si="1"/>
        <v>0</v>
      </c>
    </row>
    <row r="36" spans="1:56" x14ac:dyDescent="0.35">
      <c r="A36">
        <v>34</v>
      </c>
      <c r="B36">
        <v>0</v>
      </c>
      <c r="C36">
        <v>16</v>
      </c>
      <c r="D36">
        <v>0</v>
      </c>
      <c r="E36">
        <v>0</v>
      </c>
      <c r="G36">
        <v>0</v>
      </c>
      <c r="H36">
        <v>16</v>
      </c>
      <c r="I36">
        <v>0</v>
      </c>
      <c r="J36">
        <v>0</v>
      </c>
      <c r="L36">
        <v>0</v>
      </c>
      <c r="M36">
        <v>16</v>
      </c>
      <c r="N36">
        <v>0</v>
      </c>
      <c r="O36">
        <v>0</v>
      </c>
      <c r="Q36">
        <v>0</v>
      </c>
      <c r="R36">
        <v>16</v>
      </c>
      <c r="S36">
        <v>0</v>
      </c>
      <c r="T36">
        <v>0</v>
      </c>
      <c r="V36">
        <v>0</v>
      </c>
      <c r="W36">
        <v>16</v>
      </c>
      <c r="X36">
        <v>0</v>
      </c>
      <c r="Y36">
        <v>0</v>
      </c>
      <c r="AA36">
        <v>0</v>
      </c>
      <c r="AB36">
        <v>16</v>
      </c>
      <c r="AC36">
        <v>0</v>
      </c>
      <c r="AD36">
        <v>0</v>
      </c>
      <c r="AF36">
        <v>0</v>
      </c>
      <c r="AG36">
        <v>16</v>
      </c>
      <c r="AH36">
        <v>0</v>
      </c>
      <c r="AI36">
        <v>0</v>
      </c>
      <c r="AK36">
        <v>0</v>
      </c>
      <c r="AL36">
        <v>16</v>
      </c>
      <c r="AM36">
        <v>0</v>
      </c>
      <c r="AN36">
        <v>0</v>
      </c>
      <c r="AP36">
        <v>0</v>
      </c>
      <c r="AQ36">
        <v>16</v>
      </c>
      <c r="AR36">
        <v>0</v>
      </c>
      <c r="AS36">
        <v>0</v>
      </c>
      <c r="AU36">
        <v>0</v>
      </c>
      <c r="AV36">
        <v>16</v>
      </c>
      <c r="AW36">
        <v>0</v>
      </c>
      <c r="AX36">
        <v>0</v>
      </c>
      <c r="BA36">
        <f t="shared" si="1"/>
        <v>0</v>
      </c>
      <c r="BB36">
        <f t="shared" si="1"/>
        <v>16</v>
      </c>
      <c r="BC36">
        <f t="shared" si="1"/>
        <v>0</v>
      </c>
      <c r="BD36">
        <f t="shared" si="1"/>
        <v>0</v>
      </c>
    </row>
    <row r="37" spans="1:56" x14ac:dyDescent="0.35">
      <c r="A37">
        <v>35</v>
      </c>
      <c r="B37">
        <v>0</v>
      </c>
      <c r="C37">
        <v>0</v>
      </c>
      <c r="D37">
        <v>0</v>
      </c>
      <c r="E37">
        <v>0</v>
      </c>
      <c r="G37">
        <v>0</v>
      </c>
      <c r="H37">
        <v>0</v>
      </c>
      <c r="I37">
        <v>0</v>
      </c>
      <c r="J37">
        <v>0</v>
      </c>
      <c r="L37">
        <v>0</v>
      </c>
      <c r="M37">
        <v>0</v>
      </c>
      <c r="N37">
        <v>0</v>
      </c>
      <c r="O37">
        <v>0</v>
      </c>
      <c r="Q37">
        <v>0</v>
      </c>
      <c r="R37">
        <v>0</v>
      </c>
      <c r="S37">
        <v>0</v>
      </c>
      <c r="T37">
        <v>0</v>
      </c>
      <c r="V37">
        <v>0</v>
      </c>
      <c r="W37">
        <v>0</v>
      </c>
      <c r="X37">
        <v>0</v>
      </c>
      <c r="Y37">
        <v>0</v>
      </c>
      <c r="AA37">
        <v>0</v>
      </c>
      <c r="AB37">
        <v>0</v>
      </c>
      <c r="AC37">
        <v>0</v>
      </c>
      <c r="AD37">
        <v>0</v>
      </c>
      <c r="AF37">
        <v>0</v>
      </c>
      <c r="AG37">
        <v>0</v>
      </c>
      <c r="AH37">
        <v>0</v>
      </c>
      <c r="AI37">
        <v>0</v>
      </c>
      <c r="AK37">
        <v>0</v>
      </c>
      <c r="AL37">
        <v>0</v>
      </c>
      <c r="AM37">
        <v>0</v>
      </c>
      <c r="AN37">
        <v>0</v>
      </c>
      <c r="AP37">
        <v>0</v>
      </c>
      <c r="AQ37">
        <v>0</v>
      </c>
      <c r="AR37">
        <v>0</v>
      </c>
      <c r="AS37">
        <v>0</v>
      </c>
      <c r="AU37">
        <v>0</v>
      </c>
      <c r="AV37">
        <v>0</v>
      </c>
      <c r="AW37">
        <v>0</v>
      </c>
      <c r="AX37">
        <v>0</v>
      </c>
      <c r="BA37">
        <f t="shared" si="1"/>
        <v>0</v>
      </c>
      <c r="BB37">
        <f t="shared" si="1"/>
        <v>0</v>
      </c>
      <c r="BC37">
        <f t="shared" si="1"/>
        <v>0</v>
      </c>
      <c r="BD37">
        <f t="shared" si="1"/>
        <v>0</v>
      </c>
    </row>
    <row r="38" spans="1:56" x14ac:dyDescent="0.35">
      <c r="A38">
        <v>36</v>
      </c>
      <c r="B38">
        <v>0</v>
      </c>
      <c r="C38">
        <v>0</v>
      </c>
      <c r="D38">
        <v>0</v>
      </c>
      <c r="E38">
        <v>0</v>
      </c>
      <c r="G38">
        <v>0</v>
      </c>
      <c r="H38">
        <v>0</v>
      </c>
      <c r="I38">
        <v>0</v>
      </c>
      <c r="J38">
        <v>0</v>
      </c>
      <c r="L38">
        <v>0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0</v>
      </c>
      <c r="V38">
        <v>0</v>
      </c>
      <c r="W38">
        <v>0</v>
      </c>
      <c r="X38">
        <v>0</v>
      </c>
      <c r="Y38">
        <v>0</v>
      </c>
      <c r="AA38">
        <v>0</v>
      </c>
      <c r="AB38">
        <v>0</v>
      </c>
      <c r="AC38">
        <v>0</v>
      </c>
      <c r="AD38">
        <v>0</v>
      </c>
      <c r="AF38">
        <v>0</v>
      </c>
      <c r="AG38">
        <v>0</v>
      </c>
      <c r="AH38">
        <v>0</v>
      </c>
      <c r="AI38">
        <v>0</v>
      </c>
      <c r="AK38">
        <v>0</v>
      </c>
      <c r="AL38">
        <v>0</v>
      </c>
      <c r="AM38">
        <v>0</v>
      </c>
      <c r="AN38">
        <v>0</v>
      </c>
      <c r="AP38">
        <v>0</v>
      </c>
      <c r="AQ38">
        <v>0</v>
      </c>
      <c r="AR38">
        <v>0</v>
      </c>
      <c r="AS38">
        <v>0</v>
      </c>
      <c r="AU38">
        <v>0</v>
      </c>
      <c r="AV38">
        <v>0</v>
      </c>
      <c r="AW38">
        <v>0</v>
      </c>
      <c r="AX38">
        <v>0</v>
      </c>
      <c r="BA38">
        <f t="shared" si="1"/>
        <v>0</v>
      </c>
      <c r="BB38">
        <f t="shared" si="1"/>
        <v>0</v>
      </c>
      <c r="BC38">
        <f t="shared" si="1"/>
        <v>0</v>
      </c>
      <c r="BD38">
        <f t="shared" si="1"/>
        <v>0</v>
      </c>
    </row>
    <row r="40" spans="1:56" x14ac:dyDescent="0.35">
      <c r="A40" t="s">
        <v>9</v>
      </c>
      <c r="B40">
        <f>SUM(B2:B38)</f>
        <v>374</v>
      </c>
      <c r="C40">
        <f t="shared" ref="C40:E40" si="2">SUM(C2:C38)</f>
        <v>605</v>
      </c>
      <c r="D40">
        <f t="shared" si="2"/>
        <v>117</v>
      </c>
      <c r="E40">
        <f t="shared" si="2"/>
        <v>208</v>
      </c>
      <c r="G40">
        <f>SUM(G2:G38)</f>
        <v>374</v>
      </c>
      <c r="H40">
        <f t="shared" ref="H40:J40" si="3">SUM(H2:H38)</f>
        <v>605</v>
      </c>
      <c r="I40">
        <f t="shared" si="3"/>
        <v>117</v>
      </c>
      <c r="J40">
        <f t="shared" si="3"/>
        <v>208</v>
      </c>
      <c r="L40">
        <f>SUM(L2:L38)</f>
        <v>374</v>
      </c>
      <c r="M40">
        <f t="shared" ref="M40:O40" si="4">SUM(M2:M38)</f>
        <v>605</v>
      </c>
      <c r="N40">
        <f t="shared" si="4"/>
        <v>117</v>
      </c>
      <c r="O40">
        <f t="shared" si="4"/>
        <v>208</v>
      </c>
      <c r="Q40">
        <f>SUM(Q2:Q38)</f>
        <v>374</v>
      </c>
      <c r="R40">
        <f t="shared" ref="R40:T40" si="5">SUM(R2:R38)</f>
        <v>605</v>
      </c>
      <c r="S40">
        <f t="shared" si="5"/>
        <v>117</v>
      </c>
      <c r="T40">
        <f t="shared" si="5"/>
        <v>208</v>
      </c>
      <c r="V40">
        <f>SUM(V2:V38)</f>
        <v>374</v>
      </c>
      <c r="W40">
        <f t="shared" ref="W40:Y40" si="6">SUM(W2:W38)</f>
        <v>605</v>
      </c>
      <c r="X40">
        <f t="shared" si="6"/>
        <v>117</v>
      </c>
      <c r="Y40">
        <f t="shared" si="6"/>
        <v>208</v>
      </c>
      <c r="AA40">
        <f>SUM(AA2:AA38)</f>
        <v>374</v>
      </c>
      <c r="AB40">
        <f t="shared" ref="AB40:AD40" si="7">SUM(AB2:AB38)</f>
        <v>605</v>
      </c>
      <c r="AC40">
        <f t="shared" si="7"/>
        <v>117</v>
      </c>
      <c r="AD40">
        <f t="shared" si="7"/>
        <v>208</v>
      </c>
      <c r="AF40">
        <f>SUM(AF2:AF38)</f>
        <v>374</v>
      </c>
      <c r="AG40">
        <f t="shared" ref="AG40:AI40" si="8">SUM(AG2:AG38)</f>
        <v>605</v>
      </c>
      <c r="AH40">
        <f t="shared" si="8"/>
        <v>117</v>
      </c>
      <c r="AI40">
        <f t="shared" si="8"/>
        <v>208</v>
      </c>
      <c r="AK40">
        <f>SUM(AK2:AK38)</f>
        <v>374</v>
      </c>
      <c r="AL40">
        <f t="shared" ref="AL40:AN40" si="9">SUM(AL2:AL38)</f>
        <v>605</v>
      </c>
      <c r="AM40">
        <f t="shared" si="9"/>
        <v>117</v>
      </c>
      <c r="AN40">
        <f t="shared" si="9"/>
        <v>208</v>
      </c>
      <c r="AP40">
        <f>SUM(AP2:AP38)</f>
        <v>374</v>
      </c>
      <c r="AQ40">
        <f t="shared" ref="AQ40:AS40" si="10">SUM(AQ2:AQ38)</f>
        <v>605</v>
      </c>
      <c r="AR40">
        <f t="shared" si="10"/>
        <v>117</v>
      </c>
      <c r="AS40">
        <f t="shared" si="10"/>
        <v>208</v>
      </c>
      <c r="AU40">
        <f>SUM(AU2:AU38)</f>
        <v>374</v>
      </c>
      <c r="AV40">
        <f t="shared" ref="AV40:AX40" si="11">SUM(AV2:AV38)</f>
        <v>605</v>
      </c>
      <c r="AW40">
        <f t="shared" si="11"/>
        <v>117</v>
      </c>
      <c r="AX40">
        <f t="shared" si="11"/>
        <v>208</v>
      </c>
      <c r="BA40">
        <f>SUM(BA2:BA38)</f>
        <v>374</v>
      </c>
      <c r="BB40">
        <f t="shared" ref="BB40:BD40" si="12">SUM(BB2:BB38)</f>
        <v>605</v>
      </c>
      <c r="BC40">
        <f t="shared" si="12"/>
        <v>117</v>
      </c>
      <c r="BD40">
        <f t="shared" si="12"/>
        <v>208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7AA0-B2F6-4C9A-ADE3-B0A078544A8C}">
  <dimension ref="A1:BD40"/>
  <sheetViews>
    <sheetView topLeftCell="AE1" workbookViewId="0">
      <selection activeCell="AE40" sqref="A40:XFD40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1" max="52" width="8.7265625" style="5"/>
  </cols>
  <sheetData>
    <row r="1" spans="1:56" x14ac:dyDescent="0.35">
      <c r="A1" t="s">
        <v>19</v>
      </c>
      <c r="B1" t="s">
        <v>27</v>
      </c>
      <c r="C1" t="s">
        <v>28</v>
      </c>
      <c r="D1" t="s">
        <v>29</v>
      </c>
      <c r="E1" t="s">
        <v>30</v>
      </c>
      <c r="G1" t="s">
        <v>27</v>
      </c>
      <c r="H1" t="s">
        <v>28</v>
      </c>
      <c r="I1" t="s">
        <v>29</v>
      </c>
      <c r="J1" t="s">
        <v>30</v>
      </c>
      <c r="L1" t="s">
        <v>27</v>
      </c>
      <c r="M1" t="s">
        <v>28</v>
      </c>
      <c r="N1" t="s">
        <v>29</v>
      </c>
      <c r="O1" t="s">
        <v>30</v>
      </c>
      <c r="Q1" t="s">
        <v>27</v>
      </c>
      <c r="R1" t="s">
        <v>28</v>
      </c>
      <c r="S1" t="s">
        <v>29</v>
      </c>
      <c r="T1" t="s">
        <v>30</v>
      </c>
      <c r="V1" t="s">
        <v>27</v>
      </c>
      <c r="W1" t="s">
        <v>28</v>
      </c>
      <c r="X1" t="s">
        <v>29</v>
      </c>
      <c r="Y1" t="s">
        <v>30</v>
      </c>
      <c r="AA1" t="s">
        <v>27</v>
      </c>
      <c r="AB1" t="s">
        <v>28</v>
      </c>
      <c r="AC1" t="s">
        <v>29</v>
      </c>
      <c r="AD1" t="s">
        <v>30</v>
      </c>
      <c r="AF1" t="s">
        <v>27</v>
      </c>
      <c r="AG1" t="s">
        <v>28</v>
      </c>
      <c r="AH1" t="s">
        <v>29</v>
      </c>
      <c r="AI1" t="s">
        <v>30</v>
      </c>
      <c r="AK1" t="s">
        <v>27</v>
      </c>
      <c r="AL1" t="s">
        <v>28</v>
      </c>
      <c r="AM1" t="s">
        <v>29</v>
      </c>
      <c r="AN1" t="s">
        <v>30</v>
      </c>
      <c r="AP1" t="s">
        <v>27</v>
      </c>
      <c r="AQ1" t="s">
        <v>28</v>
      </c>
      <c r="AR1" t="s">
        <v>29</v>
      </c>
      <c r="AS1" t="s">
        <v>30</v>
      </c>
      <c r="AU1" t="s">
        <v>27</v>
      </c>
      <c r="AV1" t="s">
        <v>28</v>
      </c>
      <c r="AW1" t="s">
        <v>29</v>
      </c>
      <c r="AX1" t="s">
        <v>30</v>
      </c>
      <c r="BA1" t="s">
        <v>38</v>
      </c>
      <c r="BB1" t="s">
        <v>39</v>
      </c>
      <c r="BC1" t="s">
        <v>40</v>
      </c>
      <c r="BD1" t="s">
        <v>41</v>
      </c>
    </row>
    <row r="2" spans="1:56" x14ac:dyDescent="0.35">
      <c r="A2">
        <v>0</v>
      </c>
      <c r="B2">
        <v>0</v>
      </c>
      <c r="C2">
        <v>0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L2">
        <v>0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V2">
        <v>0</v>
      </c>
      <c r="W2">
        <v>0</v>
      </c>
      <c r="X2">
        <v>0</v>
      </c>
      <c r="Y2">
        <v>0</v>
      </c>
      <c r="AA2">
        <v>0</v>
      </c>
      <c r="AB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K2">
        <v>0</v>
      </c>
      <c r="AL2">
        <v>0</v>
      </c>
      <c r="AM2">
        <v>0</v>
      </c>
      <c r="AN2">
        <v>0</v>
      </c>
      <c r="AP2">
        <v>0</v>
      </c>
      <c r="AQ2">
        <v>0</v>
      </c>
      <c r="AR2">
        <v>0</v>
      </c>
      <c r="AS2">
        <v>0</v>
      </c>
      <c r="AU2">
        <v>0</v>
      </c>
      <c r="AV2">
        <v>0</v>
      </c>
      <c r="AW2">
        <v>0</v>
      </c>
      <c r="AX2">
        <v>0</v>
      </c>
      <c r="BA2">
        <f>AVERAGE(B2,G2,L2,Q2,V2,AA2,AF2,AK2,AP2,AU2)</f>
        <v>0</v>
      </c>
      <c r="BB2">
        <f t="shared" ref="BB2:BD17" si="0">AVERAGE(C2,H2,M2,R2,W2,AB2,AG2,AL2,AQ2,AV2)</f>
        <v>0</v>
      </c>
      <c r="BC2">
        <f t="shared" si="0"/>
        <v>0</v>
      </c>
      <c r="BD2">
        <f t="shared" si="0"/>
        <v>0</v>
      </c>
    </row>
    <row r="3" spans="1:56" x14ac:dyDescent="0.35">
      <c r="A3">
        <v>1</v>
      </c>
      <c r="B3">
        <v>0</v>
      </c>
      <c r="C3">
        <v>0</v>
      </c>
      <c r="D3">
        <v>0</v>
      </c>
      <c r="E3">
        <v>0</v>
      </c>
      <c r="G3">
        <v>0</v>
      </c>
      <c r="H3">
        <v>0</v>
      </c>
      <c r="I3">
        <v>0</v>
      </c>
      <c r="J3">
        <v>0</v>
      </c>
      <c r="L3">
        <v>0</v>
      </c>
      <c r="M3">
        <v>0</v>
      </c>
      <c r="N3">
        <v>0</v>
      </c>
      <c r="O3">
        <v>0</v>
      </c>
      <c r="Q3">
        <v>0</v>
      </c>
      <c r="R3">
        <v>0</v>
      </c>
      <c r="S3">
        <v>0</v>
      </c>
      <c r="T3">
        <v>0</v>
      </c>
      <c r="V3">
        <v>0</v>
      </c>
      <c r="W3">
        <v>0</v>
      </c>
      <c r="X3">
        <v>0</v>
      </c>
      <c r="Y3">
        <v>0</v>
      </c>
      <c r="AA3">
        <v>0</v>
      </c>
      <c r="AB3">
        <v>0</v>
      </c>
      <c r="AC3">
        <v>0</v>
      </c>
      <c r="AD3">
        <v>0</v>
      </c>
      <c r="AF3">
        <v>0</v>
      </c>
      <c r="AG3">
        <v>0</v>
      </c>
      <c r="AH3">
        <v>0</v>
      </c>
      <c r="AI3">
        <v>0</v>
      </c>
      <c r="AK3">
        <v>0</v>
      </c>
      <c r="AL3">
        <v>0</v>
      </c>
      <c r="AM3">
        <v>0</v>
      </c>
      <c r="AN3">
        <v>0</v>
      </c>
      <c r="AP3">
        <v>0</v>
      </c>
      <c r="AQ3">
        <v>0</v>
      </c>
      <c r="AR3">
        <v>0</v>
      </c>
      <c r="AS3">
        <v>0</v>
      </c>
      <c r="AU3">
        <v>0</v>
      </c>
      <c r="AV3">
        <v>0</v>
      </c>
      <c r="AW3">
        <v>0</v>
      </c>
      <c r="AX3">
        <v>0</v>
      </c>
      <c r="BA3">
        <f t="shared" ref="BA3:BD38" si="1">AVERAGE(B3,G3,L3,Q3,V3,AA3,AF3,AK3,AP3,AU3)</f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35">
      <c r="A4">
        <v>2</v>
      </c>
      <c r="B4">
        <v>0</v>
      </c>
      <c r="C4">
        <v>0</v>
      </c>
      <c r="D4">
        <v>0</v>
      </c>
      <c r="E4">
        <v>0</v>
      </c>
      <c r="G4">
        <v>0</v>
      </c>
      <c r="H4">
        <v>0</v>
      </c>
      <c r="I4">
        <v>0</v>
      </c>
      <c r="J4">
        <v>0</v>
      </c>
      <c r="L4">
        <v>0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  <c r="T4">
        <v>0</v>
      </c>
      <c r="V4">
        <v>0</v>
      </c>
      <c r="W4">
        <v>0</v>
      </c>
      <c r="X4">
        <v>0</v>
      </c>
      <c r="Y4">
        <v>0</v>
      </c>
      <c r="AA4">
        <v>0</v>
      </c>
      <c r="AB4">
        <v>0</v>
      </c>
      <c r="AC4">
        <v>0</v>
      </c>
      <c r="AD4">
        <v>0</v>
      </c>
      <c r="AF4">
        <v>0</v>
      </c>
      <c r="AG4">
        <v>0</v>
      </c>
      <c r="AH4">
        <v>0</v>
      </c>
      <c r="AI4">
        <v>0</v>
      </c>
      <c r="AK4">
        <v>0</v>
      </c>
      <c r="AL4">
        <v>0</v>
      </c>
      <c r="AM4">
        <v>0</v>
      </c>
      <c r="AN4">
        <v>0</v>
      </c>
      <c r="AP4">
        <v>0</v>
      </c>
      <c r="AQ4">
        <v>0</v>
      </c>
      <c r="AR4">
        <v>0</v>
      </c>
      <c r="AS4">
        <v>0</v>
      </c>
      <c r="AU4">
        <v>0</v>
      </c>
      <c r="AV4">
        <v>0</v>
      </c>
      <c r="AW4">
        <v>0</v>
      </c>
      <c r="AX4">
        <v>0</v>
      </c>
      <c r="BA4">
        <f t="shared" si="1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35">
      <c r="A5">
        <v>3</v>
      </c>
      <c r="B5">
        <v>0</v>
      </c>
      <c r="C5">
        <v>0</v>
      </c>
      <c r="D5">
        <v>0</v>
      </c>
      <c r="E5">
        <v>0</v>
      </c>
      <c r="G5">
        <v>0</v>
      </c>
      <c r="H5">
        <v>0</v>
      </c>
      <c r="I5">
        <v>0</v>
      </c>
      <c r="J5">
        <v>0</v>
      </c>
      <c r="L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  <c r="T5">
        <v>0</v>
      </c>
      <c r="V5">
        <v>0</v>
      </c>
      <c r="W5">
        <v>0</v>
      </c>
      <c r="X5">
        <v>0</v>
      </c>
      <c r="Y5">
        <v>0</v>
      </c>
      <c r="AA5">
        <v>0</v>
      </c>
      <c r="AB5">
        <v>0</v>
      </c>
      <c r="AC5">
        <v>0</v>
      </c>
      <c r="AD5">
        <v>0</v>
      </c>
      <c r="AF5">
        <v>0</v>
      </c>
      <c r="AG5">
        <v>0</v>
      </c>
      <c r="AH5">
        <v>0</v>
      </c>
      <c r="AI5">
        <v>0</v>
      </c>
      <c r="AK5">
        <v>0</v>
      </c>
      <c r="AL5">
        <v>0</v>
      </c>
      <c r="AM5">
        <v>0</v>
      </c>
      <c r="AN5">
        <v>0</v>
      </c>
      <c r="AP5">
        <v>0</v>
      </c>
      <c r="AQ5">
        <v>0</v>
      </c>
      <c r="AR5">
        <v>0</v>
      </c>
      <c r="AS5">
        <v>0</v>
      </c>
      <c r="AU5">
        <v>0</v>
      </c>
      <c r="AV5">
        <v>0</v>
      </c>
      <c r="AW5">
        <v>0</v>
      </c>
      <c r="AX5">
        <v>0</v>
      </c>
      <c r="BA5">
        <f t="shared" si="1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35">
      <c r="A6">
        <v>4</v>
      </c>
      <c r="B6">
        <v>0</v>
      </c>
      <c r="C6">
        <v>0</v>
      </c>
      <c r="D6">
        <v>0</v>
      </c>
      <c r="E6">
        <v>0</v>
      </c>
      <c r="G6">
        <v>0</v>
      </c>
      <c r="H6">
        <v>0</v>
      </c>
      <c r="I6">
        <v>0</v>
      </c>
      <c r="J6">
        <v>0</v>
      </c>
      <c r="L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T6">
        <v>0</v>
      </c>
      <c r="V6">
        <v>0</v>
      </c>
      <c r="W6">
        <v>0</v>
      </c>
      <c r="X6">
        <v>0</v>
      </c>
      <c r="Y6">
        <v>0</v>
      </c>
      <c r="AA6">
        <v>0</v>
      </c>
      <c r="AB6">
        <v>0</v>
      </c>
      <c r="AC6">
        <v>0</v>
      </c>
      <c r="AD6">
        <v>0</v>
      </c>
      <c r="AF6">
        <v>0</v>
      </c>
      <c r="AG6">
        <v>0</v>
      </c>
      <c r="AH6">
        <v>0</v>
      </c>
      <c r="AI6">
        <v>0</v>
      </c>
      <c r="AK6">
        <v>0</v>
      </c>
      <c r="AL6">
        <v>0</v>
      </c>
      <c r="AM6">
        <v>0</v>
      </c>
      <c r="AN6">
        <v>0</v>
      </c>
      <c r="AP6">
        <v>0</v>
      </c>
      <c r="AQ6">
        <v>0</v>
      </c>
      <c r="AR6">
        <v>0</v>
      </c>
      <c r="AS6">
        <v>0</v>
      </c>
      <c r="AU6">
        <v>0</v>
      </c>
      <c r="AV6">
        <v>0</v>
      </c>
      <c r="AW6">
        <v>0</v>
      </c>
      <c r="AX6">
        <v>0</v>
      </c>
      <c r="BA6">
        <f t="shared" si="1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35">
      <c r="A7">
        <v>5</v>
      </c>
      <c r="B7">
        <v>0</v>
      </c>
      <c r="C7">
        <v>0</v>
      </c>
      <c r="D7">
        <v>0</v>
      </c>
      <c r="E7">
        <v>0</v>
      </c>
      <c r="G7">
        <v>0</v>
      </c>
      <c r="H7">
        <v>0</v>
      </c>
      <c r="I7">
        <v>0</v>
      </c>
      <c r="J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>
        <v>0</v>
      </c>
      <c r="V7">
        <v>0</v>
      </c>
      <c r="W7">
        <v>0</v>
      </c>
      <c r="X7">
        <v>0</v>
      </c>
      <c r="Y7">
        <v>0</v>
      </c>
      <c r="AA7">
        <v>0</v>
      </c>
      <c r="AB7">
        <v>0</v>
      </c>
      <c r="AC7">
        <v>0</v>
      </c>
      <c r="AD7">
        <v>0</v>
      </c>
      <c r="AF7">
        <v>0</v>
      </c>
      <c r="AG7">
        <v>0</v>
      </c>
      <c r="AH7">
        <v>0</v>
      </c>
      <c r="AI7">
        <v>0</v>
      </c>
      <c r="AK7">
        <v>0</v>
      </c>
      <c r="AL7">
        <v>0</v>
      </c>
      <c r="AM7">
        <v>0</v>
      </c>
      <c r="AN7">
        <v>0</v>
      </c>
      <c r="AP7">
        <v>0</v>
      </c>
      <c r="AQ7">
        <v>0</v>
      </c>
      <c r="AR7">
        <v>0</v>
      </c>
      <c r="AS7">
        <v>0</v>
      </c>
      <c r="AU7">
        <v>0</v>
      </c>
      <c r="AV7">
        <v>0</v>
      </c>
      <c r="AW7">
        <v>0</v>
      </c>
      <c r="AX7">
        <v>0</v>
      </c>
      <c r="BA7">
        <f t="shared" si="1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35">
      <c r="A8">
        <v>6</v>
      </c>
      <c r="B8">
        <v>0</v>
      </c>
      <c r="C8">
        <v>0</v>
      </c>
      <c r="D8">
        <v>0</v>
      </c>
      <c r="E8">
        <v>0</v>
      </c>
      <c r="G8">
        <v>0</v>
      </c>
      <c r="H8">
        <v>0</v>
      </c>
      <c r="I8">
        <v>0</v>
      </c>
      <c r="J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V8">
        <v>0</v>
      </c>
      <c r="W8">
        <v>0</v>
      </c>
      <c r="X8">
        <v>0</v>
      </c>
      <c r="Y8">
        <v>0</v>
      </c>
      <c r="AA8">
        <v>0</v>
      </c>
      <c r="AB8">
        <v>0</v>
      </c>
      <c r="AC8">
        <v>0</v>
      </c>
      <c r="AD8">
        <v>0</v>
      </c>
      <c r="AF8">
        <v>0</v>
      </c>
      <c r="AG8">
        <v>0</v>
      </c>
      <c r="AH8">
        <v>0</v>
      </c>
      <c r="AI8">
        <v>0</v>
      </c>
      <c r="AK8">
        <v>0</v>
      </c>
      <c r="AL8">
        <v>0</v>
      </c>
      <c r="AM8">
        <v>0</v>
      </c>
      <c r="AN8">
        <v>0</v>
      </c>
      <c r="AP8">
        <v>0</v>
      </c>
      <c r="AQ8">
        <v>0</v>
      </c>
      <c r="AR8">
        <v>0</v>
      </c>
      <c r="AS8">
        <v>0</v>
      </c>
      <c r="AU8">
        <v>0</v>
      </c>
      <c r="AV8">
        <v>0</v>
      </c>
      <c r="AW8">
        <v>0</v>
      </c>
      <c r="AX8">
        <v>0</v>
      </c>
      <c r="BA8">
        <f t="shared" si="1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35">
      <c r="A9">
        <v>7</v>
      </c>
      <c r="B9">
        <v>0</v>
      </c>
      <c r="C9">
        <v>0</v>
      </c>
      <c r="D9">
        <v>0</v>
      </c>
      <c r="E9">
        <v>0</v>
      </c>
      <c r="G9">
        <v>0</v>
      </c>
      <c r="H9">
        <v>0</v>
      </c>
      <c r="I9">
        <v>0</v>
      </c>
      <c r="J9">
        <v>0</v>
      </c>
      <c r="L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T9">
        <v>0</v>
      </c>
      <c r="V9">
        <v>0</v>
      </c>
      <c r="W9">
        <v>0</v>
      </c>
      <c r="X9">
        <v>0</v>
      </c>
      <c r="Y9">
        <v>0</v>
      </c>
      <c r="AA9">
        <v>0</v>
      </c>
      <c r="AB9">
        <v>0</v>
      </c>
      <c r="AC9">
        <v>0</v>
      </c>
      <c r="AD9">
        <v>0</v>
      </c>
      <c r="AF9">
        <v>0</v>
      </c>
      <c r="AG9">
        <v>0</v>
      </c>
      <c r="AH9">
        <v>0</v>
      </c>
      <c r="AI9">
        <v>0</v>
      </c>
      <c r="AK9">
        <v>0</v>
      </c>
      <c r="AL9">
        <v>0</v>
      </c>
      <c r="AM9">
        <v>0</v>
      </c>
      <c r="AN9">
        <v>0</v>
      </c>
      <c r="AP9">
        <v>0</v>
      </c>
      <c r="AQ9">
        <v>0</v>
      </c>
      <c r="AR9">
        <v>0</v>
      </c>
      <c r="AS9">
        <v>0</v>
      </c>
      <c r="AU9">
        <v>0</v>
      </c>
      <c r="AV9">
        <v>0</v>
      </c>
      <c r="AW9">
        <v>0</v>
      </c>
      <c r="AX9">
        <v>0</v>
      </c>
      <c r="BA9">
        <f t="shared" si="1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35">
      <c r="A10">
        <v>8</v>
      </c>
      <c r="B10">
        <v>0</v>
      </c>
      <c r="C10">
        <v>0</v>
      </c>
      <c r="D10">
        <v>4</v>
      </c>
      <c r="E10">
        <v>0</v>
      </c>
      <c r="G10">
        <v>0</v>
      </c>
      <c r="H10">
        <v>0</v>
      </c>
      <c r="I10">
        <v>4</v>
      </c>
      <c r="J10">
        <v>0</v>
      </c>
      <c r="L10">
        <v>0</v>
      </c>
      <c r="M10">
        <v>0</v>
      </c>
      <c r="N10">
        <v>4</v>
      </c>
      <c r="O10">
        <v>0</v>
      </c>
      <c r="Q10">
        <v>0</v>
      </c>
      <c r="R10">
        <v>0</v>
      </c>
      <c r="S10">
        <v>4</v>
      </c>
      <c r="T10">
        <v>0</v>
      </c>
      <c r="V10">
        <v>0</v>
      </c>
      <c r="W10">
        <v>0</v>
      </c>
      <c r="X10">
        <v>4</v>
      </c>
      <c r="Y10">
        <v>0</v>
      </c>
      <c r="AA10">
        <v>0</v>
      </c>
      <c r="AB10">
        <v>0</v>
      </c>
      <c r="AC10">
        <v>4</v>
      </c>
      <c r="AD10">
        <v>0</v>
      </c>
      <c r="AF10">
        <v>0</v>
      </c>
      <c r="AG10">
        <v>0</v>
      </c>
      <c r="AH10">
        <v>4</v>
      </c>
      <c r="AI10">
        <v>0</v>
      </c>
      <c r="AK10">
        <v>0</v>
      </c>
      <c r="AL10">
        <v>0</v>
      </c>
      <c r="AM10">
        <v>4</v>
      </c>
      <c r="AN10">
        <v>0</v>
      </c>
      <c r="AP10">
        <v>0</v>
      </c>
      <c r="AQ10">
        <v>0</v>
      </c>
      <c r="AR10">
        <v>4</v>
      </c>
      <c r="AS10">
        <v>0</v>
      </c>
      <c r="AU10">
        <v>0</v>
      </c>
      <c r="AV10">
        <v>0</v>
      </c>
      <c r="AW10">
        <v>4</v>
      </c>
      <c r="AX10">
        <v>0</v>
      </c>
      <c r="BA10">
        <f t="shared" si="1"/>
        <v>0</v>
      </c>
      <c r="BB10">
        <f t="shared" si="0"/>
        <v>0</v>
      </c>
      <c r="BC10">
        <f t="shared" si="0"/>
        <v>4</v>
      </c>
      <c r="BD10">
        <f t="shared" si="0"/>
        <v>0</v>
      </c>
    </row>
    <row r="11" spans="1:56" x14ac:dyDescent="0.35">
      <c r="A11">
        <v>9</v>
      </c>
      <c r="B11">
        <v>0</v>
      </c>
      <c r="C11">
        <v>0</v>
      </c>
      <c r="D11">
        <v>8</v>
      </c>
      <c r="E11">
        <v>1</v>
      </c>
      <c r="G11">
        <v>0</v>
      </c>
      <c r="H11">
        <v>0</v>
      </c>
      <c r="I11">
        <v>8</v>
      </c>
      <c r="J11">
        <v>1</v>
      </c>
      <c r="L11">
        <v>0</v>
      </c>
      <c r="M11">
        <v>0</v>
      </c>
      <c r="N11">
        <v>8</v>
      </c>
      <c r="O11">
        <v>1</v>
      </c>
      <c r="Q11">
        <v>0</v>
      </c>
      <c r="R11">
        <v>0</v>
      </c>
      <c r="S11">
        <v>8</v>
      </c>
      <c r="T11">
        <v>1</v>
      </c>
      <c r="V11">
        <v>0</v>
      </c>
      <c r="W11">
        <v>0</v>
      </c>
      <c r="X11">
        <v>8</v>
      </c>
      <c r="Y11">
        <v>1</v>
      </c>
      <c r="AA11">
        <v>0</v>
      </c>
      <c r="AB11">
        <v>0</v>
      </c>
      <c r="AC11">
        <v>8</v>
      </c>
      <c r="AD11">
        <v>1</v>
      </c>
      <c r="AF11">
        <v>0</v>
      </c>
      <c r="AG11">
        <v>0</v>
      </c>
      <c r="AH11">
        <v>8</v>
      </c>
      <c r="AI11">
        <v>1</v>
      </c>
      <c r="AK11">
        <v>0</v>
      </c>
      <c r="AL11">
        <v>0</v>
      </c>
      <c r="AM11">
        <v>8</v>
      </c>
      <c r="AN11">
        <v>1</v>
      </c>
      <c r="AP11">
        <v>0</v>
      </c>
      <c r="AQ11">
        <v>0</v>
      </c>
      <c r="AR11">
        <v>8</v>
      </c>
      <c r="AS11">
        <v>1</v>
      </c>
      <c r="AU11">
        <v>0</v>
      </c>
      <c r="AV11">
        <v>0</v>
      </c>
      <c r="AW11">
        <v>8</v>
      </c>
      <c r="AX11">
        <v>1</v>
      </c>
      <c r="BA11">
        <f t="shared" si="1"/>
        <v>0</v>
      </c>
      <c r="BB11">
        <f t="shared" si="0"/>
        <v>0</v>
      </c>
      <c r="BC11">
        <f t="shared" si="0"/>
        <v>8</v>
      </c>
      <c r="BD11">
        <f t="shared" si="0"/>
        <v>1</v>
      </c>
    </row>
    <row r="12" spans="1:56" x14ac:dyDescent="0.35">
      <c r="A12">
        <v>10</v>
      </c>
      <c r="B12">
        <v>0</v>
      </c>
      <c r="C12">
        <v>0</v>
      </c>
      <c r="D12">
        <v>8</v>
      </c>
      <c r="E12">
        <v>11</v>
      </c>
      <c r="G12">
        <v>0</v>
      </c>
      <c r="H12">
        <v>0</v>
      </c>
      <c r="I12">
        <v>8</v>
      </c>
      <c r="J12">
        <v>11</v>
      </c>
      <c r="L12">
        <v>0</v>
      </c>
      <c r="M12">
        <v>0</v>
      </c>
      <c r="N12">
        <v>8</v>
      </c>
      <c r="O12">
        <v>11</v>
      </c>
      <c r="Q12">
        <v>0</v>
      </c>
      <c r="R12">
        <v>0</v>
      </c>
      <c r="S12">
        <v>8</v>
      </c>
      <c r="T12">
        <v>11</v>
      </c>
      <c r="V12">
        <v>0</v>
      </c>
      <c r="W12">
        <v>0</v>
      </c>
      <c r="X12">
        <v>8</v>
      </c>
      <c r="Y12">
        <v>11</v>
      </c>
      <c r="AA12">
        <v>0</v>
      </c>
      <c r="AB12">
        <v>0</v>
      </c>
      <c r="AC12">
        <v>8</v>
      </c>
      <c r="AD12">
        <v>11</v>
      </c>
      <c r="AF12">
        <v>0</v>
      </c>
      <c r="AG12">
        <v>0</v>
      </c>
      <c r="AH12">
        <v>8</v>
      </c>
      <c r="AI12">
        <v>11</v>
      </c>
      <c r="AK12">
        <v>0</v>
      </c>
      <c r="AL12">
        <v>0</v>
      </c>
      <c r="AM12">
        <v>8</v>
      </c>
      <c r="AN12">
        <v>11</v>
      </c>
      <c r="AP12">
        <v>0</v>
      </c>
      <c r="AQ12">
        <v>0</v>
      </c>
      <c r="AR12">
        <v>8</v>
      </c>
      <c r="AS12">
        <v>11</v>
      </c>
      <c r="AU12">
        <v>0</v>
      </c>
      <c r="AV12">
        <v>0</v>
      </c>
      <c r="AW12">
        <v>8</v>
      </c>
      <c r="AX12">
        <v>11</v>
      </c>
      <c r="BA12">
        <f t="shared" si="1"/>
        <v>0</v>
      </c>
      <c r="BB12">
        <f t="shared" si="0"/>
        <v>0</v>
      </c>
      <c r="BC12">
        <f t="shared" si="0"/>
        <v>8</v>
      </c>
      <c r="BD12">
        <f t="shared" si="0"/>
        <v>11</v>
      </c>
    </row>
    <row r="13" spans="1:56" x14ac:dyDescent="0.35">
      <c r="A13">
        <v>11</v>
      </c>
      <c r="B13">
        <v>1</v>
      </c>
      <c r="C13">
        <v>0</v>
      </c>
      <c r="D13">
        <v>8</v>
      </c>
      <c r="E13">
        <v>20</v>
      </c>
      <c r="G13">
        <v>1</v>
      </c>
      <c r="H13">
        <v>0</v>
      </c>
      <c r="I13">
        <v>8</v>
      </c>
      <c r="J13">
        <v>20</v>
      </c>
      <c r="L13">
        <v>1</v>
      </c>
      <c r="M13">
        <v>0</v>
      </c>
      <c r="N13">
        <v>8</v>
      </c>
      <c r="O13">
        <v>20</v>
      </c>
      <c r="Q13">
        <v>1</v>
      </c>
      <c r="R13">
        <v>0</v>
      </c>
      <c r="S13">
        <v>8</v>
      </c>
      <c r="T13">
        <v>20</v>
      </c>
      <c r="V13">
        <v>1</v>
      </c>
      <c r="W13">
        <v>0</v>
      </c>
      <c r="X13">
        <v>8</v>
      </c>
      <c r="Y13">
        <v>20</v>
      </c>
      <c r="AA13">
        <v>1</v>
      </c>
      <c r="AB13">
        <v>0</v>
      </c>
      <c r="AC13">
        <v>8</v>
      </c>
      <c r="AD13">
        <v>20</v>
      </c>
      <c r="AF13">
        <v>1</v>
      </c>
      <c r="AG13">
        <v>0</v>
      </c>
      <c r="AH13">
        <v>8</v>
      </c>
      <c r="AI13">
        <v>20</v>
      </c>
      <c r="AK13">
        <v>1</v>
      </c>
      <c r="AL13">
        <v>0</v>
      </c>
      <c r="AM13">
        <v>8</v>
      </c>
      <c r="AN13">
        <v>20</v>
      </c>
      <c r="AP13">
        <v>1</v>
      </c>
      <c r="AQ13">
        <v>0</v>
      </c>
      <c r="AR13">
        <v>8</v>
      </c>
      <c r="AS13">
        <v>20</v>
      </c>
      <c r="AU13">
        <v>1</v>
      </c>
      <c r="AV13">
        <v>0</v>
      </c>
      <c r="AW13">
        <v>8</v>
      </c>
      <c r="AX13">
        <v>20</v>
      </c>
      <c r="BA13">
        <f t="shared" si="1"/>
        <v>1</v>
      </c>
      <c r="BB13">
        <f t="shared" si="0"/>
        <v>0</v>
      </c>
      <c r="BC13">
        <f t="shared" si="0"/>
        <v>8</v>
      </c>
      <c r="BD13">
        <f t="shared" si="0"/>
        <v>20</v>
      </c>
    </row>
    <row r="14" spans="1:56" x14ac:dyDescent="0.35">
      <c r="A14">
        <v>12</v>
      </c>
      <c r="B14">
        <v>16</v>
      </c>
      <c r="C14">
        <v>0</v>
      </c>
      <c r="D14">
        <v>16</v>
      </c>
      <c r="E14">
        <v>22</v>
      </c>
      <c r="G14">
        <v>16</v>
      </c>
      <c r="H14">
        <v>0</v>
      </c>
      <c r="I14">
        <v>16</v>
      </c>
      <c r="J14">
        <v>22</v>
      </c>
      <c r="L14">
        <v>16</v>
      </c>
      <c r="M14">
        <v>0</v>
      </c>
      <c r="N14">
        <v>16</v>
      </c>
      <c r="O14">
        <v>22</v>
      </c>
      <c r="Q14">
        <v>16</v>
      </c>
      <c r="R14">
        <v>0</v>
      </c>
      <c r="S14">
        <v>16</v>
      </c>
      <c r="T14">
        <v>22</v>
      </c>
      <c r="V14">
        <v>16</v>
      </c>
      <c r="W14">
        <v>0</v>
      </c>
      <c r="X14">
        <v>16</v>
      </c>
      <c r="Y14">
        <v>22</v>
      </c>
      <c r="AA14">
        <v>16</v>
      </c>
      <c r="AB14">
        <v>0</v>
      </c>
      <c r="AC14">
        <v>16</v>
      </c>
      <c r="AD14">
        <v>22</v>
      </c>
      <c r="AF14">
        <v>16</v>
      </c>
      <c r="AG14">
        <v>0</v>
      </c>
      <c r="AH14">
        <v>16</v>
      </c>
      <c r="AI14">
        <v>22</v>
      </c>
      <c r="AK14">
        <v>16</v>
      </c>
      <c r="AL14">
        <v>0</v>
      </c>
      <c r="AM14">
        <v>16</v>
      </c>
      <c r="AN14">
        <v>22</v>
      </c>
      <c r="AP14">
        <v>16</v>
      </c>
      <c r="AQ14">
        <v>0</v>
      </c>
      <c r="AR14">
        <v>16</v>
      </c>
      <c r="AS14">
        <v>22</v>
      </c>
      <c r="AU14">
        <v>16</v>
      </c>
      <c r="AV14">
        <v>0</v>
      </c>
      <c r="AW14">
        <v>16</v>
      </c>
      <c r="AX14">
        <v>22</v>
      </c>
      <c r="BA14">
        <f t="shared" si="1"/>
        <v>16</v>
      </c>
      <c r="BB14">
        <f t="shared" si="0"/>
        <v>0</v>
      </c>
      <c r="BC14">
        <f t="shared" si="0"/>
        <v>16</v>
      </c>
      <c r="BD14">
        <f t="shared" si="0"/>
        <v>22</v>
      </c>
    </row>
    <row r="15" spans="1:56" x14ac:dyDescent="0.35">
      <c r="A15">
        <v>13</v>
      </c>
      <c r="B15">
        <v>32</v>
      </c>
      <c r="C15">
        <v>2</v>
      </c>
      <c r="D15">
        <v>23</v>
      </c>
      <c r="E15">
        <v>20</v>
      </c>
      <c r="G15">
        <v>32</v>
      </c>
      <c r="H15">
        <v>2</v>
      </c>
      <c r="I15">
        <v>23</v>
      </c>
      <c r="J15">
        <v>20</v>
      </c>
      <c r="L15">
        <v>32</v>
      </c>
      <c r="M15">
        <v>2</v>
      </c>
      <c r="N15">
        <v>23</v>
      </c>
      <c r="O15">
        <v>20</v>
      </c>
      <c r="Q15">
        <v>32</v>
      </c>
      <c r="R15">
        <v>2</v>
      </c>
      <c r="S15">
        <v>23</v>
      </c>
      <c r="T15">
        <v>20</v>
      </c>
      <c r="V15">
        <v>32</v>
      </c>
      <c r="W15">
        <v>2</v>
      </c>
      <c r="X15">
        <v>23</v>
      </c>
      <c r="Y15">
        <v>20</v>
      </c>
      <c r="AA15">
        <v>32</v>
      </c>
      <c r="AB15">
        <v>2</v>
      </c>
      <c r="AC15">
        <v>23</v>
      </c>
      <c r="AD15">
        <v>20</v>
      </c>
      <c r="AF15">
        <v>32</v>
      </c>
      <c r="AG15">
        <v>2</v>
      </c>
      <c r="AH15">
        <v>23</v>
      </c>
      <c r="AI15">
        <v>20</v>
      </c>
      <c r="AK15">
        <v>32</v>
      </c>
      <c r="AL15">
        <v>2</v>
      </c>
      <c r="AM15">
        <v>23</v>
      </c>
      <c r="AN15">
        <v>20</v>
      </c>
      <c r="AP15">
        <v>32</v>
      </c>
      <c r="AQ15">
        <v>2</v>
      </c>
      <c r="AR15">
        <v>23</v>
      </c>
      <c r="AS15">
        <v>20</v>
      </c>
      <c r="AU15">
        <v>32</v>
      </c>
      <c r="AV15">
        <v>2</v>
      </c>
      <c r="AW15">
        <v>23</v>
      </c>
      <c r="AX15">
        <v>20</v>
      </c>
      <c r="BA15">
        <f t="shared" si="1"/>
        <v>32</v>
      </c>
      <c r="BB15">
        <f t="shared" si="0"/>
        <v>2</v>
      </c>
      <c r="BC15">
        <f t="shared" si="0"/>
        <v>23</v>
      </c>
      <c r="BD15">
        <f t="shared" si="0"/>
        <v>20</v>
      </c>
    </row>
    <row r="16" spans="1:56" x14ac:dyDescent="0.35">
      <c r="A16">
        <v>14</v>
      </c>
      <c r="B16">
        <v>43</v>
      </c>
      <c r="C16">
        <v>25</v>
      </c>
      <c r="D16">
        <v>23</v>
      </c>
      <c r="E16">
        <v>29</v>
      </c>
      <c r="G16">
        <v>43</v>
      </c>
      <c r="H16">
        <v>25</v>
      </c>
      <c r="I16">
        <v>23</v>
      </c>
      <c r="J16">
        <v>29</v>
      </c>
      <c r="L16">
        <v>43</v>
      </c>
      <c r="M16">
        <v>25</v>
      </c>
      <c r="N16">
        <v>23</v>
      </c>
      <c r="O16">
        <v>29</v>
      </c>
      <c r="Q16">
        <v>43</v>
      </c>
      <c r="R16">
        <v>25</v>
      </c>
      <c r="S16">
        <v>23</v>
      </c>
      <c r="T16">
        <v>29</v>
      </c>
      <c r="V16">
        <v>43</v>
      </c>
      <c r="W16">
        <v>25</v>
      </c>
      <c r="X16">
        <v>23</v>
      </c>
      <c r="Y16">
        <v>29</v>
      </c>
      <c r="AA16">
        <v>43</v>
      </c>
      <c r="AB16">
        <v>25</v>
      </c>
      <c r="AC16">
        <v>23</v>
      </c>
      <c r="AD16">
        <v>29</v>
      </c>
      <c r="AF16">
        <v>43</v>
      </c>
      <c r="AG16">
        <v>25</v>
      </c>
      <c r="AH16">
        <v>23</v>
      </c>
      <c r="AI16">
        <v>29</v>
      </c>
      <c r="AK16">
        <v>43</v>
      </c>
      <c r="AL16">
        <v>25</v>
      </c>
      <c r="AM16">
        <v>23</v>
      </c>
      <c r="AN16">
        <v>29</v>
      </c>
      <c r="AP16">
        <v>43</v>
      </c>
      <c r="AQ16">
        <v>25</v>
      </c>
      <c r="AR16">
        <v>23</v>
      </c>
      <c r="AS16">
        <v>29</v>
      </c>
      <c r="AU16">
        <v>43</v>
      </c>
      <c r="AV16">
        <v>25</v>
      </c>
      <c r="AW16">
        <v>23</v>
      </c>
      <c r="AX16">
        <v>29</v>
      </c>
      <c r="BA16">
        <f t="shared" si="1"/>
        <v>43</v>
      </c>
      <c r="BB16">
        <f t="shared" si="0"/>
        <v>25</v>
      </c>
      <c r="BC16">
        <f t="shared" si="0"/>
        <v>23</v>
      </c>
      <c r="BD16">
        <f t="shared" si="0"/>
        <v>29</v>
      </c>
    </row>
    <row r="17" spans="1:56" x14ac:dyDescent="0.35">
      <c r="A17">
        <v>15</v>
      </c>
      <c r="B17">
        <v>42</v>
      </c>
      <c r="C17">
        <v>52</v>
      </c>
      <c r="D17">
        <v>20</v>
      </c>
      <c r="E17">
        <v>39</v>
      </c>
      <c r="G17">
        <v>42</v>
      </c>
      <c r="H17">
        <v>52</v>
      </c>
      <c r="I17">
        <v>20</v>
      </c>
      <c r="J17">
        <v>39</v>
      </c>
      <c r="L17">
        <v>42</v>
      </c>
      <c r="M17">
        <v>52</v>
      </c>
      <c r="N17">
        <v>20</v>
      </c>
      <c r="O17">
        <v>39</v>
      </c>
      <c r="Q17">
        <v>42</v>
      </c>
      <c r="R17">
        <v>52</v>
      </c>
      <c r="S17">
        <v>20</v>
      </c>
      <c r="T17">
        <v>39</v>
      </c>
      <c r="V17">
        <v>42</v>
      </c>
      <c r="W17">
        <v>52</v>
      </c>
      <c r="X17">
        <v>20</v>
      </c>
      <c r="Y17">
        <v>39</v>
      </c>
      <c r="AA17">
        <v>42</v>
      </c>
      <c r="AB17">
        <v>52</v>
      </c>
      <c r="AC17">
        <v>20</v>
      </c>
      <c r="AD17">
        <v>39</v>
      </c>
      <c r="AF17">
        <v>42</v>
      </c>
      <c r="AG17">
        <v>52</v>
      </c>
      <c r="AH17">
        <v>20</v>
      </c>
      <c r="AI17">
        <v>39</v>
      </c>
      <c r="AK17">
        <v>42</v>
      </c>
      <c r="AL17">
        <v>52</v>
      </c>
      <c r="AM17">
        <v>20</v>
      </c>
      <c r="AN17">
        <v>39</v>
      </c>
      <c r="AP17">
        <v>42</v>
      </c>
      <c r="AQ17">
        <v>52</v>
      </c>
      <c r="AR17">
        <v>20</v>
      </c>
      <c r="AS17">
        <v>39</v>
      </c>
      <c r="AU17">
        <v>42</v>
      </c>
      <c r="AV17">
        <v>52</v>
      </c>
      <c r="AW17">
        <v>20</v>
      </c>
      <c r="AX17">
        <v>39</v>
      </c>
      <c r="BA17">
        <f t="shared" si="1"/>
        <v>42</v>
      </c>
      <c r="BB17">
        <f t="shared" si="0"/>
        <v>52</v>
      </c>
      <c r="BC17">
        <f t="shared" si="0"/>
        <v>20</v>
      </c>
      <c r="BD17">
        <f t="shared" si="0"/>
        <v>39</v>
      </c>
    </row>
    <row r="18" spans="1:56" x14ac:dyDescent="0.35">
      <c r="A18">
        <v>16</v>
      </c>
      <c r="B18">
        <v>53</v>
      </c>
      <c r="C18">
        <v>63</v>
      </c>
      <c r="D18">
        <v>28</v>
      </c>
      <c r="E18">
        <v>45</v>
      </c>
      <c r="G18">
        <v>53</v>
      </c>
      <c r="H18">
        <v>63</v>
      </c>
      <c r="I18">
        <v>28</v>
      </c>
      <c r="J18">
        <v>45</v>
      </c>
      <c r="L18">
        <v>53</v>
      </c>
      <c r="M18">
        <v>63</v>
      </c>
      <c r="N18">
        <v>28</v>
      </c>
      <c r="O18">
        <v>45</v>
      </c>
      <c r="Q18">
        <v>53</v>
      </c>
      <c r="R18">
        <v>63</v>
      </c>
      <c r="S18">
        <v>28</v>
      </c>
      <c r="T18">
        <v>45</v>
      </c>
      <c r="V18">
        <v>53</v>
      </c>
      <c r="W18">
        <v>63</v>
      </c>
      <c r="X18">
        <v>28</v>
      </c>
      <c r="Y18">
        <v>45</v>
      </c>
      <c r="AA18">
        <v>53</v>
      </c>
      <c r="AB18">
        <v>63</v>
      </c>
      <c r="AC18">
        <v>28</v>
      </c>
      <c r="AD18">
        <v>45</v>
      </c>
      <c r="AF18">
        <v>53</v>
      </c>
      <c r="AG18">
        <v>63</v>
      </c>
      <c r="AH18">
        <v>28</v>
      </c>
      <c r="AI18">
        <v>45</v>
      </c>
      <c r="AK18">
        <v>53</v>
      </c>
      <c r="AL18">
        <v>63</v>
      </c>
      <c r="AM18">
        <v>28</v>
      </c>
      <c r="AN18">
        <v>45</v>
      </c>
      <c r="AP18">
        <v>53</v>
      </c>
      <c r="AQ18">
        <v>63</v>
      </c>
      <c r="AR18">
        <v>28</v>
      </c>
      <c r="AS18">
        <v>45</v>
      </c>
      <c r="AU18">
        <v>53</v>
      </c>
      <c r="AV18">
        <v>63</v>
      </c>
      <c r="AW18">
        <v>28</v>
      </c>
      <c r="AX18">
        <v>45</v>
      </c>
      <c r="BA18">
        <f t="shared" si="1"/>
        <v>53</v>
      </c>
      <c r="BB18">
        <f t="shared" si="1"/>
        <v>63</v>
      </c>
      <c r="BC18">
        <f t="shared" si="1"/>
        <v>28</v>
      </c>
      <c r="BD18">
        <f t="shared" si="1"/>
        <v>45</v>
      </c>
    </row>
    <row r="19" spans="1:56" x14ac:dyDescent="0.35">
      <c r="A19">
        <v>17</v>
      </c>
      <c r="B19">
        <v>66</v>
      </c>
      <c r="C19">
        <v>51</v>
      </c>
      <c r="D19">
        <v>36</v>
      </c>
      <c r="E19">
        <v>40</v>
      </c>
      <c r="G19">
        <v>66</v>
      </c>
      <c r="H19">
        <v>51</v>
      </c>
      <c r="I19">
        <v>36</v>
      </c>
      <c r="J19">
        <v>40</v>
      </c>
      <c r="L19">
        <v>66</v>
      </c>
      <c r="M19">
        <v>51</v>
      </c>
      <c r="N19">
        <v>36</v>
      </c>
      <c r="O19">
        <v>40</v>
      </c>
      <c r="Q19">
        <v>66</v>
      </c>
      <c r="R19">
        <v>51</v>
      </c>
      <c r="S19">
        <v>36</v>
      </c>
      <c r="T19">
        <v>40</v>
      </c>
      <c r="V19">
        <v>66</v>
      </c>
      <c r="W19">
        <v>51</v>
      </c>
      <c r="X19">
        <v>36</v>
      </c>
      <c r="Y19">
        <v>40</v>
      </c>
      <c r="AA19">
        <v>66</v>
      </c>
      <c r="AB19">
        <v>51</v>
      </c>
      <c r="AC19">
        <v>36</v>
      </c>
      <c r="AD19">
        <v>40</v>
      </c>
      <c r="AF19">
        <v>66</v>
      </c>
      <c r="AG19">
        <v>51</v>
      </c>
      <c r="AH19">
        <v>36</v>
      </c>
      <c r="AI19">
        <v>40</v>
      </c>
      <c r="AK19">
        <v>66</v>
      </c>
      <c r="AL19">
        <v>51</v>
      </c>
      <c r="AM19">
        <v>36</v>
      </c>
      <c r="AN19">
        <v>40</v>
      </c>
      <c r="AP19">
        <v>66</v>
      </c>
      <c r="AQ19">
        <v>51</v>
      </c>
      <c r="AR19">
        <v>36</v>
      </c>
      <c r="AS19">
        <v>40</v>
      </c>
      <c r="AU19">
        <v>66</v>
      </c>
      <c r="AV19">
        <v>51</v>
      </c>
      <c r="AW19">
        <v>36</v>
      </c>
      <c r="AX19">
        <v>40</v>
      </c>
      <c r="BA19">
        <f t="shared" si="1"/>
        <v>66</v>
      </c>
      <c r="BB19">
        <f t="shared" si="1"/>
        <v>51</v>
      </c>
      <c r="BC19">
        <f t="shared" si="1"/>
        <v>36</v>
      </c>
      <c r="BD19">
        <f t="shared" si="1"/>
        <v>40</v>
      </c>
    </row>
    <row r="20" spans="1:56" x14ac:dyDescent="0.35">
      <c r="A20">
        <v>18</v>
      </c>
      <c r="B20">
        <v>64</v>
      </c>
      <c r="C20">
        <v>24</v>
      </c>
      <c r="D20">
        <v>41</v>
      </c>
      <c r="E20">
        <v>49</v>
      </c>
      <c r="G20">
        <v>64</v>
      </c>
      <c r="H20">
        <v>24</v>
      </c>
      <c r="I20">
        <v>41</v>
      </c>
      <c r="J20">
        <v>49</v>
      </c>
      <c r="L20">
        <v>64</v>
      </c>
      <c r="M20">
        <v>24</v>
      </c>
      <c r="N20">
        <v>41</v>
      </c>
      <c r="O20">
        <v>49</v>
      </c>
      <c r="Q20">
        <v>64</v>
      </c>
      <c r="R20">
        <v>24</v>
      </c>
      <c r="S20">
        <v>41</v>
      </c>
      <c r="T20">
        <v>49</v>
      </c>
      <c r="V20">
        <v>64</v>
      </c>
      <c r="W20">
        <v>24</v>
      </c>
      <c r="X20">
        <v>41</v>
      </c>
      <c r="Y20">
        <v>49</v>
      </c>
      <c r="AA20">
        <v>64</v>
      </c>
      <c r="AB20">
        <v>24</v>
      </c>
      <c r="AC20">
        <v>41</v>
      </c>
      <c r="AD20">
        <v>49</v>
      </c>
      <c r="AF20">
        <v>64</v>
      </c>
      <c r="AG20">
        <v>24</v>
      </c>
      <c r="AH20">
        <v>41</v>
      </c>
      <c r="AI20">
        <v>49</v>
      </c>
      <c r="AK20">
        <v>64</v>
      </c>
      <c r="AL20">
        <v>24</v>
      </c>
      <c r="AM20">
        <v>41</v>
      </c>
      <c r="AN20">
        <v>49</v>
      </c>
      <c r="AP20">
        <v>64</v>
      </c>
      <c r="AQ20">
        <v>24</v>
      </c>
      <c r="AR20">
        <v>41</v>
      </c>
      <c r="AS20">
        <v>49</v>
      </c>
      <c r="AU20">
        <v>64</v>
      </c>
      <c r="AV20">
        <v>24</v>
      </c>
      <c r="AW20">
        <v>41</v>
      </c>
      <c r="AX20">
        <v>49</v>
      </c>
      <c r="BA20">
        <f t="shared" si="1"/>
        <v>64</v>
      </c>
      <c r="BB20">
        <f t="shared" si="1"/>
        <v>24</v>
      </c>
      <c r="BC20">
        <f t="shared" si="1"/>
        <v>41</v>
      </c>
      <c r="BD20">
        <f t="shared" si="1"/>
        <v>49</v>
      </c>
    </row>
    <row r="21" spans="1:56" x14ac:dyDescent="0.35">
      <c r="A21">
        <v>19</v>
      </c>
      <c r="B21">
        <v>41</v>
      </c>
      <c r="C21">
        <v>0</v>
      </c>
      <c r="D21">
        <v>36</v>
      </c>
      <c r="E21">
        <v>59</v>
      </c>
      <c r="G21">
        <v>41</v>
      </c>
      <c r="H21">
        <v>0</v>
      </c>
      <c r="I21">
        <v>36</v>
      </c>
      <c r="J21">
        <v>59</v>
      </c>
      <c r="L21">
        <v>41</v>
      </c>
      <c r="M21">
        <v>0</v>
      </c>
      <c r="N21">
        <v>36</v>
      </c>
      <c r="O21">
        <v>59</v>
      </c>
      <c r="Q21">
        <v>41</v>
      </c>
      <c r="R21">
        <v>0</v>
      </c>
      <c r="S21">
        <v>36</v>
      </c>
      <c r="T21">
        <v>59</v>
      </c>
      <c r="V21">
        <v>41</v>
      </c>
      <c r="W21">
        <v>0</v>
      </c>
      <c r="X21">
        <v>36</v>
      </c>
      <c r="Y21">
        <v>59</v>
      </c>
      <c r="AA21">
        <v>41</v>
      </c>
      <c r="AB21">
        <v>0</v>
      </c>
      <c r="AC21">
        <v>36</v>
      </c>
      <c r="AD21">
        <v>59</v>
      </c>
      <c r="AF21">
        <v>41</v>
      </c>
      <c r="AG21">
        <v>0</v>
      </c>
      <c r="AH21">
        <v>36</v>
      </c>
      <c r="AI21">
        <v>59</v>
      </c>
      <c r="AK21">
        <v>41</v>
      </c>
      <c r="AL21">
        <v>0</v>
      </c>
      <c r="AM21">
        <v>36</v>
      </c>
      <c r="AN21">
        <v>59</v>
      </c>
      <c r="AP21">
        <v>41</v>
      </c>
      <c r="AQ21">
        <v>0</v>
      </c>
      <c r="AR21">
        <v>36</v>
      </c>
      <c r="AS21">
        <v>59</v>
      </c>
      <c r="AU21">
        <v>41</v>
      </c>
      <c r="AV21">
        <v>0</v>
      </c>
      <c r="AW21">
        <v>36</v>
      </c>
      <c r="AX21">
        <v>59</v>
      </c>
      <c r="BA21">
        <f t="shared" si="1"/>
        <v>41</v>
      </c>
      <c r="BB21">
        <f t="shared" si="1"/>
        <v>0</v>
      </c>
      <c r="BC21">
        <f t="shared" si="1"/>
        <v>36</v>
      </c>
      <c r="BD21">
        <f t="shared" si="1"/>
        <v>59</v>
      </c>
    </row>
    <row r="22" spans="1:56" x14ac:dyDescent="0.35">
      <c r="A22">
        <v>20</v>
      </c>
      <c r="B22">
        <v>9</v>
      </c>
      <c r="C22">
        <v>0</v>
      </c>
      <c r="D22">
        <v>44</v>
      </c>
      <c r="E22">
        <v>55</v>
      </c>
      <c r="G22">
        <v>9</v>
      </c>
      <c r="H22">
        <v>0</v>
      </c>
      <c r="I22">
        <v>44</v>
      </c>
      <c r="J22">
        <v>55</v>
      </c>
      <c r="L22">
        <v>9</v>
      </c>
      <c r="M22">
        <v>0</v>
      </c>
      <c r="N22">
        <v>44</v>
      </c>
      <c r="O22">
        <v>55</v>
      </c>
      <c r="Q22">
        <v>9</v>
      </c>
      <c r="R22">
        <v>0</v>
      </c>
      <c r="S22">
        <v>44</v>
      </c>
      <c r="T22">
        <v>55</v>
      </c>
      <c r="V22">
        <v>9</v>
      </c>
      <c r="W22">
        <v>0</v>
      </c>
      <c r="X22">
        <v>44</v>
      </c>
      <c r="Y22">
        <v>55</v>
      </c>
      <c r="AA22">
        <v>9</v>
      </c>
      <c r="AB22">
        <v>0</v>
      </c>
      <c r="AC22">
        <v>44</v>
      </c>
      <c r="AD22">
        <v>55</v>
      </c>
      <c r="AF22">
        <v>9</v>
      </c>
      <c r="AG22">
        <v>0</v>
      </c>
      <c r="AH22">
        <v>44</v>
      </c>
      <c r="AI22">
        <v>55</v>
      </c>
      <c r="AK22">
        <v>9</v>
      </c>
      <c r="AL22">
        <v>0</v>
      </c>
      <c r="AM22">
        <v>44</v>
      </c>
      <c r="AN22">
        <v>55</v>
      </c>
      <c r="AP22">
        <v>9</v>
      </c>
      <c r="AQ22">
        <v>0</v>
      </c>
      <c r="AR22">
        <v>44</v>
      </c>
      <c r="AS22">
        <v>55</v>
      </c>
      <c r="AU22">
        <v>9</v>
      </c>
      <c r="AV22">
        <v>0</v>
      </c>
      <c r="AW22">
        <v>44</v>
      </c>
      <c r="AX22">
        <v>55</v>
      </c>
      <c r="BA22">
        <f t="shared" si="1"/>
        <v>9</v>
      </c>
      <c r="BB22">
        <f t="shared" si="1"/>
        <v>0</v>
      </c>
      <c r="BC22">
        <f t="shared" si="1"/>
        <v>44</v>
      </c>
      <c r="BD22">
        <f t="shared" si="1"/>
        <v>55</v>
      </c>
    </row>
    <row r="23" spans="1:56" x14ac:dyDescent="0.35">
      <c r="A23">
        <v>21</v>
      </c>
      <c r="B23">
        <v>0</v>
      </c>
      <c r="C23">
        <v>0</v>
      </c>
      <c r="D23">
        <v>52</v>
      </c>
      <c r="E23">
        <v>32</v>
      </c>
      <c r="G23">
        <v>0</v>
      </c>
      <c r="H23">
        <v>0</v>
      </c>
      <c r="I23">
        <v>52</v>
      </c>
      <c r="J23">
        <v>32</v>
      </c>
      <c r="L23">
        <v>0</v>
      </c>
      <c r="M23">
        <v>0</v>
      </c>
      <c r="N23">
        <v>52</v>
      </c>
      <c r="O23">
        <v>32</v>
      </c>
      <c r="Q23">
        <v>0</v>
      </c>
      <c r="R23">
        <v>0</v>
      </c>
      <c r="S23">
        <v>52</v>
      </c>
      <c r="T23">
        <v>32</v>
      </c>
      <c r="V23">
        <v>0</v>
      </c>
      <c r="W23">
        <v>0</v>
      </c>
      <c r="X23">
        <v>52</v>
      </c>
      <c r="Y23">
        <v>32</v>
      </c>
      <c r="AA23">
        <v>0</v>
      </c>
      <c r="AB23">
        <v>0</v>
      </c>
      <c r="AC23">
        <v>52</v>
      </c>
      <c r="AD23">
        <v>32</v>
      </c>
      <c r="AF23">
        <v>0</v>
      </c>
      <c r="AG23">
        <v>0</v>
      </c>
      <c r="AH23">
        <v>52</v>
      </c>
      <c r="AI23">
        <v>32</v>
      </c>
      <c r="AK23">
        <v>0</v>
      </c>
      <c r="AL23">
        <v>0</v>
      </c>
      <c r="AM23">
        <v>52</v>
      </c>
      <c r="AN23">
        <v>32</v>
      </c>
      <c r="AP23">
        <v>0</v>
      </c>
      <c r="AQ23">
        <v>0</v>
      </c>
      <c r="AR23">
        <v>52</v>
      </c>
      <c r="AS23">
        <v>32</v>
      </c>
      <c r="AU23">
        <v>0</v>
      </c>
      <c r="AV23">
        <v>0</v>
      </c>
      <c r="AW23">
        <v>52</v>
      </c>
      <c r="AX23">
        <v>32</v>
      </c>
      <c r="BA23">
        <f t="shared" si="1"/>
        <v>0</v>
      </c>
      <c r="BB23">
        <f t="shared" si="1"/>
        <v>0</v>
      </c>
      <c r="BC23">
        <f t="shared" si="1"/>
        <v>52</v>
      </c>
      <c r="BD23">
        <f t="shared" si="1"/>
        <v>32</v>
      </c>
    </row>
    <row r="24" spans="1:56" x14ac:dyDescent="0.35">
      <c r="A24">
        <v>22</v>
      </c>
      <c r="B24">
        <v>0</v>
      </c>
      <c r="C24">
        <v>0</v>
      </c>
      <c r="D24">
        <v>47</v>
      </c>
      <c r="E24">
        <v>0</v>
      </c>
      <c r="G24">
        <v>0</v>
      </c>
      <c r="H24">
        <v>0</v>
      </c>
      <c r="I24">
        <v>47</v>
      </c>
      <c r="J24">
        <v>0</v>
      </c>
      <c r="L24">
        <v>0</v>
      </c>
      <c r="M24">
        <v>0</v>
      </c>
      <c r="N24">
        <v>47</v>
      </c>
      <c r="O24">
        <v>0</v>
      </c>
      <c r="Q24">
        <v>0</v>
      </c>
      <c r="R24">
        <v>0</v>
      </c>
      <c r="S24">
        <v>47</v>
      </c>
      <c r="T24">
        <v>0</v>
      </c>
      <c r="V24">
        <v>0</v>
      </c>
      <c r="W24">
        <v>0</v>
      </c>
      <c r="X24">
        <v>47</v>
      </c>
      <c r="Y24">
        <v>0</v>
      </c>
      <c r="AA24">
        <v>0</v>
      </c>
      <c r="AB24">
        <v>0</v>
      </c>
      <c r="AC24">
        <v>47</v>
      </c>
      <c r="AD24">
        <v>0</v>
      </c>
      <c r="AF24">
        <v>0</v>
      </c>
      <c r="AG24">
        <v>0</v>
      </c>
      <c r="AH24">
        <v>47</v>
      </c>
      <c r="AI24">
        <v>0</v>
      </c>
      <c r="AK24">
        <v>0</v>
      </c>
      <c r="AL24">
        <v>0</v>
      </c>
      <c r="AM24">
        <v>47</v>
      </c>
      <c r="AN24">
        <v>0</v>
      </c>
      <c r="AP24">
        <v>0</v>
      </c>
      <c r="AQ24">
        <v>0</v>
      </c>
      <c r="AR24">
        <v>47</v>
      </c>
      <c r="AS24">
        <v>0</v>
      </c>
      <c r="AU24">
        <v>0</v>
      </c>
      <c r="AV24">
        <v>0</v>
      </c>
      <c r="AW24">
        <v>47</v>
      </c>
      <c r="AX24">
        <v>0</v>
      </c>
      <c r="BA24">
        <f t="shared" si="1"/>
        <v>0</v>
      </c>
      <c r="BB24">
        <f t="shared" si="1"/>
        <v>0</v>
      </c>
      <c r="BC24">
        <f t="shared" si="1"/>
        <v>47</v>
      </c>
      <c r="BD24">
        <f t="shared" si="1"/>
        <v>0</v>
      </c>
    </row>
    <row r="25" spans="1:56" x14ac:dyDescent="0.35">
      <c r="A25">
        <v>23</v>
      </c>
      <c r="B25">
        <v>0</v>
      </c>
      <c r="C25">
        <v>0</v>
      </c>
      <c r="D25">
        <v>24</v>
      </c>
      <c r="E25">
        <v>0</v>
      </c>
      <c r="G25">
        <v>0</v>
      </c>
      <c r="H25">
        <v>0</v>
      </c>
      <c r="I25">
        <v>24</v>
      </c>
      <c r="J25">
        <v>0</v>
      </c>
      <c r="L25">
        <v>0</v>
      </c>
      <c r="M25">
        <v>0</v>
      </c>
      <c r="N25">
        <v>24</v>
      </c>
      <c r="O25">
        <v>0</v>
      </c>
      <c r="Q25">
        <v>0</v>
      </c>
      <c r="R25">
        <v>0</v>
      </c>
      <c r="S25">
        <v>24</v>
      </c>
      <c r="T25">
        <v>0</v>
      </c>
      <c r="V25">
        <v>0</v>
      </c>
      <c r="W25">
        <v>0</v>
      </c>
      <c r="X25">
        <v>24</v>
      </c>
      <c r="Y25">
        <v>0</v>
      </c>
      <c r="AA25">
        <v>0</v>
      </c>
      <c r="AB25">
        <v>0</v>
      </c>
      <c r="AC25">
        <v>24</v>
      </c>
      <c r="AD25">
        <v>0</v>
      </c>
      <c r="AF25">
        <v>0</v>
      </c>
      <c r="AG25">
        <v>0</v>
      </c>
      <c r="AH25">
        <v>24</v>
      </c>
      <c r="AI25">
        <v>0</v>
      </c>
      <c r="AK25">
        <v>0</v>
      </c>
      <c r="AL25">
        <v>0</v>
      </c>
      <c r="AM25">
        <v>24</v>
      </c>
      <c r="AN25">
        <v>0</v>
      </c>
      <c r="AP25">
        <v>0</v>
      </c>
      <c r="AQ25">
        <v>0</v>
      </c>
      <c r="AR25">
        <v>24</v>
      </c>
      <c r="AS25">
        <v>0</v>
      </c>
      <c r="AU25">
        <v>0</v>
      </c>
      <c r="AV25">
        <v>0</v>
      </c>
      <c r="AW25">
        <v>24</v>
      </c>
      <c r="AX25">
        <v>0</v>
      </c>
      <c r="BA25">
        <f t="shared" si="1"/>
        <v>0</v>
      </c>
      <c r="BB25">
        <f t="shared" si="1"/>
        <v>0</v>
      </c>
      <c r="BC25">
        <f t="shared" si="1"/>
        <v>24</v>
      </c>
      <c r="BD25">
        <f t="shared" si="1"/>
        <v>0</v>
      </c>
    </row>
    <row r="26" spans="1:56" x14ac:dyDescent="0.35">
      <c r="A26">
        <v>24</v>
      </c>
      <c r="B26">
        <v>0</v>
      </c>
      <c r="C26">
        <v>0</v>
      </c>
      <c r="D26">
        <v>0</v>
      </c>
      <c r="E26">
        <v>0</v>
      </c>
      <c r="G26">
        <v>0</v>
      </c>
      <c r="H26">
        <v>0</v>
      </c>
      <c r="I26">
        <v>0</v>
      </c>
      <c r="J26">
        <v>0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0</v>
      </c>
      <c r="V26">
        <v>0</v>
      </c>
      <c r="W26">
        <v>0</v>
      </c>
      <c r="X26">
        <v>0</v>
      </c>
      <c r="Y26">
        <v>0</v>
      </c>
      <c r="AA26">
        <v>0</v>
      </c>
      <c r="AB26">
        <v>0</v>
      </c>
      <c r="AC26">
        <v>0</v>
      </c>
      <c r="AD26">
        <v>0</v>
      </c>
      <c r="AF26">
        <v>0</v>
      </c>
      <c r="AG26">
        <v>0</v>
      </c>
      <c r="AH26">
        <v>0</v>
      </c>
      <c r="AI26">
        <v>0</v>
      </c>
      <c r="AK26">
        <v>0</v>
      </c>
      <c r="AL26">
        <v>0</v>
      </c>
      <c r="AM26">
        <v>0</v>
      </c>
      <c r="AN26">
        <v>0</v>
      </c>
      <c r="AP26">
        <v>0</v>
      </c>
      <c r="AQ26">
        <v>0</v>
      </c>
      <c r="AR26">
        <v>0</v>
      </c>
      <c r="AS26">
        <v>0</v>
      </c>
      <c r="AU26">
        <v>0</v>
      </c>
      <c r="AV26">
        <v>0</v>
      </c>
      <c r="AW26">
        <v>0</v>
      </c>
      <c r="AX26">
        <v>0</v>
      </c>
      <c r="BA26">
        <f t="shared" si="1"/>
        <v>0</v>
      </c>
      <c r="BB26">
        <f t="shared" si="1"/>
        <v>0</v>
      </c>
      <c r="BC26">
        <f t="shared" si="1"/>
        <v>0</v>
      </c>
      <c r="BD26">
        <f t="shared" si="1"/>
        <v>0</v>
      </c>
    </row>
    <row r="27" spans="1:56" x14ac:dyDescent="0.35">
      <c r="A27">
        <v>25</v>
      </c>
      <c r="B27">
        <v>0</v>
      </c>
      <c r="C27">
        <v>0</v>
      </c>
      <c r="D27">
        <v>0</v>
      </c>
      <c r="E27">
        <v>0</v>
      </c>
      <c r="G27">
        <v>0</v>
      </c>
      <c r="H27">
        <v>0</v>
      </c>
      <c r="I27">
        <v>0</v>
      </c>
      <c r="J27">
        <v>0</v>
      </c>
      <c r="L27">
        <v>0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0</v>
      </c>
      <c r="V27">
        <v>0</v>
      </c>
      <c r="W27">
        <v>0</v>
      </c>
      <c r="X27">
        <v>0</v>
      </c>
      <c r="Y27">
        <v>0</v>
      </c>
      <c r="AA27">
        <v>0</v>
      </c>
      <c r="AB27">
        <v>0</v>
      </c>
      <c r="AC27">
        <v>0</v>
      </c>
      <c r="AD27">
        <v>0</v>
      </c>
      <c r="AF27">
        <v>0</v>
      </c>
      <c r="AG27">
        <v>0</v>
      </c>
      <c r="AH27">
        <v>0</v>
      </c>
      <c r="AI27">
        <v>0</v>
      </c>
      <c r="AK27">
        <v>0</v>
      </c>
      <c r="AL27">
        <v>0</v>
      </c>
      <c r="AM27">
        <v>0</v>
      </c>
      <c r="AN27">
        <v>0</v>
      </c>
      <c r="AP27">
        <v>0</v>
      </c>
      <c r="AQ27">
        <v>0</v>
      </c>
      <c r="AR27">
        <v>0</v>
      </c>
      <c r="AS27">
        <v>0</v>
      </c>
      <c r="AU27">
        <v>0</v>
      </c>
      <c r="AV27">
        <v>0</v>
      </c>
      <c r="AW27">
        <v>0</v>
      </c>
      <c r="AX27">
        <v>0</v>
      </c>
      <c r="BA27">
        <f t="shared" si="1"/>
        <v>0</v>
      </c>
      <c r="BB27">
        <f t="shared" si="1"/>
        <v>0</v>
      </c>
      <c r="BC27">
        <f t="shared" si="1"/>
        <v>0</v>
      </c>
      <c r="BD27">
        <f t="shared" si="1"/>
        <v>0</v>
      </c>
    </row>
    <row r="28" spans="1:56" x14ac:dyDescent="0.35">
      <c r="A28">
        <v>26</v>
      </c>
      <c r="B28">
        <v>0</v>
      </c>
      <c r="C28">
        <v>0</v>
      </c>
      <c r="D28">
        <v>0</v>
      </c>
      <c r="E28">
        <v>0</v>
      </c>
      <c r="G28">
        <v>0</v>
      </c>
      <c r="H28">
        <v>0</v>
      </c>
      <c r="I28">
        <v>0</v>
      </c>
      <c r="J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V28">
        <v>0</v>
      </c>
      <c r="W28">
        <v>0</v>
      </c>
      <c r="X28">
        <v>0</v>
      </c>
      <c r="Y28">
        <v>0</v>
      </c>
      <c r="AA28">
        <v>0</v>
      </c>
      <c r="AB28">
        <v>0</v>
      </c>
      <c r="AC28">
        <v>0</v>
      </c>
      <c r="AD28">
        <v>0</v>
      </c>
      <c r="AF28">
        <v>0</v>
      </c>
      <c r="AG28">
        <v>0</v>
      </c>
      <c r="AH28">
        <v>0</v>
      </c>
      <c r="AI28">
        <v>0</v>
      </c>
      <c r="AK28">
        <v>0</v>
      </c>
      <c r="AL28">
        <v>0</v>
      </c>
      <c r="AM28">
        <v>0</v>
      </c>
      <c r="AN28">
        <v>0</v>
      </c>
      <c r="AP28">
        <v>0</v>
      </c>
      <c r="AQ28">
        <v>0</v>
      </c>
      <c r="AR28">
        <v>0</v>
      </c>
      <c r="AS28">
        <v>0</v>
      </c>
      <c r="AU28">
        <v>0</v>
      </c>
      <c r="AV28">
        <v>0</v>
      </c>
      <c r="AW28">
        <v>0</v>
      </c>
      <c r="AX28">
        <v>0</v>
      </c>
      <c r="BA28">
        <f t="shared" si="1"/>
        <v>0</v>
      </c>
      <c r="BB28">
        <f t="shared" si="1"/>
        <v>0</v>
      </c>
      <c r="BC28">
        <f t="shared" si="1"/>
        <v>0</v>
      </c>
      <c r="BD28">
        <f t="shared" si="1"/>
        <v>0</v>
      </c>
    </row>
    <row r="29" spans="1:56" x14ac:dyDescent="0.35">
      <c r="A29">
        <v>27</v>
      </c>
      <c r="B29">
        <v>0</v>
      </c>
      <c r="C29">
        <v>0</v>
      </c>
      <c r="D29">
        <v>0</v>
      </c>
      <c r="E29">
        <v>0</v>
      </c>
      <c r="G29">
        <v>0</v>
      </c>
      <c r="H29">
        <v>0</v>
      </c>
      <c r="I29">
        <v>0</v>
      </c>
      <c r="J29">
        <v>0</v>
      </c>
      <c r="L29">
        <v>0</v>
      </c>
      <c r="M29">
        <v>0</v>
      </c>
      <c r="N29">
        <v>0</v>
      </c>
      <c r="O29">
        <v>0</v>
      </c>
      <c r="Q29">
        <v>0</v>
      </c>
      <c r="R29">
        <v>0</v>
      </c>
      <c r="S29">
        <v>0</v>
      </c>
      <c r="T29">
        <v>0</v>
      </c>
      <c r="V29">
        <v>0</v>
      </c>
      <c r="W29">
        <v>0</v>
      </c>
      <c r="X29">
        <v>0</v>
      </c>
      <c r="Y29">
        <v>0</v>
      </c>
      <c r="AA29">
        <v>0</v>
      </c>
      <c r="AB29">
        <v>0</v>
      </c>
      <c r="AC29">
        <v>0</v>
      </c>
      <c r="AD29">
        <v>0</v>
      </c>
      <c r="AF29">
        <v>0</v>
      </c>
      <c r="AG29">
        <v>0</v>
      </c>
      <c r="AH29">
        <v>0</v>
      </c>
      <c r="AI29">
        <v>0</v>
      </c>
      <c r="AK29">
        <v>0</v>
      </c>
      <c r="AL29">
        <v>0</v>
      </c>
      <c r="AM29">
        <v>0</v>
      </c>
      <c r="AN29">
        <v>0</v>
      </c>
      <c r="AP29">
        <v>0</v>
      </c>
      <c r="AQ29">
        <v>0</v>
      </c>
      <c r="AR29">
        <v>0</v>
      </c>
      <c r="AS29">
        <v>0</v>
      </c>
      <c r="AU29">
        <v>0</v>
      </c>
      <c r="AV29">
        <v>0</v>
      </c>
      <c r="AW29">
        <v>0</v>
      </c>
      <c r="AX29">
        <v>0</v>
      </c>
      <c r="BA29">
        <f t="shared" si="1"/>
        <v>0</v>
      </c>
      <c r="BB29">
        <f t="shared" si="1"/>
        <v>0</v>
      </c>
      <c r="BC29">
        <f t="shared" si="1"/>
        <v>0</v>
      </c>
      <c r="BD29">
        <f t="shared" si="1"/>
        <v>0</v>
      </c>
    </row>
    <row r="30" spans="1:56" x14ac:dyDescent="0.35">
      <c r="A30">
        <v>28</v>
      </c>
      <c r="B30">
        <v>0</v>
      </c>
      <c r="C30">
        <v>0</v>
      </c>
      <c r="D30">
        <v>0</v>
      </c>
      <c r="E30">
        <v>0</v>
      </c>
      <c r="G30">
        <v>0</v>
      </c>
      <c r="H30">
        <v>0</v>
      </c>
      <c r="I30">
        <v>0</v>
      </c>
      <c r="J30">
        <v>0</v>
      </c>
      <c r="L30">
        <v>0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0</v>
      </c>
      <c r="V30">
        <v>0</v>
      </c>
      <c r="W30">
        <v>0</v>
      </c>
      <c r="X30">
        <v>0</v>
      </c>
      <c r="Y30">
        <v>0</v>
      </c>
      <c r="AA30">
        <v>0</v>
      </c>
      <c r="AB30">
        <v>0</v>
      </c>
      <c r="AC30">
        <v>0</v>
      </c>
      <c r="AD30">
        <v>0</v>
      </c>
      <c r="AF30">
        <v>0</v>
      </c>
      <c r="AG30">
        <v>0</v>
      </c>
      <c r="AH30">
        <v>0</v>
      </c>
      <c r="AI30">
        <v>0</v>
      </c>
      <c r="AK30">
        <v>0</v>
      </c>
      <c r="AL30">
        <v>0</v>
      </c>
      <c r="AM30">
        <v>0</v>
      </c>
      <c r="AN30">
        <v>0</v>
      </c>
      <c r="AP30">
        <v>0</v>
      </c>
      <c r="AQ30">
        <v>0</v>
      </c>
      <c r="AR30">
        <v>0</v>
      </c>
      <c r="AS30">
        <v>0</v>
      </c>
      <c r="AU30">
        <v>0</v>
      </c>
      <c r="AV30">
        <v>0</v>
      </c>
      <c r="AW30">
        <v>0</v>
      </c>
      <c r="AX30">
        <v>0</v>
      </c>
      <c r="BA30">
        <f t="shared" si="1"/>
        <v>0</v>
      </c>
      <c r="BB30">
        <f t="shared" si="1"/>
        <v>0</v>
      </c>
      <c r="BC30">
        <f t="shared" si="1"/>
        <v>0</v>
      </c>
      <c r="BD30">
        <f t="shared" si="1"/>
        <v>0</v>
      </c>
    </row>
    <row r="31" spans="1:56" x14ac:dyDescent="0.35">
      <c r="A31">
        <v>29</v>
      </c>
      <c r="B31">
        <v>0</v>
      </c>
      <c r="C31">
        <v>0</v>
      </c>
      <c r="D31">
        <v>0</v>
      </c>
      <c r="E31">
        <v>0</v>
      </c>
      <c r="G31">
        <v>0</v>
      </c>
      <c r="H31">
        <v>0</v>
      </c>
      <c r="I31">
        <v>0</v>
      </c>
      <c r="J31">
        <v>0</v>
      </c>
      <c r="L31">
        <v>0</v>
      </c>
      <c r="M31">
        <v>0</v>
      </c>
      <c r="N31">
        <v>0</v>
      </c>
      <c r="O31">
        <v>0</v>
      </c>
      <c r="Q31">
        <v>0</v>
      </c>
      <c r="R31">
        <v>0</v>
      </c>
      <c r="S31">
        <v>0</v>
      </c>
      <c r="T31">
        <v>0</v>
      </c>
      <c r="V31">
        <v>0</v>
      </c>
      <c r="W31">
        <v>0</v>
      </c>
      <c r="X31">
        <v>0</v>
      </c>
      <c r="Y31">
        <v>0</v>
      </c>
      <c r="AA31">
        <v>0</v>
      </c>
      <c r="AB31">
        <v>0</v>
      </c>
      <c r="AC31">
        <v>0</v>
      </c>
      <c r="AD31">
        <v>0</v>
      </c>
      <c r="AF31">
        <v>0</v>
      </c>
      <c r="AG31">
        <v>0</v>
      </c>
      <c r="AH31">
        <v>0</v>
      </c>
      <c r="AI31">
        <v>0</v>
      </c>
      <c r="AK31">
        <v>0</v>
      </c>
      <c r="AL31">
        <v>0</v>
      </c>
      <c r="AM31">
        <v>0</v>
      </c>
      <c r="AN31">
        <v>0</v>
      </c>
      <c r="AP31">
        <v>0</v>
      </c>
      <c r="AQ31">
        <v>0</v>
      </c>
      <c r="AR31">
        <v>0</v>
      </c>
      <c r="AS31">
        <v>0</v>
      </c>
      <c r="AU31">
        <v>0</v>
      </c>
      <c r="AV31">
        <v>0</v>
      </c>
      <c r="AW31">
        <v>0</v>
      </c>
      <c r="AX31">
        <v>0</v>
      </c>
      <c r="BA31">
        <f t="shared" si="1"/>
        <v>0</v>
      </c>
      <c r="BB31">
        <f t="shared" si="1"/>
        <v>0</v>
      </c>
      <c r="BC31">
        <f t="shared" si="1"/>
        <v>0</v>
      </c>
      <c r="BD31">
        <f t="shared" si="1"/>
        <v>0</v>
      </c>
    </row>
    <row r="32" spans="1:56" x14ac:dyDescent="0.35">
      <c r="A32">
        <v>30</v>
      </c>
      <c r="B32">
        <v>0</v>
      </c>
      <c r="C32">
        <v>0</v>
      </c>
      <c r="D32">
        <v>1</v>
      </c>
      <c r="E32">
        <v>0</v>
      </c>
      <c r="G32">
        <v>0</v>
      </c>
      <c r="H32">
        <v>0</v>
      </c>
      <c r="I32">
        <v>1</v>
      </c>
      <c r="J32">
        <v>0</v>
      </c>
      <c r="L32">
        <v>0</v>
      </c>
      <c r="M32">
        <v>0</v>
      </c>
      <c r="N32">
        <v>1</v>
      </c>
      <c r="O32">
        <v>0</v>
      </c>
      <c r="Q32">
        <v>0</v>
      </c>
      <c r="R32">
        <v>0</v>
      </c>
      <c r="S32">
        <v>1</v>
      </c>
      <c r="T32">
        <v>0</v>
      </c>
      <c r="V32">
        <v>0</v>
      </c>
      <c r="W32">
        <v>0</v>
      </c>
      <c r="X32">
        <v>1</v>
      </c>
      <c r="Y32">
        <v>0</v>
      </c>
      <c r="AA32">
        <v>0</v>
      </c>
      <c r="AB32">
        <v>0</v>
      </c>
      <c r="AC32">
        <v>1</v>
      </c>
      <c r="AD32">
        <v>0</v>
      </c>
      <c r="AF32">
        <v>0</v>
      </c>
      <c r="AG32">
        <v>0</v>
      </c>
      <c r="AH32">
        <v>1</v>
      </c>
      <c r="AI32">
        <v>0</v>
      </c>
      <c r="AK32">
        <v>0</v>
      </c>
      <c r="AL32">
        <v>0</v>
      </c>
      <c r="AM32">
        <v>1</v>
      </c>
      <c r="AN32">
        <v>0</v>
      </c>
      <c r="AP32">
        <v>0</v>
      </c>
      <c r="AQ32">
        <v>0</v>
      </c>
      <c r="AR32">
        <v>1</v>
      </c>
      <c r="AS32">
        <v>0</v>
      </c>
      <c r="AU32">
        <v>0</v>
      </c>
      <c r="AV32">
        <v>0</v>
      </c>
      <c r="AW32">
        <v>1</v>
      </c>
      <c r="AX32">
        <v>0</v>
      </c>
      <c r="BA32">
        <f t="shared" si="1"/>
        <v>0</v>
      </c>
      <c r="BB32">
        <f t="shared" si="1"/>
        <v>0</v>
      </c>
      <c r="BC32">
        <f t="shared" si="1"/>
        <v>1</v>
      </c>
      <c r="BD32">
        <f t="shared" si="1"/>
        <v>0</v>
      </c>
    </row>
    <row r="33" spans="1:56" x14ac:dyDescent="0.35">
      <c r="A33">
        <v>31</v>
      </c>
      <c r="B33">
        <v>0</v>
      </c>
      <c r="C33">
        <v>0</v>
      </c>
      <c r="D33">
        <v>2</v>
      </c>
      <c r="E33">
        <v>5</v>
      </c>
      <c r="G33">
        <v>0</v>
      </c>
      <c r="H33">
        <v>0</v>
      </c>
      <c r="I33">
        <v>2</v>
      </c>
      <c r="J33">
        <v>5</v>
      </c>
      <c r="L33">
        <v>0</v>
      </c>
      <c r="M33">
        <v>0</v>
      </c>
      <c r="N33">
        <v>2</v>
      </c>
      <c r="O33">
        <v>5</v>
      </c>
      <c r="Q33">
        <v>0</v>
      </c>
      <c r="R33">
        <v>0</v>
      </c>
      <c r="S33">
        <v>2</v>
      </c>
      <c r="T33">
        <v>5</v>
      </c>
      <c r="V33">
        <v>0</v>
      </c>
      <c r="W33">
        <v>0</v>
      </c>
      <c r="X33">
        <v>2</v>
      </c>
      <c r="Y33">
        <v>5</v>
      </c>
      <c r="AA33">
        <v>0</v>
      </c>
      <c r="AB33">
        <v>0</v>
      </c>
      <c r="AC33">
        <v>2</v>
      </c>
      <c r="AD33">
        <v>5</v>
      </c>
      <c r="AF33">
        <v>0</v>
      </c>
      <c r="AG33">
        <v>0</v>
      </c>
      <c r="AH33">
        <v>2</v>
      </c>
      <c r="AI33">
        <v>5</v>
      </c>
      <c r="AK33">
        <v>0</v>
      </c>
      <c r="AL33">
        <v>0</v>
      </c>
      <c r="AM33">
        <v>2</v>
      </c>
      <c r="AN33">
        <v>5</v>
      </c>
      <c r="AP33">
        <v>0</v>
      </c>
      <c r="AQ33">
        <v>0</v>
      </c>
      <c r="AR33">
        <v>2</v>
      </c>
      <c r="AS33">
        <v>5</v>
      </c>
      <c r="AU33">
        <v>0</v>
      </c>
      <c r="AV33">
        <v>0</v>
      </c>
      <c r="AW33">
        <v>2</v>
      </c>
      <c r="AX33">
        <v>5</v>
      </c>
      <c r="BA33">
        <f t="shared" si="1"/>
        <v>0</v>
      </c>
      <c r="BB33">
        <f t="shared" si="1"/>
        <v>0</v>
      </c>
      <c r="BC33">
        <f t="shared" si="1"/>
        <v>2</v>
      </c>
      <c r="BD33">
        <f t="shared" si="1"/>
        <v>5</v>
      </c>
    </row>
    <row r="34" spans="1:56" x14ac:dyDescent="0.35">
      <c r="A34">
        <v>32</v>
      </c>
      <c r="B34">
        <v>0</v>
      </c>
      <c r="C34">
        <v>0</v>
      </c>
      <c r="D34">
        <v>2</v>
      </c>
      <c r="E34">
        <v>10</v>
      </c>
      <c r="G34">
        <v>0</v>
      </c>
      <c r="H34">
        <v>0</v>
      </c>
      <c r="I34">
        <v>2</v>
      </c>
      <c r="J34">
        <v>10</v>
      </c>
      <c r="L34">
        <v>0</v>
      </c>
      <c r="M34">
        <v>0</v>
      </c>
      <c r="N34">
        <v>2</v>
      </c>
      <c r="O34">
        <v>10</v>
      </c>
      <c r="Q34">
        <v>0</v>
      </c>
      <c r="R34">
        <v>0</v>
      </c>
      <c r="S34">
        <v>2</v>
      </c>
      <c r="T34">
        <v>10</v>
      </c>
      <c r="V34">
        <v>0</v>
      </c>
      <c r="W34">
        <v>0</v>
      </c>
      <c r="X34">
        <v>2</v>
      </c>
      <c r="Y34">
        <v>10</v>
      </c>
      <c r="AA34">
        <v>0</v>
      </c>
      <c r="AB34">
        <v>0</v>
      </c>
      <c r="AC34">
        <v>2</v>
      </c>
      <c r="AD34">
        <v>10</v>
      </c>
      <c r="AF34">
        <v>0</v>
      </c>
      <c r="AG34">
        <v>0</v>
      </c>
      <c r="AH34">
        <v>2</v>
      </c>
      <c r="AI34">
        <v>10</v>
      </c>
      <c r="AK34">
        <v>0</v>
      </c>
      <c r="AL34">
        <v>0</v>
      </c>
      <c r="AM34">
        <v>2</v>
      </c>
      <c r="AN34">
        <v>10</v>
      </c>
      <c r="AP34">
        <v>0</v>
      </c>
      <c r="AQ34">
        <v>0</v>
      </c>
      <c r="AR34">
        <v>2</v>
      </c>
      <c r="AS34">
        <v>10</v>
      </c>
      <c r="AU34">
        <v>0</v>
      </c>
      <c r="AV34">
        <v>0</v>
      </c>
      <c r="AW34">
        <v>2</v>
      </c>
      <c r="AX34">
        <v>10</v>
      </c>
      <c r="BA34">
        <f t="shared" si="1"/>
        <v>0</v>
      </c>
      <c r="BB34">
        <f t="shared" si="1"/>
        <v>0</v>
      </c>
      <c r="BC34">
        <f t="shared" si="1"/>
        <v>2</v>
      </c>
      <c r="BD34">
        <f t="shared" si="1"/>
        <v>10</v>
      </c>
    </row>
    <row r="35" spans="1:56" x14ac:dyDescent="0.35">
      <c r="A35">
        <v>33</v>
      </c>
      <c r="B35">
        <v>8</v>
      </c>
      <c r="C35">
        <v>0</v>
      </c>
      <c r="D35">
        <v>6</v>
      </c>
      <c r="E35">
        <v>13</v>
      </c>
      <c r="G35">
        <v>8</v>
      </c>
      <c r="H35">
        <v>0</v>
      </c>
      <c r="I35">
        <v>6</v>
      </c>
      <c r="J35">
        <v>13</v>
      </c>
      <c r="L35">
        <v>8</v>
      </c>
      <c r="M35">
        <v>0</v>
      </c>
      <c r="N35">
        <v>6</v>
      </c>
      <c r="O35">
        <v>13</v>
      </c>
      <c r="Q35">
        <v>8</v>
      </c>
      <c r="R35">
        <v>0</v>
      </c>
      <c r="S35">
        <v>6</v>
      </c>
      <c r="T35">
        <v>13</v>
      </c>
      <c r="V35">
        <v>8</v>
      </c>
      <c r="W35">
        <v>0</v>
      </c>
      <c r="X35">
        <v>6</v>
      </c>
      <c r="Y35">
        <v>13</v>
      </c>
      <c r="AA35">
        <v>8</v>
      </c>
      <c r="AB35">
        <v>0</v>
      </c>
      <c r="AC35">
        <v>6</v>
      </c>
      <c r="AD35">
        <v>13</v>
      </c>
      <c r="AF35">
        <v>8</v>
      </c>
      <c r="AG35">
        <v>0</v>
      </c>
      <c r="AH35">
        <v>6</v>
      </c>
      <c r="AI35">
        <v>13</v>
      </c>
      <c r="AK35">
        <v>8</v>
      </c>
      <c r="AL35">
        <v>0</v>
      </c>
      <c r="AM35">
        <v>6</v>
      </c>
      <c r="AN35">
        <v>13</v>
      </c>
      <c r="AP35">
        <v>8</v>
      </c>
      <c r="AQ35">
        <v>0</v>
      </c>
      <c r="AR35">
        <v>6</v>
      </c>
      <c r="AS35">
        <v>13</v>
      </c>
      <c r="AU35">
        <v>8</v>
      </c>
      <c r="AV35">
        <v>0</v>
      </c>
      <c r="AW35">
        <v>6</v>
      </c>
      <c r="AX35">
        <v>13</v>
      </c>
      <c r="BA35">
        <f t="shared" si="1"/>
        <v>8</v>
      </c>
      <c r="BB35">
        <f t="shared" si="1"/>
        <v>0</v>
      </c>
      <c r="BC35">
        <f t="shared" si="1"/>
        <v>6</v>
      </c>
      <c r="BD35">
        <f t="shared" si="1"/>
        <v>13</v>
      </c>
    </row>
    <row r="36" spans="1:56" x14ac:dyDescent="0.35">
      <c r="A36">
        <v>34</v>
      </c>
      <c r="B36">
        <v>19</v>
      </c>
      <c r="C36">
        <v>0</v>
      </c>
      <c r="D36">
        <v>11</v>
      </c>
      <c r="E36">
        <v>11</v>
      </c>
      <c r="G36">
        <v>19</v>
      </c>
      <c r="H36">
        <v>0</v>
      </c>
      <c r="I36">
        <v>11</v>
      </c>
      <c r="J36">
        <v>11</v>
      </c>
      <c r="L36">
        <v>19</v>
      </c>
      <c r="M36">
        <v>0</v>
      </c>
      <c r="N36">
        <v>11</v>
      </c>
      <c r="O36">
        <v>11</v>
      </c>
      <c r="Q36">
        <v>19</v>
      </c>
      <c r="R36">
        <v>0</v>
      </c>
      <c r="S36">
        <v>11</v>
      </c>
      <c r="T36">
        <v>11</v>
      </c>
      <c r="V36">
        <v>19</v>
      </c>
      <c r="W36">
        <v>0</v>
      </c>
      <c r="X36">
        <v>11</v>
      </c>
      <c r="Y36">
        <v>11</v>
      </c>
      <c r="AA36">
        <v>19</v>
      </c>
      <c r="AB36">
        <v>0</v>
      </c>
      <c r="AC36">
        <v>11</v>
      </c>
      <c r="AD36">
        <v>11</v>
      </c>
      <c r="AF36">
        <v>19</v>
      </c>
      <c r="AG36">
        <v>0</v>
      </c>
      <c r="AH36">
        <v>11</v>
      </c>
      <c r="AI36">
        <v>11</v>
      </c>
      <c r="AK36">
        <v>19</v>
      </c>
      <c r="AL36">
        <v>0</v>
      </c>
      <c r="AM36">
        <v>11</v>
      </c>
      <c r="AN36">
        <v>11</v>
      </c>
      <c r="AP36">
        <v>19</v>
      </c>
      <c r="AQ36">
        <v>0</v>
      </c>
      <c r="AR36">
        <v>11</v>
      </c>
      <c r="AS36">
        <v>11</v>
      </c>
      <c r="AU36">
        <v>19</v>
      </c>
      <c r="AV36">
        <v>0</v>
      </c>
      <c r="AW36">
        <v>11</v>
      </c>
      <c r="AX36">
        <v>11</v>
      </c>
      <c r="BA36">
        <f t="shared" si="1"/>
        <v>19</v>
      </c>
      <c r="BB36">
        <f t="shared" si="1"/>
        <v>0</v>
      </c>
      <c r="BC36">
        <f t="shared" si="1"/>
        <v>11</v>
      </c>
      <c r="BD36">
        <f t="shared" si="1"/>
        <v>11</v>
      </c>
    </row>
    <row r="37" spans="1:56" x14ac:dyDescent="0.35">
      <c r="A37">
        <v>35</v>
      </c>
      <c r="B37">
        <v>30</v>
      </c>
      <c r="C37">
        <v>2</v>
      </c>
      <c r="D37">
        <v>13</v>
      </c>
      <c r="E37">
        <v>16</v>
      </c>
      <c r="G37">
        <v>30</v>
      </c>
      <c r="H37">
        <v>2</v>
      </c>
      <c r="I37">
        <v>13</v>
      </c>
      <c r="J37">
        <v>16</v>
      </c>
      <c r="L37">
        <v>30</v>
      </c>
      <c r="M37">
        <v>2</v>
      </c>
      <c r="N37">
        <v>13</v>
      </c>
      <c r="O37">
        <v>16</v>
      </c>
      <c r="Q37">
        <v>30</v>
      </c>
      <c r="R37">
        <v>2</v>
      </c>
      <c r="S37">
        <v>13</v>
      </c>
      <c r="T37">
        <v>16</v>
      </c>
      <c r="V37">
        <v>30</v>
      </c>
      <c r="W37">
        <v>2</v>
      </c>
      <c r="X37">
        <v>13</v>
      </c>
      <c r="Y37">
        <v>16</v>
      </c>
      <c r="AA37">
        <v>30</v>
      </c>
      <c r="AB37">
        <v>2</v>
      </c>
      <c r="AC37">
        <v>13</v>
      </c>
      <c r="AD37">
        <v>16</v>
      </c>
      <c r="AF37">
        <v>30</v>
      </c>
      <c r="AG37">
        <v>2</v>
      </c>
      <c r="AH37">
        <v>13</v>
      </c>
      <c r="AI37">
        <v>16</v>
      </c>
      <c r="AK37">
        <v>30</v>
      </c>
      <c r="AL37">
        <v>2</v>
      </c>
      <c r="AM37">
        <v>13</v>
      </c>
      <c r="AN37">
        <v>16</v>
      </c>
      <c r="AP37">
        <v>30</v>
      </c>
      <c r="AQ37">
        <v>2</v>
      </c>
      <c r="AR37">
        <v>13</v>
      </c>
      <c r="AS37">
        <v>16</v>
      </c>
      <c r="AU37">
        <v>30</v>
      </c>
      <c r="AV37">
        <v>2</v>
      </c>
      <c r="AW37">
        <v>13</v>
      </c>
      <c r="AX37">
        <v>16</v>
      </c>
      <c r="BA37">
        <f t="shared" si="1"/>
        <v>30</v>
      </c>
      <c r="BB37">
        <f t="shared" si="1"/>
        <v>2</v>
      </c>
      <c r="BC37">
        <f t="shared" si="1"/>
        <v>13</v>
      </c>
      <c r="BD37">
        <f t="shared" si="1"/>
        <v>16</v>
      </c>
    </row>
    <row r="38" spans="1:56" x14ac:dyDescent="0.35">
      <c r="A38">
        <v>36</v>
      </c>
      <c r="B38">
        <v>29</v>
      </c>
      <c r="C38">
        <v>20</v>
      </c>
      <c r="D38">
        <v>11</v>
      </c>
      <c r="E38">
        <v>25</v>
      </c>
      <c r="G38">
        <v>29</v>
      </c>
      <c r="H38">
        <v>20</v>
      </c>
      <c r="I38">
        <v>11</v>
      </c>
      <c r="J38">
        <v>25</v>
      </c>
      <c r="L38">
        <v>29</v>
      </c>
      <c r="M38">
        <v>20</v>
      </c>
      <c r="N38">
        <v>11</v>
      </c>
      <c r="O38">
        <v>25</v>
      </c>
      <c r="Q38">
        <v>29</v>
      </c>
      <c r="R38">
        <v>20</v>
      </c>
      <c r="S38">
        <v>11</v>
      </c>
      <c r="T38">
        <v>25</v>
      </c>
      <c r="V38">
        <v>29</v>
      </c>
      <c r="W38">
        <v>20</v>
      </c>
      <c r="X38">
        <v>11</v>
      </c>
      <c r="Y38">
        <v>25</v>
      </c>
      <c r="AA38">
        <v>29</v>
      </c>
      <c r="AB38">
        <v>20</v>
      </c>
      <c r="AC38">
        <v>11</v>
      </c>
      <c r="AD38">
        <v>25</v>
      </c>
      <c r="AF38">
        <v>29</v>
      </c>
      <c r="AG38">
        <v>20</v>
      </c>
      <c r="AH38">
        <v>11</v>
      </c>
      <c r="AI38">
        <v>25</v>
      </c>
      <c r="AK38">
        <v>29</v>
      </c>
      <c r="AL38">
        <v>20</v>
      </c>
      <c r="AM38">
        <v>11</v>
      </c>
      <c r="AN38">
        <v>25</v>
      </c>
      <c r="AP38">
        <v>29</v>
      </c>
      <c r="AQ38">
        <v>20</v>
      </c>
      <c r="AR38">
        <v>11</v>
      </c>
      <c r="AS38">
        <v>25</v>
      </c>
      <c r="AU38">
        <v>29</v>
      </c>
      <c r="AV38">
        <v>20</v>
      </c>
      <c r="AW38">
        <v>11</v>
      </c>
      <c r="AX38">
        <v>25</v>
      </c>
      <c r="BA38">
        <f t="shared" si="1"/>
        <v>29</v>
      </c>
      <c r="BB38">
        <f t="shared" si="1"/>
        <v>20</v>
      </c>
      <c r="BC38">
        <f t="shared" si="1"/>
        <v>11</v>
      </c>
      <c r="BD38">
        <f t="shared" si="1"/>
        <v>25</v>
      </c>
    </row>
    <row r="40" spans="1:56" x14ac:dyDescent="0.35">
      <c r="A40" t="s">
        <v>9</v>
      </c>
      <c r="B40">
        <f>SUM(B2:B38)</f>
        <v>453</v>
      </c>
      <c r="C40">
        <f t="shared" ref="C40:E40" si="2">SUM(C2:C38)</f>
        <v>239</v>
      </c>
      <c r="D40">
        <f t="shared" si="2"/>
        <v>464</v>
      </c>
      <c r="E40">
        <f t="shared" si="2"/>
        <v>502</v>
      </c>
      <c r="G40">
        <f>SUM(G2:G38)</f>
        <v>453</v>
      </c>
      <c r="H40">
        <f t="shared" ref="H40:J40" si="3">SUM(H2:H38)</f>
        <v>239</v>
      </c>
      <c r="I40">
        <f t="shared" si="3"/>
        <v>464</v>
      </c>
      <c r="J40">
        <f t="shared" si="3"/>
        <v>502</v>
      </c>
      <c r="L40">
        <f>SUM(L2:L38)</f>
        <v>453</v>
      </c>
      <c r="M40">
        <f t="shared" ref="M40:O40" si="4">SUM(M2:M38)</f>
        <v>239</v>
      </c>
      <c r="N40">
        <f t="shared" si="4"/>
        <v>464</v>
      </c>
      <c r="O40">
        <f t="shared" si="4"/>
        <v>502</v>
      </c>
      <c r="Q40">
        <f>SUM(Q2:Q38)</f>
        <v>453</v>
      </c>
      <c r="R40">
        <f t="shared" ref="R40:T40" si="5">SUM(R2:R38)</f>
        <v>239</v>
      </c>
      <c r="S40">
        <f t="shared" si="5"/>
        <v>464</v>
      </c>
      <c r="T40">
        <f t="shared" si="5"/>
        <v>502</v>
      </c>
      <c r="V40">
        <f>SUM(V2:V38)</f>
        <v>453</v>
      </c>
      <c r="W40">
        <f t="shared" ref="W40:Y40" si="6">SUM(W2:W38)</f>
        <v>239</v>
      </c>
      <c r="X40">
        <f t="shared" si="6"/>
        <v>464</v>
      </c>
      <c r="Y40">
        <f t="shared" si="6"/>
        <v>502</v>
      </c>
      <c r="AA40">
        <f>SUM(AA2:AA38)</f>
        <v>453</v>
      </c>
      <c r="AB40">
        <f t="shared" ref="AB40:AD40" si="7">SUM(AB2:AB38)</f>
        <v>239</v>
      </c>
      <c r="AC40">
        <f t="shared" si="7"/>
        <v>464</v>
      </c>
      <c r="AD40">
        <f t="shared" si="7"/>
        <v>502</v>
      </c>
      <c r="AF40">
        <f>SUM(AF2:AF38)</f>
        <v>453</v>
      </c>
      <c r="AG40">
        <f t="shared" ref="AG40:AI40" si="8">SUM(AG2:AG38)</f>
        <v>239</v>
      </c>
      <c r="AH40">
        <f t="shared" si="8"/>
        <v>464</v>
      </c>
      <c r="AI40">
        <f t="shared" si="8"/>
        <v>502</v>
      </c>
      <c r="AK40">
        <f>SUM(AK2:AK38)</f>
        <v>453</v>
      </c>
      <c r="AL40">
        <f t="shared" ref="AL40:AN40" si="9">SUM(AL2:AL38)</f>
        <v>239</v>
      </c>
      <c r="AM40">
        <f t="shared" si="9"/>
        <v>464</v>
      </c>
      <c r="AN40">
        <f t="shared" si="9"/>
        <v>502</v>
      </c>
      <c r="AP40">
        <f>SUM(AP2:AP38)</f>
        <v>453</v>
      </c>
      <c r="AQ40">
        <f t="shared" ref="AQ40:AS40" si="10">SUM(AQ2:AQ38)</f>
        <v>239</v>
      </c>
      <c r="AR40">
        <f t="shared" si="10"/>
        <v>464</v>
      </c>
      <c r="AS40">
        <f t="shared" si="10"/>
        <v>502</v>
      </c>
      <c r="AU40">
        <f>SUM(AU2:AU38)</f>
        <v>453</v>
      </c>
      <c r="AV40">
        <f t="shared" ref="AV40:AX40" si="11">SUM(AV2:AV38)</f>
        <v>239</v>
      </c>
      <c r="AW40">
        <f t="shared" si="11"/>
        <v>464</v>
      </c>
      <c r="AX40">
        <f t="shared" si="11"/>
        <v>502</v>
      </c>
      <c r="BA40">
        <f>SUM(BA2:BA38)</f>
        <v>453</v>
      </c>
      <c r="BB40">
        <f t="shared" ref="BB40:BD40" si="12">SUM(BB2:BB38)</f>
        <v>239</v>
      </c>
      <c r="BC40">
        <f t="shared" si="12"/>
        <v>464</v>
      </c>
      <c r="BD40">
        <f t="shared" si="12"/>
        <v>502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A529-3EFB-45EF-B192-07E6EA3D8661}">
  <dimension ref="A1:BD40"/>
  <sheetViews>
    <sheetView topLeftCell="AE1" workbookViewId="0">
      <selection activeCell="AF2" sqref="AF2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1" max="51" width="8.7265625" style="5"/>
  </cols>
  <sheetData>
    <row r="1" spans="1:55" x14ac:dyDescent="0.35">
      <c r="A1" t="s">
        <v>19</v>
      </c>
      <c r="B1" t="s">
        <v>34</v>
      </c>
      <c r="C1" s="4" t="s">
        <v>31</v>
      </c>
      <c r="D1" s="4" t="s">
        <v>32</v>
      </c>
      <c r="E1" s="4" t="s">
        <v>33</v>
      </c>
      <c r="G1" t="s">
        <v>34</v>
      </c>
      <c r="H1" s="4" t="s">
        <v>31</v>
      </c>
      <c r="I1" s="4" t="s">
        <v>32</v>
      </c>
      <c r="J1" s="4" t="s">
        <v>33</v>
      </c>
      <c r="L1" t="s">
        <v>34</v>
      </c>
      <c r="M1" s="4" t="s">
        <v>31</v>
      </c>
      <c r="N1" s="4" t="s">
        <v>32</v>
      </c>
      <c r="O1" s="4" t="s">
        <v>33</v>
      </c>
      <c r="Q1" t="s">
        <v>34</v>
      </c>
      <c r="R1" s="4" t="s">
        <v>31</v>
      </c>
      <c r="S1" s="4" t="s">
        <v>32</v>
      </c>
      <c r="T1" s="4" t="s">
        <v>33</v>
      </c>
      <c r="V1" t="s">
        <v>34</v>
      </c>
      <c r="W1" s="4" t="s">
        <v>31</v>
      </c>
      <c r="X1" s="4" t="s">
        <v>32</v>
      </c>
      <c r="Y1" s="4" t="s">
        <v>33</v>
      </c>
      <c r="AA1" t="s">
        <v>34</v>
      </c>
      <c r="AB1" s="4" t="s">
        <v>31</v>
      </c>
      <c r="AC1" s="4" t="s">
        <v>32</v>
      </c>
      <c r="AD1" s="4" t="s">
        <v>33</v>
      </c>
      <c r="AF1" t="s">
        <v>34</v>
      </c>
      <c r="AG1" s="4" t="s">
        <v>31</v>
      </c>
      <c r="AH1" s="4" t="s">
        <v>32</v>
      </c>
      <c r="AI1" s="4" t="s">
        <v>33</v>
      </c>
      <c r="AK1" t="s">
        <v>34</v>
      </c>
      <c r="AL1" s="4" t="s">
        <v>31</v>
      </c>
      <c r="AM1" s="4" t="s">
        <v>32</v>
      </c>
      <c r="AN1" s="4" t="s">
        <v>33</v>
      </c>
      <c r="AP1" t="s">
        <v>34</v>
      </c>
      <c r="AQ1" s="4" t="s">
        <v>31</v>
      </c>
      <c r="AR1" s="4" t="s">
        <v>32</v>
      </c>
      <c r="AS1" s="4" t="s">
        <v>33</v>
      </c>
      <c r="AU1" t="s">
        <v>34</v>
      </c>
      <c r="AV1" s="4" t="s">
        <v>31</v>
      </c>
      <c r="AW1" s="4" t="s">
        <v>32</v>
      </c>
      <c r="AX1" s="4" t="s">
        <v>33</v>
      </c>
      <c r="AZ1" t="s">
        <v>42</v>
      </c>
      <c r="BA1" t="s">
        <v>43</v>
      </c>
      <c r="BB1" t="s">
        <v>44</v>
      </c>
      <c r="BC1" t="s">
        <v>45</v>
      </c>
    </row>
    <row r="2" spans="1:55" x14ac:dyDescent="0.35">
      <c r="A2">
        <v>0</v>
      </c>
      <c r="B2">
        <v>0</v>
      </c>
      <c r="C2">
        <v>0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L2">
        <v>0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V2">
        <v>0</v>
      </c>
      <c r="W2">
        <v>0</v>
      </c>
      <c r="X2">
        <v>0</v>
      </c>
      <c r="Y2">
        <v>0</v>
      </c>
      <c r="AA2">
        <v>0</v>
      </c>
      <c r="AB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K2">
        <v>0</v>
      </c>
      <c r="AL2">
        <v>0</v>
      </c>
      <c r="AM2">
        <v>0</v>
      </c>
      <c r="AN2">
        <v>0</v>
      </c>
      <c r="AP2">
        <v>0</v>
      </c>
      <c r="AQ2">
        <v>0</v>
      </c>
      <c r="AR2">
        <v>0</v>
      </c>
      <c r="AS2">
        <v>0</v>
      </c>
      <c r="AU2">
        <v>0</v>
      </c>
      <c r="AV2">
        <v>0</v>
      </c>
      <c r="AW2">
        <v>0</v>
      </c>
      <c r="AX2">
        <v>0</v>
      </c>
      <c r="AZ2">
        <f>AVERAGE(AU2,AP2,AK2,AF2,AA2,V2,Q2,L2,G2,B2)</f>
        <v>0</v>
      </c>
      <c r="BA2">
        <f>AVERAGE(AV2,AQ2,AL2,AG2,AB2,W2,R2,M2,H2,C2)</f>
        <v>0</v>
      </c>
      <c r="BB2">
        <f>AVERAGE(AW2,AR2,AM2,AH2,AC2,X2,S2,N2,I2,D2)</f>
        <v>0</v>
      </c>
      <c r="BC2">
        <f>AVERAGE(AX2,AS2,AN2,AI2,AD2,Y2,T2,O2,J2,E2)</f>
        <v>0</v>
      </c>
    </row>
    <row r="3" spans="1:55" x14ac:dyDescent="0.35">
      <c r="A3">
        <v>1</v>
      </c>
      <c r="B3">
        <v>4</v>
      </c>
      <c r="C3">
        <v>4</v>
      </c>
      <c r="D3">
        <v>4</v>
      </c>
      <c r="E3">
        <v>4</v>
      </c>
      <c r="G3">
        <v>4</v>
      </c>
      <c r="H3">
        <v>4</v>
      </c>
      <c r="I3">
        <v>4</v>
      </c>
      <c r="J3">
        <v>4</v>
      </c>
      <c r="L3">
        <v>4</v>
      </c>
      <c r="M3">
        <v>4</v>
      </c>
      <c r="N3">
        <v>4</v>
      </c>
      <c r="O3">
        <v>4</v>
      </c>
      <c r="Q3">
        <v>4</v>
      </c>
      <c r="R3">
        <v>4</v>
      </c>
      <c r="S3">
        <v>4</v>
      </c>
      <c r="T3">
        <v>4</v>
      </c>
      <c r="V3">
        <v>4</v>
      </c>
      <c r="W3">
        <v>4</v>
      </c>
      <c r="X3">
        <v>4</v>
      </c>
      <c r="Y3">
        <v>4</v>
      </c>
      <c r="AA3">
        <v>4</v>
      </c>
      <c r="AB3">
        <v>4</v>
      </c>
      <c r="AC3">
        <v>4</v>
      </c>
      <c r="AD3">
        <v>4</v>
      </c>
      <c r="AF3">
        <v>4</v>
      </c>
      <c r="AG3">
        <v>4</v>
      </c>
      <c r="AH3">
        <v>4</v>
      </c>
      <c r="AI3">
        <v>4</v>
      </c>
      <c r="AK3">
        <v>4</v>
      </c>
      <c r="AL3">
        <v>4</v>
      </c>
      <c r="AM3">
        <v>4</v>
      </c>
      <c r="AN3">
        <v>4</v>
      </c>
      <c r="AP3">
        <v>4</v>
      </c>
      <c r="AQ3">
        <v>4</v>
      </c>
      <c r="AR3">
        <v>4</v>
      </c>
      <c r="AS3">
        <v>4</v>
      </c>
      <c r="AU3">
        <v>4</v>
      </c>
      <c r="AV3">
        <v>4</v>
      </c>
      <c r="AW3">
        <v>4</v>
      </c>
      <c r="AX3">
        <v>4</v>
      </c>
      <c r="AZ3">
        <f t="shared" ref="AZ3:BC38" si="0">AVERAGE(AU3,AP3,AK3,AF3,AA3,V3,Q3,L3,G3,B3)</f>
        <v>4</v>
      </c>
      <c r="BA3">
        <f t="shared" si="0"/>
        <v>4</v>
      </c>
      <c r="BB3">
        <f t="shared" si="0"/>
        <v>4</v>
      </c>
      <c r="BC3">
        <f t="shared" si="0"/>
        <v>4</v>
      </c>
    </row>
    <row r="4" spans="1:55" x14ac:dyDescent="0.35">
      <c r="A4">
        <v>2</v>
      </c>
      <c r="B4">
        <v>4</v>
      </c>
      <c r="C4">
        <v>4</v>
      </c>
      <c r="D4">
        <v>4</v>
      </c>
      <c r="E4">
        <v>4</v>
      </c>
      <c r="G4">
        <v>4</v>
      </c>
      <c r="H4">
        <v>4</v>
      </c>
      <c r="I4">
        <v>4</v>
      </c>
      <c r="J4">
        <v>4</v>
      </c>
      <c r="L4">
        <v>4</v>
      </c>
      <c r="M4">
        <v>4</v>
      </c>
      <c r="N4">
        <v>4</v>
      </c>
      <c r="O4">
        <v>4</v>
      </c>
      <c r="Q4">
        <v>4</v>
      </c>
      <c r="R4">
        <v>4</v>
      </c>
      <c r="S4">
        <v>4</v>
      </c>
      <c r="T4">
        <v>4</v>
      </c>
      <c r="V4">
        <v>4</v>
      </c>
      <c r="W4">
        <v>4</v>
      </c>
      <c r="X4">
        <v>4</v>
      </c>
      <c r="Y4">
        <v>4</v>
      </c>
      <c r="AA4">
        <v>4</v>
      </c>
      <c r="AB4">
        <v>4</v>
      </c>
      <c r="AC4">
        <v>4</v>
      </c>
      <c r="AD4">
        <v>4</v>
      </c>
      <c r="AF4">
        <v>4</v>
      </c>
      <c r="AG4">
        <v>4</v>
      </c>
      <c r="AH4">
        <v>4</v>
      </c>
      <c r="AI4">
        <v>4</v>
      </c>
      <c r="AK4">
        <v>4</v>
      </c>
      <c r="AL4">
        <v>4</v>
      </c>
      <c r="AM4">
        <v>4</v>
      </c>
      <c r="AN4">
        <v>4</v>
      </c>
      <c r="AP4">
        <v>4</v>
      </c>
      <c r="AQ4">
        <v>4</v>
      </c>
      <c r="AR4">
        <v>4</v>
      </c>
      <c r="AS4">
        <v>4</v>
      </c>
      <c r="AU4">
        <v>4</v>
      </c>
      <c r="AV4">
        <v>4</v>
      </c>
      <c r="AW4">
        <v>4</v>
      </c>
      <c r="AX4">
        <v>4</v>
      </c>
      <c r="AZ4">
        <f t="shared" si="0"/>
        <v>4</v>
      </c>
      <c r="BA4">
        <f t="shared" si="0"/>
        <v>4</v>
      </c>
      <c r="BB4">
        <f t="shared" si="0"/>
        <v>4</v>
      </c>
      <c r="BC4">
        <f t="shared" si="0"/>
        <v>4</v>
      </c>
    </row>
    <row r="5" spans="1:55" x14ac:dyDescent="0.35">
      <c r="A5">
        <v>3</v>
      </c>
      <c r="B5">
        <v>4</v>
      </c>
      <c r="C5">
        <v>4</v>
      </c>
      <c r="D5">
        <v>4</v>
      </c>
      <c r="E5">
        <v>4</v>
      </c>
      <c r="G5">
        <v>4</v>
      </c>
      <c r="H5">
        <v>4</v>
      </c>
      <c r="I5">
        <v>4</v>
      </c>
      <c r="J5">
        <v>4</v>
      </c>
      <c r="L5">
        <v>4</v>
      </c>
      <c r="M5">
        <v>4</v>
      </c>
      <c r="N5">
        <v>4</v>
      </c>
      <c r="O5">
        <v>4</v>
      </c>
      <c r="Q5">
        <v>4</v>
      </c>
      <c r="R5">
        <v>4</v>
      </c>
      <c r="S5">
        <v>4</v>
      </c>
      <c r="T5">
        <v>4</v>
      </c>
      <c r="V5">
        <v>4</v>
      </c>
      <c r="W5">
        <v>4</v>
      </c>
      <c r="X5">
        <v>4</v>
      </c>
      <c r="Y5">
        <v>4</v>
      </c>
      <c r="AA5">
        <v>4</v>
      </c>
      <c r="AB5">
        <v>4</v>
      </c>
      <c r="AC5">
        <v>4</v>
      </c>
      <c r="AD5">
        <v>4</v>
      </c>
      <c r="AF5">
        <v>4</v>
      </c>
      <c r="AG5">
        <v>4</v>
      </c>
      <c r="AH5">
        <v>4</v>
      </c>
      <c r="AI5">
        <v>4</v>
      </c>
      <c r="AK5">
        <v>4</v>
      </c>
      <c r="AL5">
        <v>4</v>
      </c>
      <c r="AM5">
        <v>4</v>
      </c>
      <c r="AN5">
        <v>4</v>
      </c>
      <c r="AP5">
        <v>4</v>
      </c>
      <c r="AQ5">
        <v>4</v>
      </c>
      <c r="AR5">
        <v>4</v>
      </c>
      <c r="AS5">
        <v>4</v>
      </c>
      <c r="AU5">
        <v>4</v>
      </c>
      <c r="AV5">
        <v>4</v>
      </c>
      <c r="AW5">
        <v>4</v>
      </c>
      <c r="AX5">
        <v>4</v>
      </c>
      <c r="AZ5">
        <f t="shared" si="0"/>
        <v>4</v>
      </c>
      <c r="BA5">
        <f t="shared" si="0"/>
        <v>4</v>
      </c>
      <c r="BB5">
        <f t="shared" si="0"/>
        <v>4</v>
      </c>
      <c r="BC5">
        <f t="shared" si="0"/>
        <v>4</v>
      </c>
    </row>
    <row r="6" spans="1:55" x14ac:dyDescent="0.35">
      <c r="A6">
        <v>4</v>
      </c>
      <c r="B6">
        <v>4</v>
      </c>
      <c r="C6">
        <v>4</v>
      </c>
      <c r="D6">
        <v>4</v>
      </c>
      <c r="E6">
        <v>4</v>
      </c>
      <c r="G6">
        <v>4</v>
      </c>
      <c r="H6">
        <v>4</v>
      </c>
      <c r="I6">
        <v>4</v>
      </c>
      <c r="J6">
        <v>4</v>
      </c>
      <c r="L6">
        <v>4</v>
      </c>
      <c r="M6">
        <v>4</v>
      </c>
      <c r="N6">
        <v>4</v>
      </c>
      <c r="O6">
        <v>4</v>
      </c>
      <c r="Q6">
        <v>4</v>
      </c>
      <c r="R6">
        <v>4</v>
      </c>
      <c r="S6">
        <v>4</v>
      </c>
      <c r="T6">
        <v>4</v>
      </c>
      <c r="V6">
        <v>4</v>
      </c>
      <c r="W6">
        <v>4</v>
      </c>
      <c r="X6">
        <v>4</v>
      </c>
      <c r="Y6">
        <v>4</v>
      </c>
      <c r="AA6">
        <v>4</v>
      </c>
      <c r="AB6">
        <v>4</v>
      </c>
      <c r="AC6">
        <v>4</v>
      </c>
      <c r="AD6">
        <v>4</v>
      </c>
      <c r="AF6">
        <v>4</v>
      </c>
      <c r="AG6">
        <v>4</v>
      </c>
      <c r="AH6">
        <v>4</v>
      </c>
      <c r="AI6">
        <v>4</v>
      </c>
      <c r="AK6">
        <v>4</v>
      </c>
      <c r="AL6">
        <v>4</v>
      </c>
      <c r="AM6">
        <v>4</v>
      </c>
      <c r="AN6">
        <v>4</v>
      </c>
      <c r="AP6">
        <v>4</v>
      </c>
      <c r="AQ6">
        <v>4</v>
      </c>
      <c r="AR6">
        <v>4</v>
      </c>
      <c r="AS6">
        <v>4</v>
      </c>
      <c r="AU6">
        <v>4</v>
      </c>
      <c r="AV6">
        <v>4</v>
      </c>
      <c r="AW6">
        <v>4</v>
      </c>
      <c r="AX6">
        <v>4</v>
      </c>
      <c r="AZ6">
        <f t="shared" si="0"/>
        <v>4</v>
      </c>
      <c r="BA6">
        <f t="shared" si="0"/>
        <v>4</v>
      </c>
      <c r="BB6">
        <f t="shared" si="0"/>
        <v>4</v>
      </c>
      <c r="BC6">
        <f t="shared" si="0"/>
        <v>4</v>
      </c>
    </row>
    <row r="7" spans="1:55" x14ac:dyDescent="0.35">
      <c r="A7">
        <v>5</v>
      </c>
      <c r="B7">
        <v>8</v>
      </c>
      <c r="C7">
        <v>4</v>
      </c>
      <c r="D7">
        <v>4</v>
      </c>
      <c r="E7">
        <v>4</v>
      </c>
      <c r="G7">
        <v>8</v>
      </c>
      <c r="H7">
        <v>4</v>
      </c>
      <c r="I7">
        <v>4</v>
      </c>
      <c r="J7">
        <v>4</v>
      </c>
      <c r="L7">
        <v>8</v>
      </c>
      <c r="M7">
        <v>4</v>
      </c>
      <c r="N7">
        <v>4</v>
      </c>
      <c r="O7">
        <v>4</v>
      </c>
      <c r="Q7">
        <v>8</v>
      </c>
      <c r="R7">
        <v>4</v>
      </c>
      <c r="S7">
        <v>4</v>
      </c>
      <c r="T7">
        <v>4</v>
      </c>
      <c r="V7">
        <v>8</v>
      </c>
      <c r="W7">
        <v>4</v>
      </c>
      <c r="X7">
        <v>4</v>
      </c>
      <c r="Y7">
        <v>4</v>
      </c>
      <c r="AA7">
        <v>8</v>
      </c>
      <c r="AB7">
        <v>4</v>
      </c>
      <c r="AC7">
        <v>4</v>
      </c>
      <c r="AD7">
        <v>4</v>
      </c>
      <c r="AF7">
        <v>8</v>
      </c>
      <c r="AG7">
        <v>4</v>
      </c>
      <c r="AH7">
        <v>4</v>
      </c>
      <c r="AI7">
        <v>4</v>
      </c>
      <c r="AK7">
        <v>8</v>
      </c>
      <c r="AL7">
        <v>4</v>
      </c>
      <c r="AM7">
        <v>4</v>
      </c>
      <c r="AN7">
        <v>4</v>
      </c>
      <c r="AP7">
        <v>8</v>
      </c>
      <c r="AQ7">
        <v>4</v>
      </c>
      <c r="AR7">
        <v>4</v>
      </c>
      <c r="AS7">
        <v>4</v>
      </c>
      <c r="AU7">
        <v>8</v>
      </c>
      <c r="AV7">
        <v>4</v>
      </c>
      <c r="AW7">
        <v>4</v>
      </c>
      <c r="AX7">
        <v>4</v>
      </c>
      <c r="AZ7">
        <f t="shared" si="0"/>
        <v>8</v>
      </c>
      <c r="BA7">
        <f t="shared" si="0"/>
        <v>4</v>
      </c>
      <c r="BB7">
        <f t="shared" si="0"/>
        <v>4</v>
      </c>
      <c r="BC7">
        <f t="shared" si="0"/>
        <v>4</v>
      </c>
    </row>
    <row r="8" spans="1:55" x14ac:dyDescent="0.35">
      <c r="A8">
        <v>6</v>
      </c>
      <c r="B8">
        <v>8</v>
      </c>
      <c r="C8">
        <v>0</v>
      </c>
      <c r="D8">
        <v>4</v>
      </c>
      <c r="E8">
        <v>0</v>
      </c>
      <c r="G8">
        <v>8</v>
      </c>
      <c r="H8">
        <v>0</v>
      </c>
      <c r="I8">
        <v>4</v>
      </c>
      <c r="J8">
        <v>0</v>
      </c>
      <c r="L8">
        <v>8</v>
      </c>
      <c r="M8">
        <v>0</v>
      </c>
      <c r="N8">
        <v>4</v>
      </c>
      <c r="O8">
        <v>0</v>
      </c>
      <c r="Q8">
        <v>8</v>
      </c>
      <c r="R8">
        <v>0</v>
      </c>
      <c r="S8">
        <v>4</v>
      </c>
      <c r="T8">
        <v>0</v>
      </c>
      <c r="V8">
        <v>8</v>
      </c>
      <c r="W8">
        <v>0</v>
      </c>
      <c r="X8">
        <v>4</v>
      </c>
      <c r="Y8">
        <v>0</v>
      </c>
      <c r="AA8">
        <v>8</v>
      </c>
      <c r="AB8">
        <v>0</v>
      </c>
      <c r="AC8">
        <v>4</v>
      </c>
      <c r="AD8">
        <v>0</v>
      </c>
      <c r="AF8">
        <v>8</v>
      </c>
      <c r="AG8">
        <v>0</v>
      </c>
      <c r="AH8">
        <v>4</v>
      </c>
      <c r="AI8">
        <v>0</v>
      </c>
      <c r="AK8">
        <v>8</v>
      </c>
      <c r="AL8">
        <v>0</v>
      </c>
      <c r="AM8">
        <v>4</v>
      </c>
      <c r="AN8">
        <v>0</v>
      </c>
      <c r="AP8">
        <v>8</v>
      </c>
      <c r="AQ8">
        <v>0</v>
      </c>
      <c r="AR8">
        <v>4</v>
      </c>
      <c r="AS8">
        <v>0</v>
      </c>
      <c r="AU8">
        <v>8</v>
      </c>
      <c r="AV8">
        <v>0</v>
      </c>
      <c r="AW8">
        <v>4</v>
      </c>
      <c r="AX8">
        <v>0</v>
      </c>
      <c r="AZ8">
        <f t="shared" si="0"/>
        <v>8</v>
      </c>
      <c r="BA8">
        <f t="shared" si="0"/>
        <v>0</v>
      </c>
      <c r="BB8">
        <f t="shared" si="0"/>
        <v>4</v>
      </c>
      <c r="BC8">
        <f t="shared" si="0"/>
        <v>0</v>
      </c>
    </row>
    <row r="9" spans="1:55" x14ac:dyDescent="0.35">
      <c r="A9">
        <v>7</v>
      </c>
      <c r="B9">
        <v>8</v>
      </c>
      <c r="C9">
        <v>0</v>
      </c>
      <c r="D9">
        <v>8</v>
      </c>
      <c r="E9">
        <v>0</v>
      </c>
      <c r="G9">
        <v>8</v>
      </c>
      <c r="H9">
        <v>0</v>
      </c>
      <c r="I9">
        <v>8</v>
      </c>
      <c r="J9">
        <v>0</v>
      </c>
      <c r="L9">
        <v>8</v>
      </c>
      <c r="M9">
        <v>0</v>
      </c>
      <c r="N9">
        <v>8</v>
      </c>
      <c r="O9">
        <v>0</v>
      </c>
      <c r="Q9">
        <v>8</v>
      </c>
      <c r="R9">
        <v>0</v>
      </c>
      <c r="S9">
        <v>8</v>
      </c>
      <c r="T9">
        <v>0</v>
      </c>
      <c r="V9">
        <v>8</v>
      </c>
      <c r="W9">
        <v>0</v>
      </c>
      <c r="X9">
        <v>8</v>
      </c>
      <c r="Y9">
        <v>0</v>
      </c>
      <c r="AA9">
        <v>8</v>
      </c>
      <c r="AB9">
        <v>0</v>
      </c>
      <c r="AC9">
        <v>8</v>
      </c>
      <c r="AD9">
        <v>0</v>
      </c>
      <c r="AF9">
        <v>8</v>
      </c>
      <c r="AG9">
        <v>0</v>
      </c>
      <c r="AH9">
        <v>8</v>
      </c>
      <c r="AI9">
        <v>0</v>
      </c>
      <c r="AK9">
        <v>8</v>
      </c>
      <c r="AL9">
        <v>0</v>
      </c>
      <c r="AM9">
        <v>8</v>
      </c>
      <c r="AN9">
        <v>0</v>
      </c>
      <c r="AP9">
        <v>8</v>
      </c>
      <c r="AQ9">
        <v>0</v>
      </c>
      <c r="AR9">
        <v>8</v>
      </c>
      <c r="AS9">
        <v>0</v>
      </c>
      <c r="AU9">
        <v>8</v>
      </c>
      <c r="AV9">
        <v>0</v>
      </c>
      <c r="AW9">
        <v>8</v>
      </c>
      <c r="AX9">
        <v>0</v>
      </c>
      <c r="AZ9">
        <f t="shared" si="0"/>
        <v>8</v>
      </c>
      <c r="BA9">
        <f t="shared" si="0"/>
        <v>0</v>
      </c>
      <c r="BB9">
        <f t="shared" si="0"/>
        <v>8</v>
      </c>
      <c r="BC9">
        <f t="shared" si="0"/>
        <v>0</v>
      </c>
    </row>
    <row r="10" spans="1:55" x14ac:dyDescent="0.35">
      <c r="A10">
        <v>8</v>
      </c>
      <c r="B10">
        <v>8</v>
      </c>
      <c r="C10">
        <v>0</v>
      </c>
      <c r="D10">
        <v>9</v>
      </c>
      <c r="E10">
        <v>1</v>
      </c>
      <c r="G10">
        <v>8</v>
      </c>
      <c r="H10">
        <v>0</v>
      </c>
      <c r="I10">
        <v>9</v>
      </c>
      <c r="J10">
        <v>1</v>
      </c>
      <c r="L10">
        <v>8</v>
      </c>
      <c r="M10">
        <v>0</v>
      </c>
      <c r="N10">
        <v>9</v>
      </c>
      <c r="O10">
        <v>1</v>
      </c>
      <c r="Q10">
        <v>8</v>
      </c>
      <c r="R10">
        <v>0</v>
      </c>
      <c r="S10">
        <v>9</v>
      </c>
      <c r="T10">
        <v>1</v>
      </c>
      <c r="V10">
        <v>8</v>
      </c>
      <c r="W10">
        <v>0</v>
      </c>
      <c r="X10">
        <v>9</v>
      </c>
      <c r="Y10">
        <v>1</v>
      </c>
      <c r="AA10">
        <v>8</v>
      </c>
      <c r="AB10">
        <v>0</v>
      </c>
      <c r="AC10">
        <v>9</v>
      </c>
      <c r="AD10">
        <v>1</v>
      </c>
      <c r="AF10">
        <v>8</v>
      </c>
      <c r="AG10">
        <v>0</v>
      </c>
      <c r="AH10">
        <v>9</v>
      </c>
      <c r="AI10">
        <v>1</v>
      </c>
      <c r="AK10">
        <v>8</v>
      </c>
      <c r="AL10">
        <v>0</v>
      </c>
      <c r="AM10">
        <v>9</v>
      </c>
      <c r="AN10">
        <v>1</v>
      </c>
      <c r="AP10">
        <v>8</v>
      </c>
      <c r="AQ10">
        <v>0</v>
      </c>
      <c r="AR10">
        <v>9</v>
      </c>
      <c r="AS10">
        <v>1</v>
      </c>
      <c r="AU10">
        <v>8</v>
      </c>
      <c r="AV10">
        <v>0</v>
      </c>
      <c r="AW10">
        <v>9</v>
      </c>
      <c r="AX10">
        <v>1</v>
      </c>
      <c r="AZ10">
        <f t="shared" si="0"/>
        <v>8</v>
      </c>
      <c r="BA10">
        <f t="shared" si="0"/>
        <v>0</v>
      </c>
      <c r="BB10">
        <f t="shared" si="0"/>
        <v>9</v>
      </c>
      <c r="BC10">
        <f t="shared" si="0"/>
        <v>1</v>
      </c>
    </row>
    <row r="11" spans="1:55" x14ac:dyDescent="0.35">
      <c r="A11">
        <v>9</v>
      </c>
      <c r="B11">
        <v>8</v>
      </c>
      <c r="C11">
        <v>0</v>
      </c>
      <c r="D11">
        <v>10</v>
      </c>
      <c r="E11">
        <v>8</v>
      </c>
      <c r="G11">
        <v>8</v>
      </c>
      <c r="H11">
        <v>0</v>
      </c>
      <c r="I11">
        <v>10</v>
      </c>
      <c r="J11">
        <v>8</v>
      </c>
      <c r="L11">
        <v>8</v>
      </c>
      <c r="M11">
        <v>0</v>
      </c>
      <c r="N11">
        <v>10</v>
      </c>
      <c r="O11">
        <v>8</v>
      </c>
      <c r="Q11">
        <v>8</v>
      </c>
      <c r="R11">
        <v>0</v>
      </c>
      <c r="S11">
        <v>10</v>
      </c>
      <c r="T11">
        <v>8</v>
      </c>
      <c r="V11">
        <v>8</v>
      </c>
      <c r="W11">
        <v>0</v>
      </c>
      <c r="X11">
        <v>10</v>
      </c>
      <c r="Y11">
        <v>8</v>
      </c>
      <c r="AA11">
        <v>8</v>
      </c>
      <c r="AB11">
        <v>0</v>
      </c>
      <c r="AC11">
        <v>10</v>
      </c>
      <c r="AD11">
        <v>8</v>
      </c>
      <c r="AF11">
        <v>8</v>
      </c>
      <c r="AG11">
        <v>0</v>
      </c>
      <c r="AH11">
        <v>10</v>
      </c>
      <c r="AI11">
        <v>8</v>
      </c>
      <c r="AK11">
        <v>8</v>
      </c>
      <c r="AL11">
        <v>0</v>
      </c>
      <c r="AM11">
        <v>10</v>
      </c>
      <c r="AN11">
        <v>8</v>
      </c>
      <c r="AP11">
        <v>8</v>
      </c>
      <c r="AQ11">
        <v>0</v>
      </c>
      <c r="AR11">
        <v>10</v>
      </c>
      <c r="AS11">
        <v>8</v>
      </c>
      <c r="AU11">
        <v>8</v>
      </c>
      <c r="AV11">
        <v>0</v>
      </c>
      <c r="AW11">
        <v>10</v>
      </c>
      <c r="AX11">
        <v>8</v>
      </c>
      <c r="AZ11">
        <f t="shared" si="0"/>
        <v>8</v>
      </c>
      <c r="BA11">
        <f t="shared" si="0"/>
        <v>0</v>
      </c>
      <c r="BB11">
        <f t="shared" si="0"/>
        <v>10</v>
      </c>
      <c r="BC11">
        <f t="shared" si="0"/>
        <v>8</v>
      </c>
    </row>
    <row r="12" spans="1:55" x14ac:dyDescent="0.35">
      <c r="A12">
        <v>10</v>
      </c>
      <c r="B12">
        <v>8</v>
      </c>
      <c r="C12">
        <v>0</v>
      </c>
      <c r="D12">
        <v>10</v>
      </c>
      <c r="E12">
        <v>12</v>
      </c>
      <c r="G12">
        <v>8</v>
      </c>
      <c r="H12">
        <v>0</v>
      </c>
      <c r="I12">
        <v>10</v>
      </c>
      <c r="J12">
        <v>12</v>
      </c>
      <c r="L12">
        <v>8</v>
      </c>
      <c r="M12">
        <v>0</v>
      </c>
      <c r="N12">
        <v>10</v>
      </c>
      <c r="O12">
        <v>12</v>
      </c>
      <c r="Q12">
        <v>8</v>
      </c>
      <c r="R12">
        <v>0</v>
      </c>
      <c r="S12">
        <v>10</v>
      </c>
      <c r="T12">
        <v>12</v>
      </c>
      <c r="V12">
        <v>8</v>
      </c>
      <c r="W12">
        <v>0</v>
      </c>
      <c r="X12">
        <v>10</v>
      </c>
      <c r="Y12">
        <v>12</v>
      </c>
      <c r="AA12">
        <v>8</v>
      </c>
      <c r="AB12">
        <v>0</v>
      </c>
      <c r="AC12">
        <v>10</v>
      </c>
      <c r="AD12">
        <v>12</v>
      </c>
      <c r="AF12">
        <v>8</v>
      </c>
      <c r="AG12">
        <v>0</v>
      </c>
      <c r="AH12">
        <v>10</v>
      </c>
      <c r="AI12">
        <v>12</v>
      </c>
      <c r="AK12">
        <v>8</v>
      </c>
      <c r="AL12">
        <v>0</v>
      </c>
      <c r="AM12">
        <v>10</v>
      </c>
      <c r="AN12">
        <v>12</v>
      </c>
      <c r="AP12">
        <v>8</v>
      </c>
      <c r="AQ12">
        <v>0</v>
      </c>
      <c r="AR12">
        <v>10</v>
      </c>
      <c r="AS12">
        <v>12</v>
      </c>
      <c r="AU12">
        <v>8</v>
      </c>
      <c r="AV12">
        <v>0</v>
      </c>
      <c r="AW12">
        <v>10</v>
      </c>
      <c r="AX12">
        <v>12</v>
      </c>
      <c r="AZ12">
        <f t="shared" si="0"/>
        <v>8</v>
      </c>
      <c r="BA12">
        <f t="shared" si="0"/>
        <v>0</v>
      </c>
      <c r="BB12">
        <f t="shared" si="0"/>
        <v>10</v>
      </c>
      <c r="BC12">
        <f t="shared" si="0"/>
        <v>12</v>
      </c>
    </row>
    <row r="13" spans="1:55" x14ac:dyDescent="0.35">
      <c r="A13">
        <v>11</v>
      </c>
      <c r="B13">
        <v>8</v>
      </c>
      <c r="C13">
        <v>3</v>
      </c>
      <c r="D13">
        <v>10</v>
      </c>
      <c r="E13">
        <v>15</v>
      </c>
      <c r="G13">
        <v>8</v>
      </c>
      <c r="H13">
        <v>3</v>
      </c>
      <c r="I13">
        <v>10</v>
      </c>
      <c r="J13">
        <v>15</v>
      </c>
      <c r="L13">
        <v>8</v>
      </c>
      <c r="M13">
        <v>3</v>
      </c>
      <c r="N13">
        <v>10</v>
      </c>
      <c r="O13">
        <v>15</v>
      </c>
      <c r="Q13">
        <v>8</v>
      </c>
      <c r="R13">
        <v>3</v>
      </c>
      <c r="S13">
        <v>10</v>
      </c>
      <c r="T13">
        <v>15</v>
      </c>
      <c r="V13">
        <v>8</v>
      </c>
      <c r="W13">
        <v>3</v>
      </c>
      <c r="X13">
        <v>10</v>
      </c>
      <c r="Y13">
        <v>15</v>
      </c>
      <c r="AA13">
        <v>8</v>
      </c>
      <c r="AB13">
        <v>3</v>
      </c>
      <c r="AC13">
        <v>10</v>
      </c>
      <c r="AD13">
        <v>15</v>
      </c>
      <c r="AF13">
        <v>8</v>
      </c>
      <c r="AG13">
        <v>3</v>
      </c>
      <c r="AH13">
        <v>10</v>
      </c>
      <c r="AI13">
        <v>15</v>
      </c>
      <c r="AK13">
        <v>8</v>
      </c>
      <c r="AL13">
        <v>3</v>
      </c>
      <c r="AM13">
        <v>10</v>
      </c>
      <c r="AN13">
        <v>15</v>
      </c>
      <c r="AP13">
        <v>8</v>
      </c>
      <c r="AQ13">
        <v>3</v>
      </c>
      <c r="AR13">
        <v>10</v>
      </c>
      <c r="AS13">
        <v>15</v>
      </c>
      <c r="AU13">
        <v>8</v>
      </c>
      <c r="AV13">
        <v>3</v>
      </c>
      <c r="AW13">
        <v>10</v>
      </c>
      <c r="AX13">
        <v>15</v>
      </c>
      <c r="AZ13">
        <f t="shared" si="0"/>
        <v>8</v>
      </c>
      <c r="BA13">
        <f t="shared" si="0"/>
        <v>3</v>
      </c>
      <c r="BB13">
        <f t="shared" si="0"/>
        <v>10</v>
      </c>
      <c r="BC13">
        <f t="shared" si="0"/>
        <v>15</v>
      </c>
    </row>
    <row r="14" spans="1:55" x14ac:dyDescent="0.35">
      <c r="A14">
        <v>12</v>
      </c>
      <c r="B14">
        <v>8</v>
      </c>
      <c r="C14">
        <v>15</v>
      </c>
      <c r="D14">
        <v>9</v>
      </c>
      <c r="E14">
        <v>16</v>
      </c>
      <c r="G14">
        <v>8</v>
      </c>
      <c r="H14">
        <v>15</v>
      </c>
      <c r="I14">
        <v>9</v>
      </c>
      <c r="J14">
        <v>16</v>
      </c>
      <c r="L14">
        <v>8</v>
      </c>
      <c r="M14">
        <v>15</v>
      </c>
      <c r="N14">
        <v>9</v>
      </c>
      <c r="O14">
        <v>16</v>
      </c>
      <c r="Q14">
        <v>8</v>
      </c>
      <c r="R14">
        <v>15</v>
      </c>
      <c r="S14">
        <v>9</v>
      </c>
      <c r="T14">
        <v>16</v>
      </c>
      <c r="V14">
        <v>8</v>
      </c>
      <c r="W14">
        <v>15</v>
      </c>
      <c r="X14">
        <v>9</v>
      </c>
      <c r="Y14">
        <v>16</v>
      </c>
      <c r="AA14">
        <v>8</v>
      </c>
      <c r="AB14">
        <v>15</v>
      </c>
      <c r="AC14">
        <v>9</v>
      </c>
      <c r="AD14">
        <v>16</v>
      </c>
      <c r="AF14">
        <v>8</v>
      </c>
      <c r="AG14">
        <v>15</v>
      </c>
      <c r="AH14">
        <v>9</v>
      </c>
      <c r="AI14">
        <v>16</v>
      </c>
      <c r="AK14">
        <v>8</v>
      </c>
      <c r="AL14">
        <v>15</v>
      </c>
      <c r="AM14">
        <v>9</v>
      </c>
      <c r="AN14">
        <v>16</v>
      </c>
      <c r="AP14">
        <v>8</v>
      </c>
      <c r="AQ14">
        <v>15</v>
      </c>
      <c r="AR14">
        <v>9</v>
      </c>
      <c r="AS14">
        <v>16</v>
      </c>
      <c r="AU14">
        <v>8</v>
      </c>
      <c r="AV14">
        <v>15</v>
      </c>
      <c r="AW14">
        <v>9</v>
      </c>
      <c r="AX14">
        <v>16</v>
      </c>
      <c r="AZ14">
        <f t="shared" si="0"/>
        <v>8</v>
      </c>
      <c r="BA14">
        <f t="shared" si="0"/>
        <v>15</v>
      </c>
      <c r="BB14">
        <f t="shared" si="0"/>
        <v>9</v>
      </c>
      <c r="BC14">
        <f t="shared" si="0"/>
        <v>16</v>
      </c>
    </row>
    <row r="15" spans="1:55" x14ac:dyDescent="0.35">
      <c r="A15">
        <v>13</v>
      </c>
      <c r="B15">
        <v>8</v>
      </c>
      <c r="C15">
        <v>23</v>
      </c>
      <c r="D15">
        <v>9</v>
      </c>
      <c r="E15">
        <v>14</v>
      </c>
      <c r="G15">
        <v>8</v>
      </c>
      <c r="H15">
        <v>23</v>
      </c>
      <c r="I15">
        <v>9</v>
      </c>
      <c r="J15">
        <v>14</v>
      </c>
      <c r="L15">
        <v>8</v>
      </c>
      <c r="M15">
        <v>23</v>
      </c>
      <c r="N15">
        <v>9</v>
      </c>
      <c r="O15">
        <v>14</v>
      </c>
      <c r="Q15">
        <v>8</v>
      </c>
      <c r="R15">
        <v>23</v>
      </c>
      <c r="S15">
        <v>9</v>
      </c>
      <c r="T15">
        <v>14</v>
      </c>
      <c r="V15">
        <v>8</v>
      </c>
      <c r="W15">
        <v>23</v>
      </c>
      <c r="X15">
        <v>9</v>
      </c>
      <c r="Y15">
        <v>14</v>
      </c>
      <c r="AA15">
        <v>8</v>
      </c>
      <c r="AB15">
        <v>23</v>
      </c>
      <c r="AC15">
        <v>9</v>
      </c>
      <c r="AD15">
        <v>14</v>
      </c>
      <c r="AF15">
        <v>8</v>
      </c>
      <c r="AG15">
        <v>23</v>
      </c>
      <c r="AH15">
        <v>9</v>
      </c>
      <c r="AI15">
        <v>14</v>
      </c>
      <c r="AK15">
        <v>8</v>
      </c>
      <c r="AL15">
        <v>23</v>
      </c>
      <c r="AM15">
        <v>9</v>
      </c>
      <c r="AN15">
        <v>14</v>
      </c>
      <c r="AP15">
        <v>8</v>
      </c>
      <c r="AQ15">
        <v>23</v>
      </c>
      <c r="AR15">
        <v>9</v>
      </c>
      <c r="AS15">
        <v>14</v>
      </c>
      <c r="AU15">
        <v>8</v>
      </c>
      <c r="AV15">
        <v>23</v>
      </c>
      <c r="AW15">
        <v>9</v>
      </c>
      <c r="AX15">
        <v>14</v>
      </c>
      <c r="AZ15">
        <f t="shared" si="0"/>
        <v>8</v>
      </c>
      <c r="BA15">
        <f t="shared" si="0"/>
        <v>23</v>
      </c>
      <c r="BB15">
        <f t="shared" si="0"/>
        <v>9</v>
      </c>
      <c r="BC15">
        <f t="shared" si="0"/>
        <v>14</v>
      </c>
    </row>
    <row r="16" spans="1:55" x14ac:dyDescent="0.35">
      <c r="A16">
        <v>14</v>
      </c>
      <c r="B16">
        <v>8</v>
      </c>
      <c r="C16">
        <v>27</v>
      </c>
      <c r="D16">
        <v>10</v>
      </c>
      <c r="E16">
        <v>12</v>
      </c>
      <c r="G16">
        <v>8</v>
      </c>
      <c r="H16">
        <v>27</v>
      </c>
      <c r="I16">
        <v>10</v>
      </c>
      <c r="J16">
        <v>12</v>
      </c>
      <c r="L16">
        <v>8</v>
      </c>
      <c r="M16">
        <v>27</v>
      </c>
      <c r="N16">
        <v>10</v>
      </c>
      <c r="O16">
        <v>12</v>
      </c>
      <c r="Q16">
        <v>8</v>
      </c>
      <c r="R16">
        <v>27</v>
      </c>
      <c r="S16">
        <v>10</v>
      </c>
      <c r="T16">
        <v>12</v>
      </c>
      <c r="V16">
        <v>8</v>
      </c>
      <c r="W16">
        <v>27</v>
      </c>
      <c r="X16">
        <v>10</v>
      </c>
      <c r="Y16">
        <v>12</v>
      </c>
      <c r="AA16">
        <v>8</v>
      </c>
      <c r="AB16">
        <v>27</v>
      </c>
      <c r="AC16">
        <v>10</v>
      </c>
      <c r="AD16">
        <v>12</v>
      </c>
      <c r="AF16">
        <v>8</v>
      </c>
      <c r="AG16">
        <v>27</v>
      </c>
      <c r="AH16">
        <v>10</v>
      </c>
      <c r="AI16">
        <v>12</v>
      </c>
      <c r="AK16">
        <v>8</v>
      </c>
      <c r="AL16">
        <v>27</v>
      </c>
      <c r="AM16">
        <v>10</v>
      </c>
      <c r="AN16">
        <v>12</v>
      </c>
      <c r="AP16">
        <v>8</v>
      </c>
      <c r="AQ16">
        <v>27</v>
      </c>
      <c r="AR16">
        <v>10</v>
      </c>
      <c r="AS16">
        <v>12</v>
      </c>
      <c r="AU16">
        <v>8</v>
      </c>
      <c r="AV16">
        <v>27</v>
      </c>
      <c r="AW16">
        <v>10</v>
      </c>
      <c r="AX16">
        <v>12</v>
      </c>
      <c r="AZ16">
        <f t="shared" si="0"/>
        <v>8</v>
      </c>
      <c r="BA16">
        <f t="shared" si="0"/>
        <v>27</v>
      </c>
      <c r="BB16">
        <f t="shared" si="0"/>
        <v>10</v>
      </c>
      <c r="BC16">
        <f t="shared" si="0"/>
        <v>12</v>
      </c>
    </row>
    <row r="17" spans="1:55" x14ac:dyDescent="0.35">
      <c r="A17">
        <v>15</v>
      </c>
      <c r="B17">
        <v>8</v>
      </c>
      <c r="C17">
        <v>24</v>
      </c>
      <c r="D17">
        <v>9</v>
      </c>
      <c r="E17">
        <v>11</v>
      </c>
      <c r="G17">
        <v>8</v>
      </c>
      <c r="H17">
        <v>24</v>
      </c>
      <c r="I17">
        <v>9</v>
      </c>
      <c r="J17">
        <v>11</v>
      </c>
      <c r="L17">
        <v>8</v>
      </c>
      <c r="M17">
        <v>24</v>
      </c>
      <c r="N17">
        <v>9</v>
      </c>
      <c r="O17">
        <v>11</v>
      </c>
      <c r="Q17">
        <v>8</v>
      </c>
      <c r="R17">
        <v>24</v>
      </c>
      <c r="S17">
        <v>9</v>
      </c>
      <c r="T17">
        <v>11</v>
      </c>
      <c r="V17">
        <v>8</v>
      </c>
      <c r="W17">
        <v>24</v>
      </c>
      <c r="X17">
        <v>9</v>
      </c>
      <c r="Y17">
        <v>11</v>
      </c>
      <c r="AA17">
        <v>8</v>
      </c>
      <c r="AB17">
        <v>24</v>
      </c>
      <c r="AC17">
        <v>9</v>
      </c>
      <c r="AD17">
        <v>11</v>
      </c>
      <c r="AF17">
        <v>8</v>
      </c>
      <c r="AG17">
        <v>24</v>
      </c>
      <c r="AH17">
        <v>9</v>
      </c>
      <c r="AI17">
        <v>11</v>
      </c>
      <c r="AK17">
        <v>8</v>
      </c>
      <c r="AL17">
        <v>24</v>
      </c>
      <c r="AM17">
        <v>9</v>
      </c>
      <c r="AN17">
        <v>11</v>
      </c>
      <c r="AP17">
        <v>8</v>
      </c>
      <c r="AQ17">
        <v>24</v>
      </c>
      <c r="AR17">
        <v>9</v>
      </c>
      <c r="AS17">
        <v>11</v>
      </c>
      <c r="AU17">
        <v>8</v>
      </c>
      <c r="AV17">
        <v>24</v>
      </c>
      <c r="AW17">
        <v>9</v>
      </c>
      <c r="AX17">
        <v>11</v>
      </c>
      <c r="AZ17">
        <f t="shared" si="0"/>
        <v>8</v>
      </c>
      <c r="BA17">
        <f t="shared" si="0"/>
        <v>24</v>
      </c>
      <c r="BB17">
        <f t="shared" si="0"/>
        <v>9</v>
      </c>
      <c r="BC17">
        <f t="shared" si="0"/>
        <v>11</v>
      </c>
    </row>
    <row r="18" spans="1:55" x14ac:dyDescent="0.35">
      <c r="A18">
        <v>16</v>
      </c>
      <c r="B18">
        <v>8</v>
      </c>
      <c r="C18">
        <v>19</v>
      </c>
      <c r="D18">
        <v>8</v>
      </c>
      <c r="E18">
        <v>13</v>
      </c>
      <c r="G18">
        <v>8</v>
      </c>
      <c r="H18">
        <v>19</v>
      </c>
      <c r="I18">
        <v>8</v>
      </c>
      <c r="J18">
        <v>13</v>
      </c>
      <c r="L18">
        <v>8</v>
      </c>
      <c r="M18">
        <v>19</v>
      </c>
      <c r="N18">
        <v>8</v>
      </c>
      <c r="O18">
        <v>13</v>
      </c>
      <c r="Q18">
        <v>8</v>
      </c>
      <c r="R18">
        <v>19</v>
      </c>
      <c r="S18">
        <v>8</v>
      </c>
      <c r="T18">
        <v>13</v>
      </c>
      <c r="V18">
        <v>8</v>
      </c>
      <c r="W18">
        <v>19</v>
      </c>
      <c r="X18">
        <v>8</v>
      </c>
      <c r="Y18">
        <v>13</v>
      </c>
      <c r="AA18">
        <v>8</v>
      </c>
      <c r="AB18">
        <v>19</v>
      </c>
      <c r="AC18">
        <v>8</v>
      </c>
      <c r="AD18">
        <v>13</v>
      </c>
      <c r="AF18">
        <v>8</v>
      </c>
      <c r="AG18">
        <v>19</v>
      </c>
      <c r="AH18">
        <v>8</v>
      </c>
      <c r="AI18">
        <v>13</v>
      </c>
      <c r="AK18">
        <v>8</v>
      </c>
      <c r="AL18">
        <v>19</v>
      </c>
      <c r="AM18">
        <v>8</v>
      </c>
      <c r="AN18">
        <v>13</v>
      </c>
      <c r="AP18">
        <v>8</v>
      </c>
      <c r="AQ18">
        <v>19</v>
      </c>
      <c r="AR18">
        <v>8</v>
      </c>
      <c r="AS18">
        <v>13</v>
      </c>
      <c r="AU18">
        <v>8</v>
      </c>
      <c r="AV18">
        <v>19</v>
      </c>
      <c r="AW18">
        <v>8</v>
      </c>
      <c r="AX18">
        <v>13</v>
      </c>
      <c r="AZ18">
        <f t="shared" si="0"/>
        <v>8</v>
      </c>
      <c r="BA18">
        <f t="shared" si="0"/>
        <v>19</v>
      </c>
      <c r="BB18">
        <f t="shared" si="0"/>
        <v>8</v>
      </c>
      <c r="BC18">
        <f t="shared" si="0"/>
        <v>13</v>
      </c>
    </row>
    <row r="19" spans="1:55" x14ac:dyDescent="0.35">
      <c r="A19">
        <v>17</v>
      </c>
      <c r="B19">
        <v>8</v>
      </c>
      <c r="C19">
        <v>15</v>
      </c>
      <c r="D19">
        <v>9</v>
      </c>
      <c r="E19">
        <v>11</v>
      </c>
      <c r="G19">
        <v>8</v>
      </c>
      <c r="H19">
        <v>15</v>
      </c>
      <c r="I19">
        <v>9</v>
      </c>
      <c r="J19">
        <v>11</v>
      </c>
      <c r="L19">
        <v>8</v>
      </c>
      <c r="M19">
        <v>15</v>
      </c>
      <c r="N19">
        <v>9</v>
      </c>
      <c r="O19">
        <v>11</v>
      </c>
      <c r="Q19">
        <v>8</v>
      </c>
      <c r="R19">
        <v>15</v>
      </c>
      <c r="S19">
        <v>9</v>
      </c>
      <c r="T19">
        <v>11</v>
      </c>
      <c r="V19">
        <v>8</v>
      </c>
      <c r="W19">
        <v>15</v>
      </c>
      <c r="X19">
        <v>9</v>
      </c>
      <c r="Y19">
        <v>11</v>
      </c>
      <c r="AA19">
        <v>8</v>
      </c>
      <c r="AB19">
        <v>15</v>
      </c>
      <c r="AC19">
        <v>9</v>
      </c>
      <c r="AD19">
        <v>11</v>
      </c>
      <c r="AF19">
        <v>8</v>
      </c>
      <c r="AG19">
        <v>15</v>
      </c>
      <c r="AH19">
        <v>9</v>
      </c>
      <c r="AI19">
        <v>11</v>
      </c>
      <c r="AK19">
        <v>8</v>
      </c>
      <c r="AL19">
        <v>15</v>
      </c>
      <c r="AM19">
        <v>9</v>
      </c>
      <c r="AN19">
        <v>11</v>
      </c>
      <c r="AP19">
        <v>8</v>
      </c>
      <c r="AQ19">
        <v>15</v>
      </c>
      <c r="AR19">
        <v>9</v>
      </c>
      <c r="AS19">
        <v>11</v>
      </c>
      <c r="AU19">
        <v>8</v>
      </c>
      <c r="AV19">
        <v>15</v>
      </c>
      <c r="AW19">
        <v>9</v>
      </c>
      <c r="AX19">
        <v>11</v>
      </c>
      <c r="AZ19">
        <f t="shared" si="0"/>
        <v>8</v>
      </c>
      <c r="BA19">
        <f t="shared" si="0"/>
        <v>15</v>
      </c>
      <c r="BB19">
        <f t="shared" si="0"/>
        <v>9</v>
      </c>
      <c r="BC19">
        <f t="shared" si="0"/>
        <v>11</v>
      </c>
    </row>
    <row r="20" spans="1:55" x14ac:dyDescent="0.35">
      <c r="A20">
        <v>18</v>
      </c>
      <c r="B20">
        <v>8</v>
      </c>
      <c r="C20">
        <v>16</v>
      </c>
      <c r="D20">
        <v>10</v>
      </c>
      <c r="E20">
        <v>8</v>
      </c>
      <c r="G20">
        <v>8</v>
      </c>
      <c r="H20">
        <v>16</v>
      </c>
      <c r="I20">
        <v>10</v>
      </c>
      <c r="J20">
        <v>8</v>
      </c>
      <c r="L20">
        <v>8</v>
      </c>
      <c r="M20">
        <v>16</v>
      </c>
      <c r="N20">
        <v>10</v>
      </c>
      <c r="O20">
        <v>8</v>
      </c>
      <c r="Q20">
        <v>8</v>
      </c>
      <c r="R20">
        <v>16</v>
      </c>
      <c r="S20">
        <v>10</v>
      </c>
      <c r="T20">
        <v>8</v>
      </c>
      <c r="V20">
        <v>8</v>
      </c>
      <c r="W20">
        <v>16</v>
      </c>
      <c r="X20">
        <v>10</v>
      </c>
      <c r="Y20">
        <v>8</v>
      </c>
      <c r="AA20">
        <v>8</v>
      </c>
      <c r="AB20">
        <v>16</v>
      </c>
      <c r="AC20">
        <v>10</v>
      </c>
      <c r="AD20">
        <v>8</v>
      </c>
      <c r="AF20">
        <v>8</v>
      </c>
      <c r="AG20">
        <v>16</v>
      </c>
      <c r="AH20">
        <v>10</v>
      </c>
      <c r="AI20">
        <v>8</v>
      </c>
      <c r="AK20">
        <v>8</v>
      </c>
      <c r="AL20">
        <v>16</v>
      </c>
      <c r="AM20">
        <v>10</v>
      </c>
      <c r="AN20">
        <v>8</v>
      </c>
      <c r="AP20">
        <v>8</v>
      </c>
      <c r="AQ20">
        <v>16</v>
      </c>
      <c r="AR20">
        <v>10</v>
      </c>
      <c r="AS20">
        <v>8</v>
      </c>
      <c r="AU20">
        <v>8</v>
      </c>
      <c r="AV20">
        <v>16</v>
      </c>
      <c r="AW20">
        <v>10</v>
      </c>
      <c r="AX20">
        <v>8</v>
      </c>
      <c r="AZ20">
        <f t="shared" si="0"/>
        <v>8</v>
      </c>
      <c r="BA20">
        <f t="shared" si="0"/>
        <v>16</v>
      </c>
      <c r="BB20">
        <f t="shared" si="0"/>
        <v>10</v>
      </c>
      <c r="BC20">
        <f t="shared" si="0"/>
        <v>8</v>
      </c>
    </row>
    <row r="21" spans="1:55" x14ac:dyDescent="0.35">
      <c r="A21">
        <v>19</v>
      </c>
      <c r="B21">
        <v>8</v>
      </c>
      <c r="C21">
        <v>13</v>
      </c>
      <c r="D21">
        <v>9</v>
      </c>
      <c r="E21">
        <v>10</v>
      </c>
      <c r="G21">
        <v>8</v>
      </c>
      <c r="H21">
        <v>13</v>
      </c>
      <c r="I21">
        <v>9</v>
      </c>
      <c r="J21">
        <v>10</v>
      </c>
      <c r="L21">
        <v>8</v>
      </c>
      <c r="M21">
        <v>13</v>
      </c>
      <c r="N21">
        <v>9</v>
      </c>
      <c r="O21">
        <v>10</v>
      </c>
      <c r="Q21">
        <v>8</v>
      </c>
      <c r="R21">
        <v>13</v>
      </c>
      <c r="S21">
        <v>9</v>
      </c>
      <c r="T21">
        <v>10</v>
      </c>
      <c r="V21">
        <v>8</v>
      </c>
      <c r="W21">
        <v>13</v>
      </c>
      <c r="X21">
        <v>9</v>
      </c>
      <c r="Y21">
        <v>10</v>
      </c>
      <c r="AA21">
        <v>8</v>
      </c>
      <c r="AB21">
        <v>13</v>
      </c>
      <c r="AC21">
        <v>9</v>
      </c>
      <c r="AD21">
        <v>10</v>
      </c>
      <c r="AF21">
        <v>8</v>
      </c>
      <c r="AG21">
        <v>13</v>
      </c>
      <c r="AH21">
        <v>9</v>
      </c>
      <c r="AI21">
        <v>10</v>
      </c>
      <c r="AK21">
        <v>8</v>
      </c>
      <c r="AL21">
        <v>13</v>
      </c>
      <c r="AM21">
        <v>9</v>
      </c>
      <c r="AN21">
        <v>10</v>
      </c>
      <c r="AP21">
        <v>8</v>
      </c>
      <c r="AQ21">
        <v>13</v>
      </c>
      <c r="AR21">
        <v>9</v>
      </c>
      <c r="AS21">
        <v>10</v>
      </c>
      <c r="AU21">
        <v>8</v>
      </c>
      <c r="AV21">
        <v>13</v>
      </c>
      <c r="AW21">
        <v>9</v>
      </c>
      <c r="AX21">
        <v>10</v>
      </c>
      <c r="AZ21">
        <f t="shared" si="0"/>
        <v>8</v>
      </c>
      <c r="BA21">
        <f t="shared" si="0"/>
        <v>13</v>
      </c>
      <c r="BB21">
        <f t="shared" si="0"/>
        <v>9</v>
      </c>
      <c r="BC21">
        <f t="shared" si="0"/>
        <v>10</v>
      </c>
    </row>
    <row r="22" spans="1:55" x14ac:dyDescent="0.35">
      <c r="A22">
        <v>20</v>
      </c>
      <c r="B22">
        <v>8</v>
      </c>
      <c r="C22">
        <v>5</v>
      </c>
      <c r="D22">
        <v>8</v>
      </c>
      <c r="E22">
        <v>12</v>
      </c>
      <c r="G22">
        <v>8</v>
      </c>
      <c r="H22">
        <v>5</v>
      </c>
      <c r="I22">
        <v>8</v>
      </c>
      <c r="J22">
        <v>12</v>
      </c>
      <c r="L22">
        <v>8</v>
      </c>
      <c r="M22">
        <v>5</v>
      </c>
      <c r="N22">
        <v>8</v>
      </c>
      <c r="O22">
        <v>12</v>
      </c>
      <c r="Q22">
        <v>8</v>
      </c>
      <c r="R22">
        <v>5</v>
      </c>
      <c r="S22">
        <v>8</v>
      </c>
      <c r="T22">
        <v>12</v>
      </c>
      <c r="V22">
        <v>8</v>
      </c>
      <c r="W22">
        <v>5</v>
      </c>
      <c r="X22">
        <v>8</v>
      </c>
      <c r="Y22">
        <v>12</v>
      </c>
      <c r="AA22">
        <v>8</v>
      </c>
      <c r="AB22">
        <v>5</v>
      </c>
      <c r="AC22">
        <v>8</v>
      </c>
      <c r="AD22">
        <v>12</v>
      </c>
      <c r="AF22">
        <v>8</v>
      </c>
      <c r="AG22">
        <v>5</v>
      </c>
      <c r="AH22">
        <v>8</v>
      </c>
      <c r="AI22">
        <v>12</v>
      </c>
      <c r="AK22">
        <v>8</v>
      </c>
      <c r="AL22">
        <v>5</v>
      </c>
      <c r="AM22">
        <v>8</v>
      </c>
      <c r="AN22">
        <v>12</v>
      </c>
      <c r="AP22">
        <v>8</v>
      </c>
      <c r="AQ22">
        <v>5</v>
      </c>
      <c r="AR22">
        <v>8</v>
      </c>
      <c r="AS22">
        <v>12</v>
      </c>
      <c r="AU22">
        <v>8</v>
      </c>
      <c r="AV22">
        <v>5</v>
      </c>
      <c r="AW22">
        <v>8</v>
      </c>
      <c r="AX22">
        <v>12</v>
      </c>
      <c r="AZ22">
        <f t="shared" si="0"/>
        <v>8</v>
      </c>
      <c r="BA22">
        <f t="shared" si="0"/>
        <v>5</v>
      </c>
      <c r="BB22">
        <f t="shared" si="0"/>
        <v>8</v>
      </c>
      <c r="BC22">
        <f t="shared" si="0"/>
        <v>12</v>
      </c>
    </row>
    <row r="23" spans="1:55" x14ac:dyDescent="0.35">
      <c r="A23">
        <v>21</v>
      </c>
      <c r="B23">
        <v>8</v>
      </c>
      <c r="C23">
        <v>4</v>
      </c>
      <c r="D23">
        <v>9</v>
      </c>
      <c r="E23">
        <v>10</v>
      </c>
      <c r="G23">
        <v>8</v>
      </c>
      <c r="H23">
        <v>4</v>
      </c>
      <c r="I23">
        <v>9</v>
      </c>
      <c r="J23">
        <v>10</v>
      </c>
      <c r="L23">
        <v>8</v>
      </c>
      <c r="M23">
        <v>4</v>
      </c>
      <c r="N23">
        <v>9</v>
      </c>
      <c r="O23">
        <v>10</v>
      </c>
      <c r="Q23">
        <v>8</v>
      </c>
      <c r="R23">
        <v>4</v>
      </c>
      <c r="S23">
        <v>9</v>
      </c>
      <c r="T23">
        <v>10</v>
      </c>
      <c r="V23">
        <v>8</v>
      </c>
      <c r="W23">
        <v>4</v>
      </c>
      <c r="X23">
        <v>9</v>
      </c>
      <c r="Y23">
        <v>10</v>
      </c>
      <c r="AA23">
        <v>8</v>
      </c>
      <c r="AB23">
        <v>4</v>
      </c>
      <c r="AC23">
        <v>9</v>
      </c>
      <c r="AD23">
        <v>10</v>
      </c>
      <c r="AF23">
        <v>8</v>
      </c>
      <c r="AG23">
        <v>4</v>
      </c>
      <c r="AH23">
        <v>9</v>
      </c>
      <c r="AI23">
        <v>10</v>
      </c>
      <c r="AK23">
        <v>8</v>
      </c>
      <c r="AL23">
        <v>4</v>
      </c>
      <c r="AM23">
        <v>9</v>
      </c>
      <c r="AN23">
        <v>10</v>
      </c>
      <c r="AP23">
        <v>8</v>
      </c>
      <c r="AQ23">
        <v>4</v>
      </c>
      <c r="AR23">
        <v>9</v>
      </c>
      <c r="AS23">
        <v>10</v>
      </c>
      <c r="AU23">
        <v>8</v>
      </c>
      <c r="AV23">
        <v>4</v>
      </c>
      <c r="AW23">
        <v>9</v>
      </c>
      <c r="AX23">
        <v>10</v>
      </c>
      <c r="AZ23">
        <f t="shared" si="0"/>
        <v>8</v>
      </c>
      <c r="BA23">
        <f t="shared" si="0"/>
        <v>4</v>
      </c>
      <c r="BB23">
        <f t="shared" si="0"/>
        <v>9</v>
      </c>
      <c r="BC23">
        <f t="shared" si="0"/>
        <v>10</v>
      </c>
    </row>
    <row r="24" spans="1:55" x14ac:dyDescent="0.35">
      <c r="A24">
        <v>22</v>
      </c>
      <c r="B24">
        <v>8</v>
      </c>
      <c r="C24">
        <v>6</v>
      </c>
      <c r="D24">
        <v>10</v>
      </c>
      <c r="E24">
        <v>6</v>
      </c>
      <c r="G24">
        <v>8</v>
      </c>
      <c r="H24">
        <v>6</v>
      </c>
      <c r="I24">
        <v>10</v>
      </c>
      <c r="J24">
        <v>6</v>
      </c>
      <c r="L24">
        <v>8</v>
      </c>
      <c r="M24">
        <v>6</v>
      </c>
      <c r="N24">
        <v>10</v>
      </c>
      <c r="O24">
        <v>6</v>
      </c>
      <c r="Q24">
        <v>8</v>
      </c>
      <c r="R24">
        <v>6</v>
      </c>
      <c r="S24">
        <v>10</v>
      </c>
      <c r="T24">
        <v>6</v>
      </c>
      <c r="V24">
        <v>8</v>
      </c>
      <c r="W24">
        <v>6</v>
      </c>
      <c r="X24">
        <v>10</v>
      </c>
      <c r="Y24">
        <v>6</v>
      </c>
      <c r="AA24">
        <v>8</v>
      </c>
      <c r="AB24">
        <v>6</v>
      </c>
      <c r="AC24">
        <v>10</v>
      </c>
      <c r="AD24">
        <v>6</v>
      </c>
      <c r="AF24">
        <v>8</v>
      </c>
      <c r="AG24">
        <v>6</v>
      </c>
      <c r="AH24">
        <v>10</v>
      </c>
      <c r="AI24">
        <v>6</v>
      </c>
      <c r="AK24">
        <v>8</v>
      </c>
      <c r="AL24">
        <v>6</v>
      </c>
      <c r="AM24">
        <v>10</v>
      </c>
      <c r="AN24">
        <v>6</v>
      </c>
      <c r="AP24">
        <v>8</v>
      </c>
      <c r="AQ24">
        <v>6</v>
      </c>
      <c r="AR24">
        <v>10</v>
      </c>
      <c r="AS24">
        <v>6</v>
      </c>
      <c r="AU24">
        <v>8</v>
      </c>
      <c r="AV24">
        <v>6</v>
      </c>
      <c r="AW24">
        <v>10</v>
      </c>
      <c r="AX24">
        <v>6</v>
      </c>
      <c r="AZ24">
        <f t="shared" si="0"/>
        <v>8</v>
      </c>
      <c r="BA24">
        <f t="shared" si="0"/>
        <v>6</v>
      </c>
      <c r="BB24">
        <f t="shared" si="0"/>
        <v>10</v>
      </c>
      <c r="BC24">
        <f t="shared" si="0"/>
        <v>6</v>
      </c>
    </row>
    <row r="25" spans="1:55" x14ac:dyDescent="0.35">
      <c r="A25">
        <v>23</v>
      </c>
      <c r="B25">
        <v>8</v>
      </c>
      <c r="C25">
        <v>6</v>
      </c>
      <c r="D25">
        <v>8</v>
      </c>
      <c r="E25">
        <v>4</v>
      </c>
      <c r="G25">
        <v>8</v>
      </c>
      <c r="H25">
        <v>6</v>
      </c>
      <c r="I25">
        <v>8</v>
      </c>
      <c r="J25">
        <v>4</v>
      </c>
      <c r="L25">
        <v>8</v>
      </c>
      <c r="M25">
        <v>6</v>
      </c>
      <c r="N25">
        <v>8</v>
      </c>
      <c r="O25">
        <v>4</v>
      </c>
      <c r="Q25">
        <v>8</v>
      </c>
      <c r="R25">
        <v>6</v>
      </c>
      <c r="S25">
        <v>8</v>
      </c>
      <c r="T25">
        <v>4</v>
      </c>
      <c r="V25">
        <v>8</v>
      </c>
      <c r="W25">
        <v>6</v>
      </c>
      <c r="X25">
        <v>8</v>
      </c>
      <c r="Y25">
        <v>4</v>
      </c>
      <c r="AA25">
        <v>8</v>
      </c>
      <c r="AB25">
        <v>6</v>
      </c>
      <c r="AC25">
        <v>8</v>
      </c>
      <c r="AD25">
        <v>4</v>
      </c>
      <c r="AF25">
        <v>8</v>
      </c>
      <c r="AG25">
        <v>6</v>
      </c>
      <c r="AH25">
        <v>8</v>
      </c>
      <c r="AI25">
        <v>4</v>
      </c>
      <c r="AK25">
        <v>8</v>
      </c>
      <c r="AL25">
        <v>6</v>
      </c>
      <c r="AM25">
        <v>8</v>
      </c>
      <c r="AN25">
        <v>4</v>
      </c>
      <c r="AP25">
        <v>8</v>
      </c>
      <c r="AQ25">
        <v>6</v>
      </c>
      <c r="AR25">
        <v>8</v>
      </c>
      <c r="AS25">
        <v>4</v>
      </c>
      <c r="AU25">
        <v>8</v>
      </c>
      <c r="AV25">
        <v>6</v>
      </c>
      <c r="AW25">
        <v>8</v>
      </c>
      <c r="AX25">
        <v>4</v>
      </c>
      <c r="AZ25">
        <f t="shared" si="0"/>
        <v>8</v>
      </c>
      <c r="BA25">
        <f t="shared" si="0"/>
        <v>6</v>
      </c>
      <c r="BB25">
        <f t="shared" si="0"/>
        <v>8</v>
      </c>
      <c r="BC25">
        <f t="shared" si="0"/>
        <v>4</v>
      </c>
    </row>
    <row r="26" spans="1:55" x14ac:dyDescent="0.35">
      <c r="A26">
        <v>24</v>
      </c>
      <c r="B26">
        <v>8</v>
      </c>
      <c r="C26">
        <v>2</v>
      </c>
      <c r="D26">
        <v>6</v>
      </c>
      <c r="E26">
        <v>6</v>
      </c>
      <c r="G26">
        <v>8</v>
      </c>
      <c r="H26">
        <v>2</v>
      </c>
      <c r="I26">
        <v>6</v>
      </c>
      <c r="J26">
        <v>6</v>
      </c>
      <c r="L26">
        <v>8</v>
      </c>
      <c r="M26">
        <v>2</v>
      </c>
      <c r="N26">
        <v>6</v>
      </c>
      <c r="O26">
        <v>6</v>
      </c>
      <c r="Q26">
        <v>8</v>
      </c>
      <c r="R26">
        <v>2</v>
      </c>
      <c r="S26">
        <v>6</v>
      </c>
      <c r="T26">
        <v>6</v>
      </c>
      <c r="V26">
        <v>8</v>
      </c>
      <c r="W26">
        <v>2</v>
      </c>
      <c r="X26">
        <v>6</v>
      </c>
      <c r="Y26">
        <v>6</v>
      </c>
      <c r="AA26">
        <v>8</v>
      </c>
      <c r="AB26">
        <v>2</v>
      </c>
      <c r="AC26">
        <v>6</v>
      </c>
      <c r="AD26">
        <v>6</v>
      </c>
      <c r="AF26">
        <v>8</v>
      </c>
      <c r="AG26">
        <v>2</v>
      </c>
      <c r="AH26">
        <v>6</v>
      </c>
      <c r="AI26">
        <v>6</v>
      </c>
      <c r="AK26">
        <v>8</v>
      </c>
      <c r="AL26">
        <v>2</v>
      </c>
      <c r="AM26">
        <v>6</v>
      </c>
      <c r="AN26">
        <v>6</v>
      </c>
      <c r="AP26">
        <v>8</v>
      </c>
      <c r="AQ26">
        <v>2</v>
      </c>
      <c r="AR26">
        <v>6</v>
      </c>
      <c r="AS26">
        <v>6</v>
      </c>
      <c r="AU26">
        <v>8</v>
      </c>
      <c r="AV26">
        <v>2</v>
      </c>
      <c r="AW26">
        <v>6</v>
      </c>
      <c r="AX26">
        <v>6</v>
      </c>
      <c r="AZ26">
        <f t="shared" si="0"/>
        <v>8</v>
      </c>
      <c r="BA26">
        <f t="shared" si="0"/>
        <v>2</v>
      </c>
      <c r="BB26">
        <f t="shared" si="0"/>
        <v>6</v>
      </c>
      <c r="BC26">
        <f t="shared" si="0"/>
        <v>6</v>
      </c>
    </row>
    <row r="27" spans="1:55" x14ac:dyDescent="0.35">
      <c r="A27">
        <v>25</v>
      </c>
      <c r="B27">
        <v>8</v>
      </c>
      <c r="C27">
        <v>0</v>
      </c>
      <c r="D27">
        <v>3</v>
      </c>
      <c r="E27">
        <v>6</v>
      </c>
      <c r="G27">
        <v>8</v>
      </c>
      <c r="H27">
        <v>0</v>
      </c>
      <c r="I27">
        <v>3</v>
      </c>
      <c r="J27">
        <v>6</v>
      </c>
      <c r="L27">
        <v>8</v>
      </c>
      <c r="M27">
        <v>0</v>
      </c>
      <c r="N27">
        <v>3</v>
      </c>
      <c r="O27">
        <v>6</v>
      </c>
      <c r="Q27">
        <v>8</v>
      </c>
      <c r="R27">
        <v>0</v>
      </c>
      <c r="S27">
        <v>3</v>
      </c>
      <c r="T27">
        <v>6</v>
      </c>
      <c r="V27">
        <v>8</v>
      </c>
      <c r="W27">
        <v>0</v>
      </c>
      <c r="X27">
        <v>3</v>
      </c>
      <c r="Y27">
        <v>6</v>
      </c>
      <c r="AA27">
        <v>8</v>
      </c>
      <c r="AB27">
        <v>0</v>
      </c>
      <c r="AC27">
        <v>3</v>
      </c>
      <c r="AD27">
        <v>6</v>
      </c>
      <c r="AF27">
        <v>8</v>
      </c>
      <c r="AG27">
        <v>0</v>
      </c>
      <c r="AH27">
        <v>3</v>
      </c>
      <c r="AI27">
        <v>6</v>
      </c>
      <c r="AK27">
        <v>8</v>
      </c>
      <c r="AL27">
        <v>0</v>
      </c>
      <c r="AM27">
        <v>3</v>
      </c>
      <c r="AN27">
        <v>6</v>
      </c>
      <c r="AP27">
        <v>8</v>
      </c>
      <c r="AQ27">
        <v>0</v>
      </c>
      <c r="AR27">
        <v>3</v>
      </c>
      <c r="AS27">
        <v>6</v>
      </c>
      <c r="AU27">
        <v>8</v>
      </c>
      <c r="AV27">
        <v>0</v>
      </c>
      <c r="AW27">
        <v>3</v>
      </c>
      <c r="AX27">
        <v>6</v>
      </c>
      <c r="AZ27">
        <f t="shared" si="0"/>
        <v>8</v>
      </c>
      <c r="BA27">
        <f t="shared" si="0"/>
        <v>0</v>
      </c>
      <c r="BB27">
        <f t="shared" si="0"/>
        <v>3</v>
      </c>
      <c r="BC27">
        <f t="shared" si="0"/>
        <v>6</v>
      </c>
    </row>
    <row r="28" spans="1:55" x14ac:dyDescent="0.35">
      <c r="A28">
        <v>26</v>
      </c>
      <c r="B28">
        <v>8</v>
      </c>
      <c r="C28">
        <v>1</v>
      </c>
      <c r="D28">
        <v>5</v>
      </c>
      <c r="E28">
        <v>3</v>
      </c>
      <c r="G28">
        <v>8</v>
      </c>
      <c r="H28">
        <v>1</v>
      </c>
      <c r="I28">
        <v>5</v>
      </c>
      <c r="J28">
        <v>3</v>
      </c>
      <c r="L28">
        <v>8</v>
      </c>
      <c r="M28">
        <v>1</v>
      </c>
      <c r="N28">
        <v>5</v>
      </c>
      <c r="O28">
        <v>3</v>
      </c>
      <c r="Q28">
        <v>8</v>
      </c>
      <c r="R28">
        <v>1</v>
      </c>
      <c r="S28">
        <v>5</v>
      </c>
      <c r="T28">
        <v>3</v>
      </c>
      <c r="V28">
        <v>8</v>
      </c>
      <c r="W28">
        <v>1</v>
      </c>
      <c r="X28">
        <v>5</v>
      </c>
      <c r="Y28">
        <v>3</v>
      </c>
      <c r="AA28">
        <v>8</v>
      </c>
      <c r="AB28">
        <v>1</v>
      </c>
      <c r="AC28">
        <v>5</v>
      </c>
      <c r="AD28">
        <v>3</v>
      </c>
      <c r="AF28">
        <v>8</v>
      </c>
      <c r="AG28">
        <v>1</v>
      </c>
      <c r="AH28">
        <v>5</v>
      </c>
      <c r="AI28">
        <v>3</v>
      </c>
      <c r="AK28">
        <v>8</v>
      </c>
      <c r="AL28">
        <v>1</v>
      </c>
      <c r="AM28">
        <v>5</v>
      </c>
      <c r="AN28">
        <v>3</v>
      </c>
      <c r="AP28">
        <v>8</v>
      </c>
      <c r="AQ28">
        <v>1</v>
      </c>
      <c r="AR28">
        <v>5</v>
      </c>
      <c r="AS28">
        <v>3</v>
      </c>
      <c r="AU28">
        <v>8</v>
      </c>
      <c r="AV28">
        <v>1</v>
      </c>
      <c r="AW28">
        <v>5</v>
      </c>
      <c r="AX28">
        <v>3</v>
      </c>
      <c r="AZ28">
        <f t="shared" si="0"/>
        <v>8</v>
      </c>
      <c r="BA28">
        <f t="shared" si="0"/>
        <v>1</v>
      </c>
      <c r="BB28">
        <f t="shared" si="0"/>
        <v>5</v>
      </c>
      <c r="BC28">
        <f t="shared" si="0"/>
        <v>3</v>
      </c>
    </row>
    <row r="29" spans="1:55" x14ac:dyDescent="0.35">
      <c r="A29">
        <v>27</v>
      </c>
      <c r="B29">
        <v>8</v>
      </c>
      <c r="C29">
        <v>2</v>
      </c>
      <c r="D29">
        <v>6</v>
      </c>
      <c r="E29">
        <v>0</v>
      </c>
      <c r="G29">
        <v>8</v>
      </c>
      <c r="H29">
        <v>2</v>
      </c>
      <c r="I29">
        <v>6</v>
      </c>
      <c r="J29">
        <v>0</v>
      </c>
      <c r="L29">
        <v>8</v>
      </c>
      <c r="M29">
        <v>2</v>
      </c>
      <c r="N29">
        <v>6</v>
      </c>
      <c r="O29">
        <v>0</v>
      </c>
      <c r="Q29">
        <v>8</v>
      </c>
      <c r="R29">
        <v>2</v>
      </c>
      <c r="S29">
        <v>6</v>
      </c>
      <c r="T29">
        <v>0</v>
      </c>
      <c r="V29">
        <v>8</v>
      </c>
      <c r="W29">
        <v>2</v>
      </c>
      <c r="X29">
        <v>6</v>
      </c>
      <c r="Y29">
        <v>0</v>
      </c>
      <c r="AA29">
        <v>8</v>
      </c>
      <c r="AB29">
        <v>2</v>
      </c>
      <c r="AC29">
        <v>6</v>
      </c>
      <c r="AD29">
        <v>0</v>
      </c>
      <c r="AF29">
        <v>8</v>
      </c>
      <c r="AG29">
        <v>2</v>
      </c>
      <c r="AH29">
        <v>6</v>
      </c>
      <c r="AI29">
        <v>0</v>
      </c>
      <c r="AK29">
        <v>8</v>
      </c>
      <c r="AL29">
        <v>2</v>
      </c>
      <c r="AM29">
        <v>6</v>
      </c>
      <c r="AN29">
        <v>0</v>
      </c>
      <c r="AP29">
        <v>8</v>
      </c>
      <c r="AQ29">
        <v>2</v>
      </c>
      <c r="AR29">
        <v>6</v>
      </c>
      <c r="AS29">
        <v>0</v>
      </c>
      <c r="AU29">
        <v>8</v>
      </c>
      <c r="AV29">
        <v>2</v>
      </c>
      <c r="AW29">
        <v>6</v>
      </c>
      <c r="AX29">
        <v>0</v>
      </c>
      <c r="AZ29">
        <f t="shared" si="0"/>
        <v>8</v>
      </c>
      <c r="BA29">
        <f t="shared" si="0"/>
        <v>2</v>
      </c>
      <c r="BB29">
        <f t="shared" si="0"/>
        <v>6</v>
      </c>
      <c r="BC29">
        <f t="shared" si="0"/>
        <v>0</v>
      </c>
    </row>
    <row r="30" spans="1:55" x14ac:dyDescent="0.35">
      <c r="A30">
        <v>28</v>
      </c>
      <c r="B30">
        <v>8</v>
      </c>
      <c r="C30">
        <v>0</v>
      </c>
      <c r="D30">
        <v>7</v>
      </c>
      <c r="E30">
        <v>0</v>
      </c>
      <c r="G30">
        <v>8</v>
      </c>
      <c r="H30">
        <v>0</v>
      </c>
      <c r="I30">
        <v>7</v>
      </c>
      <c r="J30">
        <v>0</v>
      </c>
      <c r="L30">
        <v>8</v>
      </c>
      <c r="M30">
        <v>0</v>
      </c>
      <c r="N30">
        <v>7</v>
      </c>
      <c r="O30">
        <v>0</v>
      </c>
      <c r="Q30">
        <v>8</v>
      </c>
      <c r="R30">
        <v>0</v>
      </c>
      <c r="S30">
        <v>7</v>
      </c>
      <c r="T30">
        <v>0</v>
      </c>
      <c r="V30">
        <v>8</v>
      </c>
      <c r="W30">
        <v>0</v>
      </c>
      <c r="X30">
        <v>7</v>
      </c>
      <c r="Y30">
        <v>0</v>
      </c>
      <c r="AA30">
        <v>8</v>
      </c>
      <c r="AB30">
        <v>0</v>
      </c>
      <c r="AC30">
        <v>7</v>
      </c>
      <c r="AD30">
        <v>0</v>
      </c>
      <c r="AF30">
        <v>8</v>
      </c>
      <c r="AG30">
        <v>0</v>
      </c>
      <c r="AH30">
        <v>7</v>
      </c>
      <c r="AI30">
        <v>0</v>
      </c>
      <c r="AK30">
        <v>8</v>
      </c>
      <c r="AL30">
        <v>0</v>
      </c>
      <c r="AM30">
        <v>7</v>
      </c>
      <c r="AN30">
        <v>0</v>
      </c>
      <c r="AP30">
        <v>8</v>
      </c>
      <c r="AQ30">
        <v>0</v>
      </c>
      <c r="AR30">
        <v>7</v>
      </c>
      <c r="AS30">
        <v>0</v>
      </c>
      <c r="AU30">
        <v>8</v>
      </c>
      <c r="AV30">
        <v>0</v>
      </c>
      <c r="AW30">
        <v>7</v>
      </c>
      <c r="AX30">
        <v>0</v>
      </c>
      <c r="AZ30">
        <f t="shared" si="0"/>
        <v>8</v>
      </c>
      <c r="BA30">
        <f t="shared" si="0"/>
        <v>0</v>
      </c>
      <c r="BB30">
        <f t="shared" si="0"/>
        <v>7</v>
      </c>
      <c r="BC30">
        <f t="shared" si="0"/>
        <v>0</v>
      </c>
    </row>
    <row r="31" spans="1:55" x14ac:dyDescent="0.35">
      <c r="A31">
        <v>29</v>
      </c>
      <c r="B31">
        <v>8</v>
      </c>
      <c r="C31">
        <v>0</v>
      </c>
      <c r="D31">
        <v>8</v>
      </c>
      <c r="E31">
        <v>3</v>
      </c>
      <c r="G31">
        <v>8</v>
      </c>
      <c r="H31">
        <v>0</v>
      </c>
      <c r="I31">
        <v>8</v>
      </c>
      <c r="J31">
        <v>3</v>
      </c>
      <c r="L31">
        <v>8</v>
      </c>
      <c r="M31">
        <v>0</v>
      </c>
      <c r="N31">
        <v>8</v>
      </c>
      <c r="O31">
        <v>3</v>
      </c>
      <c r="Q31">
        <v>8</v>
      </c>
      <c r="R31">
        <v>0</v>
      </c>
      <c r="S31">
        <v>8</v>
      </c>
      <c r="T31">
        <v>3</v>
      </c>
      <c r="V31">
        <v>8</v>
      </c>
      <c r="W31">
        <v>0</v>
      </c>
      <c r="X31">
        <v>8</v>
      </c>
      <c r="Y31">
        <v>3</v>
      </c>
      <c r="AA31">
        <v>8</v>
      </c>
      <c r="AB31">
        <v>0</v>
      </c>
      <c r="AC31">
        <v>8</v>
      </c>
      <c r="AD31">
        <v>3</v>
      </c>
      <c r="AF31">
        <v>8</v>
      </c>
      <c r="AG31">
        <v>0</v>
      </c>
      <c r="AH31">
        <v>8</v>
      </c>
      <c r="AI31">
        <v>3</v>
      </c>
      <c r="AK31">
        <v>8</v>
      </c>
      <c r="AL31">
        <v>0</v>
      </c>
      <c r="AM31">
        <v>8</v>
      </c>
      <c r="AN31">
        <v>3</v>
      </c>
      <c r="AP31">
        <v>8</v>
      </c>
      <c r="AQ31">
        <v>0</v>
      </c>
      <c r="AR31">
        <v>8</v>
      </c>
      <c r="AS31">
        <v>3</v>
      </c>
      <c r="AU31">
        <v>8</v>
      </c>
      <c r="AV31">
        <v>0</v>
      </c>
      <c r="AW31">
        <v>8</v>
      </c>
      <c r="AX31">
        <v>3</v>
      </c>
      <c r="AZ31">
        <f t="shared" si="0"/>
        <v>8</v>
      </c>
      <c r="BA31">
        <f t="shared" si="0"/>
        <v>0</v>
      </c>
      <c r="BB31">
        <f t="shared" si="0"/>
        <v>8</v>
      </c>
      <c r="BC31">
        <f t="shared" si="0"/>
        <v>3</v>
      </c>
    </row>
    <row r="32" spans="1:55" x14ac:dyDescent="0.35">
      <c r="A32">
        <v>30</v>
      </c>
      <c r="B32">
        <v>8</v>
      </c>
      <c r="C32">
        <v>0</v>
      </c>
      <c r="D32">
        <v>9</v>
      </c>
      <c r="E32">
        <v>6</v>
      </c>
      <c r="G32">
        <v>8</v>
      </c>
      <c r="H32">
        <v>0</v>
      </c>
      <c r="I32">
        <v>9</v>
      </c>
      <c r="J32">
        <v>6</v>
      </c>
      <c r="L32">
        <v>8</v>
      </c>
      <c r="M32">
        <v>0</v>
      </c>
      <c r="N32">
        <v>9</v>
      </c>
      <c r="O32">
        <v>6</v>
      </c>
      <c r="Q32">
        <v>8</v>
      </c>
      <c r="R32">
        <v>0</v>
      </c>
      <c r="S32">
        <v>9</v>
      </c>
      <c r="T32">
        <v>6</v>
      </c>
      <c r="V32">
        <v>8</v>
      </c>
      <c r="W32">
        <v>0</v>
      </c>
      <c r="X32">
        <v>9</v>
      </c>
      <c r="Y32">
        <v>6</v>
      </c>
      <c r="AA32">
        <v>8</v>
      </c>
      <c r="AB32">
        <v>0</v>
      </c>
      <c r="AC32">
        <v>9</v>
      </c>
      <c r="AD32">
        <v>6</v>
      </c>
      <c r="AF32">
        <v>8</v>
      </c>
      <c r="AG32">
        <v>0</v>
      </c>
      <c r="AH32">
        <v>9</v>
      </c>
      <c r="AI32">
        <v>6</v>
      </c>
      <c r="AK32">
        <v>8</v>
      </c>
      <c r="AL32">
        <v>0</v>
      </c>
      <c r="AM32">
        <v>9</v>
      </c>
      <c r="AN32">
        <v>6</v>
      </c>
      <c r="AP32">
        <v>8</v>
      </c>
      <c r="AQ32">
        <v>0</v>
      </c>
      <c r="AR32">
        <v>9</v>
      </c>
      <c r="AS32">
        <v>6</v>
      </c>
      <c r="AU32">
        <v>8</v>
      </c>
      <c r="AV32">
        <v>0</v>
      </c>
      <c r="AW32">
        <v>9</v>
      </c>
      <c r="AX32">
        <v>6</v>
      </c>
      <c r="AZ32">
        <f t="shared" si="0"/>
        <v>8</v>
      </c>
      <c r="BA32">
        <f t="shared" si="0"/>
        <v>0</v>
      </c>
      <c r="BB32">
        <f t="shared" si="0"/>
        <v>9</v>
      </c>
      <c r="BC32">
        <f t="shared" si="0"/>
        <v>6</v>
      </c>
    </row>
    <row r="33" spans="1:56" x14ac:dyDescent="0.35">
      <c r="A33">
        <v>31</v>
      </c>
      <c r="B33">
        <v>8</v>
      </c>
      <c r="C33">
        <v>0</v>
      </c>
      <c r="D33">
        <v>8</v>
      </c>
      <c r="E33">
        <v>10</v>
      </c>
      <c r="G33">
        <v>8</v>
      </c>
      <c r="H33">
        <v>0</v>
      </c>
      <c r="I33">
        <v>8</v>
      </c>
      <c r="J33">
        <v>10</v>
      </c>
      <c r="L33">
        <v>8</v>
      </c>
      <c r="M33">
        <v>0</v>
      </c>
      <c r="N33">
        <v>8</v>
      </c>
      <c r="O33">
        <v>10</v>
      </c>
      <c r="Q33">
        <v>8</v>
      </c>
      <c r="R33">
        <v>0</v>
      </c>
      <c r="S33">
        <v>8</v>
      </c>
      <c r="T33">
        <v>10</v>
      </c>
      <c r="V33">
        <v>8</v>
      </c>
      <c r="W33">
        <v>0</v>
      </c>
      <c r="X33">
        <v>8</v>
      </c>
      <c r="Y33">
        <v>10</v>
      </c>
      <c r="AA33">
        <v>8</v>
      </c>
      <c r="AB33">
        <v>0</v>
      </c>
      <c r="AC33">
        <v>8</v>
      </c>
      <c r="AD33">
        <v>10</v>
      </c>
      <c r="AF33">
        <v>8</v>
      </c>
      <c r="AG33">
        <v>0</v>
      </c>
      <c r="AH33">
        <v>8</v>
      </c>
      <c r="AI33">
        <v>10</v>
      </c>
      <c r="AK33">
        <v>8</v>
      </c>
      <c r="AL33">
        <v>0</v>
      </c>
      <c r="AM33">
        <v>8</v>
      </c>
      <c r="AN33">
        <v>10</v>
      </c>
      <c r="AP33">
        <v>8</v>
      </c>
      <c r="AQ33">
        <v>0</v>
      </c>
      <c r="AR33">
        <v>8</v>
      </c>
      <c r="AS33">
        <v>10</v>
      </c>
      <c r="AU33">
        <v>8</v>
      </c>
      <c r="AV33">
        <v>0</v>
      </c>
      <c r="AW33">
        <v>8</v>
      </c>
      <c r="AX33">
        <v>10</v>
      </c>
      <c r="AZ33">
        <f t="shared" si="0"/>
        <v>8</v>
      </c>
      <c r="BA33">
        <f t="shared" si="0"/>
        <v>0</v>
      </c>
      <c r="BB33">
        <f t="shared" si="0"/>
        <v>8</v>
      </c>
      <c r="BC33">
        <f t="shared" si="0"/>
        <v>10</v>
      </c>
    </row>
    <row r="34" spans="1:56" x14ac:dyDescent="0.35">
      <c r="A34">
        <v>32</v>
      </c>
      <c r="B34">
        <v>8</v>
      </c>
      <c r="C34">
        <v>1</v>
      </c>
      <c r="D34">
        <v>9</v>
      </c>
      <c r="E34">
        <v>12</v>
      </c>
      <c r="G34">
        <v>8</v>
      </c>
      <c r="H34">
        <v>1</v>
      </c>
      <c r="I34">
        <v>9</v>
      </c>
      <c r="J34">
        <v>12</v>
      </c>
      <c r="L34">
        <v>8</v>
      </c>
      <c r="M34">
        <v>1</v>
      </c>
      <c r="N34">
        <v>9</v>
      </c>
      <c r="O34">
        <v>12</v>
      </c>
      <c r="Q34">
        <v>8</v>
      </c>
      <c r="R34">
        <v>1</v>
      </c>
      <c r="S34">
        <v>9</v>
      </c>
      <c r="T34">
        <v>12</v>
      </c>
      <c r="V34">
        <v>8</v>
      </c>
      <c r="W34">
        <v>1</v>
      </c>
      <c r="X34">
        <v>9</v>
      </c>
      <c r="Y34">
        <v>12</v>
      </c>
      <c r="AA34">
        <v>8</v>
      </c>
      <c r="AB34">
        <v>1</v>
      </c>
      <c r="AC34">
        <v>9</v>
      </c>
      <c r="AD34">
        <v>12</v>
      </c>
      <c r="AF34">
        <v>8</v>
      </c>
      <c r="AG34">
        <v>1</v>
      </c>
      <c r="AH34">
        <v>9</v>
      </c>
      <c r="AI34">
        <v>12</v>
      </c>
      <c r="AK34">
        <v>8</v>
      </c>
      <c r="AL34">
        <v>1</v>
      </c>
      <c r="AM34">
        <v>9</v>
      </c>
      <c r="AN34">
        <v>12</v>
      </c>
      <c r="AP34">
        <v>8</v>
      </c>
      <c r="AQ34">
        <v>1</v>
      </c>
      <c r="AR34">
        <v>9</v>
      </c>
      <c r="AS34">
        <v>12</v>
      </c>
      <c r="AU34">
        <v>8</v>
      </c>
      <c r="AV34">
        <v>1</v>
      </c>
      <c r="AW34">
        <v>9</v>
      </c>
      <c r="AX34">
        <v>12</v>
      </c>
      <c r="AZ34">
        <f t="shared" si="0"/>
        <v>8</v>
      </c>
      <c r="BA34">
        <f t="shared" si="0"/>
        <v>1</v>
      </c>
      <c r="BB34">
        <f t="shared" si="0"/>
        <v>9</v>
      </c>
      <c r="BC34">
        <f t="shared" si="0"/>
        <v>12</v>
      </c>
    </row>
    <row r="35" spans="1:56" x14ac:dyDescent="0.35">
      <c r="A35">
        <v>33</v>
      </c>
      <c r="B35">
        <v>8</v>
      </c>
      <c r="C35">
        <v>11</v>
      </c>
      <c r="D35">
        <v>8</v>
      </c>
      <c r="E35">
        <v>11</v>
      </c>
      <c r="G35">
        <v>8</v>
      </c>
      <c r="H35">
        <v>11</v>
      </c>
      <c r="I35">
        <v>8</v>
      </c>
      <c r="J35">
        <v>11</v>
      </c>
      <c r="L35">
        <v>8</v>
      </c>
      <c r="M35">
        <v>11</v>
      </c>
      <c r="N35">
        <v>8</v>
      </c>
      <c r="O35">
        <v>11</v>
      </c>
      <c r="Q35">
        <v>8</v>
      </c>
      <c r="R35">
        <v>11</v>
      </c>
      <c r="S35">
        <v>8</v>
      </c>
      <c r="T35">
        <v>11</v>
      </c>
      <c r="V35">
        <v>8</v>
      </c>
      <c r="W35">
        <v>11</v>
      </c>
      <c r="X35">
        <v>8</v>
      </c>
      <c r="Y35">
        <v>11</v>
      </c>
      <c r="AA35">
        <v>8</v>
      </c>
      <c r="AB35">
        <v>11</v>
      </c>
      <c r="AC35">
        <v>8</v>
      </c>
      <c r="AD35">
        <v>11</v>
      </c>
      <c r="AF35">
        <v>8</v>
      </c>
      <c r="AG35">
        <v>11</v>
      </c>
      <c r="AH35">
        <v>8</v>
      </c>
      <c r="AI35">
        <v>11</v>
      </c>
      <c r="AK35">
        <v>8</v>
      </c>
      <c r="AL35">
        <v>11</v>
      </c>
      <c r="AM35">
        <v>8</v>
      </c>
      <c r="AN35">
        <v>11</v>
      </c>
      <c r="AP35">
        <v>8</v>
      </c>
      <c r="AQ35">
        <v>11</v>
      </c>
      <c r="AR35">
        <v>8</v>
      </c>
      <c r="AS35">
        <v>11</v>
      </c>
      <c r="AU35">
        <v>8</v>
      </c>
      <c r="AV35">
        <v>11</v>
      </c>
      <c r="AW35">
        <v>8</v>
      </c>
      <c r="AX35">
        <v>11</v>
      </c>
      <c r="AZ35">
        <f t="shared" si="0"/>
        <v>8</v>
      </c>
      <c r="BA35">
        <f t="shared" si="0"/>
        <v>11</v>
      </c>
      <c r="BB35">
        <f t="shared" si="0"/>
        <v>8</v>
      </c>
      <c r="BC35">
        <f t="shared" si="0"/>
        <v>11</v>
      </c>
    </row>
    <row r="36" spans="1:56" x14ac:dyDescent="0.35">
      <c r="A36">
        <v>34</v>
      </c>
      <c r="B36">
        <v>8</v>
      </c>
      <c r="C36">
        <v>18</v>
      </c>
      <c r="D36">
        <v>9</v>
      </c>
      <c r="E36">
        <v>12</v>
      </c>
      <c r="G36">
        <v>8</v>
      </c>
      <c r="H36">
        <v>18</v>
      </c>
      <c r="I36">
        <v>9</v>
      </c>
      <c r="J36">
        <v>12</v>
      </c>
      <c r="L36">
        <v>8</v>
      </c>
      <c r="M36">
        <v>18</v>
      </c>
      <c r="N36">
        <v>9</v>
      </c>
      <c r="O36">
        <v>12</v>
      </c>
      <c r="Q36">
        <v>8</v>
      </c>
      <c r="R36">
        <v>18</v>
      </c>
      <c r="S36">
        <v>9</v>
      </c>
      <c r="T36">
        <v>12</v>
      </c>
      <c r="V36">
        <v>8</v>
      </c>
      <c r="W36">
        <v>18</v>
      </c>
      <c r="X36">
        <v>9</v>
      </c>
      <c r="Y36">
        <v>12</v>
      </c>
      <c r="AA36">
        <v>8</v>
      </c>
      <c r="AB36">
        <v>18</v>
      </c>
      <c r="AC36">
        <v>9</v>
      </c>
      <c r="AD36">
        <v>12</v>
      </c>
      <c r="AF36">
        <v>8</v>
      </c>
      <c r="AG36">
        <v>18</v>
      </c>
      <c r="AH36">
        <v>9</v>
      </c>
      <c r="AI36">
        <v>12</v>
      </c>
      <c r="AK36">
        <v>8</v>
      </c>
      <c r="AL36">
        <v>18</v>
      </c>
      <c r="AM36">
        <v>9</v>
      </c>
      <c r="AN36">
        <v>12</v>
      </c>
      <c r="AP36">
        <v>8</v>
      </c>
      <c r="AQ36">
        <v>18</v>
      </c>
      <c r="AR36">
        <v>9</v>
      </c>
      <c r="AS36">
        <v>12</v>
      </c>
      <c r="AU36">
        <v>8</v>
      </c>
      <c r="AV36">
        <v>18</v>
      </c>
      <c r="AW36">
        <v>9</v>
      </c>
      <c r="AX36">
        <v>12</v>
      </c>
      <c r="AZ36">
        <f t="shared" si="0"/>
        <v>8</v>
      </c>
      <c r="BA36">
        <f t="shared" si="0"/>
        <v>18</v>
      </c>
      <c r="BB36">
        <f t="shared" si="0"/>
        <v>9</v>
      </c>
      <c r="BC36">
        <f t="shared" si="0"/>
        <v>12</v>
      </c>
    </row>
    <row r="37" spans="1:56" x14ac:dyDescent="0.35">
      <c r="A37">
        <v>35</v>
      </c>
      <c r="B37">
        <v>8</v>
      </c>
      <c r="C37">
        <v>18</v>
      </c>
      <c r="D37">
        <v>9</v>
      </c>
      <c r="E37">
        <v>10</v>
      </c>
      <c r="G37">
        <v>8</v>
      </c>
      <c r="H37">
        <v>18</v>
      </c>
      <c r="I37">
        <v>9</v>
      </c>
      <c r="J37">
        <v>10</v>
      </c>
      <c r="L37">
        <v>8</v>
      </c>
      <c r="M37">
        <v>18</v>
      </c>
      <c r="N37">
        <v>9</v>
      </c>
      <c r="O37">
        <v>10</v>
      </c>
      <c r="Q37">
        <v>8</v>
      </c>
      <c r="R37">
        <v>18</v>
      </c>
      <c r="S37">
        <v>9</v>
      </c>
      <c r="T37">
        <v>10</v>
      </c>
      <c r="V37">
        <v>8</v>
      </c>
      <c r="W37">
        <v>18</v>
      </c>
      <c r="X37">
        <v>9</v>
      </c>
      <c r="Y37">
        <v>10</v>
      </c>
      <c r="AA37">
        <v>8</v>
      </c>
      <c r="AB37">
        <v>18</v>
      </c>
      <c r="AC37">
        <v>9</v>
      </c>
      <c r="AD37">
        <v>10</v>
      </c>
      <c r="AF37">
        <v>8</v>
      </c>
      <c r="AG37">
        <v>18</v>
      </c>
      <c r="AH37">
        <v>9</v>
      </c>
      <c r="AI37">
        <v>10</v>
      </c>
      <c r="AK37">
        <v>8</v>
      </c>
      <c r="AL37">
        <v>18</v>
      </c>
      <c r="AM37">
        <v>9</v>
      </c>
      <c r="AN37">
        <v>10</v>
      </c>
      <c r="AP37">
        <v>8</v>
      </c>
      <c r="AQ37">
        <v>18</v>
      </c>
      <c r="AR37">
        <v>9</v>
      </c>
      <c r="AS37">
        <v>10</v>
      </c>
      <c r="AU37">
        <v>8</v>
      </c>
      <c r="AV37">
        <v>18</v>
      </c>
      <c r="AW37">
        <v>9</v>
      </c>
      <c r="AX37">
        <v>10</v>
      </c>
      <c r="AZ37">
        <f t="shared" si="0"/>
        <v>8</v>
      </c>
      <c r="BA37">
        <f t="shared" si="0"/>
        <v>18</v>
      </c>
      <c r="BB37">
        <f t="shared" si="0"/>
        <v>9</v>
      </c>
      <c r="BC37">
        <f t="shared" si="0"/>
        <v>10</v>
      </c>
    </row>
    <row r="38" spans="1:56" x14ac:dyDescent="0.35">
      <c r="A38">
        <v>36</v>
      </c>
      <c r="B38">
        <v>8</v>
      </c>
      <c r="C38">
        <v>19</v>
      </c>
      <c r="D38">
        <v>8</v>
      </c>
      <c r="E38">
        <v>10</v>
      </c>
      <c r="G38">
        <v>8</v>
      </c>
      <c r="H38">
        <v>19</v>
      </c>
      <c r="I38">
        <v>8</v>
      </c>
      <c r="J38">
        <v>10</v>
      </c>
      <c r="L38">
        <v>8</v>
      </c>
      <c r="M38">
        <v>19</v>
      </c>
      <c r="N38">
        <v>8</v>
      </c>
      <c r="O38">
        <v>10</v>
      </c>
      <c r="Q38">
        <v>8</v>
      </c>
      <c r="R38">
        <v>19</v>
      </c>
      <c r="S38">
        <v>8</v>
      </c>
      <c r="T38">
        <v>10</v>
      </c>
      <c r="V38">
        <v>8</v>
      </c>
      <c r="W38">
        <v>19</v>
      </c>
      <c r="X38">
        <v>8</v>
      </c>
      <c r="Y38">
        <v>10</v>
      </c>
      <c r="AA38">
        <v>8</v>
      </c>
      <c r="AB38">
        <v>19</v>
      </c>
      <c r="AC38">
        <v>8</v>
      </c>
      <c r="AD38">
        <v>10</v>
      </c>
      <c r="AF38">
        <v>8</v>
      </c>
      <c r="AG38">
        <v>19</v>
      </c>
      <c r="AH38">
        <v>8</v>
      </c>
      <c r="AI38">
        <v>10</v>
      </c>
      <c r="AK38">
        <v>8</v>
      </c>
      <c r="AL38">
        <v>19</v>
      </c>
      <c r="AM38">
        <v>8</v>
      </c>
      <c r="AN38">
        <v>10</v>
      </c>
      <c r="AP38">
        <v>8</v>
      </c>
      <c r="AQ38">
        <v>19</v>
      </c>
      <c r="AR38">
        <v>8</v>
      </c>
      <c r="AS38">
        <v>10</v>
      </c>
      <c r="AU38">
        <v>8</v>
      </c>
      <c r="AV38">
        <v>19</v>
      </c>
      <c r="AW38">
        <v>8</v>
      </c>
      <c r="AX38">
        <v>10</v>
      </c>
      <c r="AZ38">
        <f t="shared" si="0"/>
        <v>8</v>
      </c>
      <c r="BA38">
        <f t="shared" si="0"/>
        <v>19</v>
      </c>
      <c r="BB38">
        <f t="shared" si="0"/>
        <v>8</v>
      </c>
      <c r="BC38">
        <f t="shared" si="0"/>
        <v>10</v>
      </c>
    </row>
    <row r="40" spans="1:56" x14ac:dyDescent="0.35">
      <c r="A40" t="s">
        <v>9</v>
      </c>
      <c r="B40">
        <f>SUM(B2:B38)</f>
        <v>272</v>
      </c>
      <c r="C40">
        <f t="shared" ref="C40:E40" si="1">SUM(C2:C38)</f>
        <v>268</v>
      </c>
      <c r="D40">
        <f t="shared" si="1"/>
        <v>274</v>
      </c>
      <c r="E40">
        <f t="shared" si="1"/>
        <v>272</v>
      </c>
      <c r="G40">
        <f>SUM(G2:G38)</f>
        <v>272</v>
      </c>
      <c r="H40">
        <f t="shared" ref="H40:J40" si="2">SUM(H2:H38)</f>
        <v>268</v>
      </c>
      <c r="I40">
        <f t="shared" si="2"/>
        <v>274</v>
      </c>
      <c r="J40">
        <f t="shared" si="2"/>
        <v>272</v>
      </c>
      <c r="L40">
        <f>SUM(L2:L38)</f>
        <v>272</v>
      </c>
      <c r="M40">
        <f t="shared" ref="M40:O40" si="3">SUM(M2:M38)</f>
        <v>268</v>
      </c>
      <c r="N40">
        <f t="shared" si="3"/>
        <v>274</v>
      </c>
      <c r="O40">
        <f t="shared" si="3"/>
        <v>272</v>
      </c>
      <c r="Q40">
        <f>SUM(Q2:Q38)</f>
        <v>272</v>
      </c>
      <c r="R40">
        <f t="shared" ref="R40:T40" si="4">SUM(R2:R38)</f>
        <v>268</v>
      </c>
      <c r="S40">
        <f t="shared" si="4"/>
        <v>274</v>
      </c>
      <c r="T40">
        <f t="shared" si="4"/>
        <v>272</v>
      </c>
      <c r="V40">
        <f>SUM(V2:V38)</f>
        <v>272</v>
      </c>
      <c r="W40">
        <f t="shared" ref="W40:Y40" si="5">SUM(W2:W38)</f>
        <v>268</v>
      </c>
      <c r="X40">
        <f t="shared" si="5"/>
        <v>274</v>
      </c>
      <c r="Y40">
        <f t="shared" si="5"/>
        <v>272</v>
      </c>
      <c r="AA40">
        <f>SUM(AA2:AA38)</f>
        <v>272</v>
      </c>
      <c r="AB40">
        <f t="shared" ref="AB40:AD40" si="6">SUM(AB2:AB38)</f>
        <v>268</v>
      </c>
      <c r="AC40">
        <f t="shared" si="6"/>
        <v>274</v>
      </c>
      <c r="AD40">
        <f t="shared" si="6"/>
        <v>272</v>
      </c>
      <c r="AF40">
        <f>SUM(AF2:AF38)</f>
        <v>272</v>
      </c>
      <c r="AG40">
        <f t="shared" ref="AG40:AI40" si="7">SUM(AG2:AG38)</f>
        <v>268</v>
      </c>
      <c r="AH40">
        <f t="shared" si="7"/>
        <v>274</v>
      </c>
      <c r="AI40">
        <f t="shared" si="7"/>
        <v>272</v>
      </c>
      <c r="AK40">
        <f>SUM(AK2:AK38)</f>
        <v>272</v>
      </c>
      <c r="AL40">
        <f t="shared" ref="AL40:AN40" si="8">SUM(AL2:AL38)</f>
        <v>268</v>
      </c>
      <c r="AM40">
        <f t="shared" si="8"/>
        <v>274</v>
      </c>
      <c r="AN40">
        <f t="shared" si="8"/>
        <v>272</v>
      </c>
      <c r="AP40">
        <f>SUM(AP2:AP38)</f>
        <v>272</v>
      </c>
      <c r="AQ40">
        <f t="shared" ref="AQ40:AS40" si="9">SUM(AQ2:AQ38)</f>
        <v>268</v>
      </c>
      <c r="AR40">
        <f t="shared" si="9"/>
        <v>274</v>
      </c>
      <c r="AS40">
        <f t="shared" si="9"/>
        <v>272</v>
      </c>
      <c r="AU40">
        <f>SUM(AU2:AU38)</f>
        <v>272</v>
      </c>
      <c r="AV40">
        <f t="shared" ref="AV40:AX40" si="10">SUM(AV2:AV38)</f>
        <v>268</v>
      </c>
      <c r="AW40">
        <f t="shared" si="10"/>
        <v>274</v>
      </c>
      <c r="AX40">
        <f t="shared" si="10"/>
        <v>272</v>
      </c>
      <c r="AZ40" s="5"/>
      <c r="BA40">
        <f>SUM(BA2:BA38)</f>
        <v>268</v>
      </c>
      <c r="BB40">
        <f t="shared" ref="BB40:BD40" si="11">SUM(BB2:BB38)</f>
        <v>274</v>
      </c>
      <c r="BC40">
        <f t="shared" si="11"/>
        <v>272</v>
      </c>
      <c r="BD40">
        <f t="shared" si="11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4FC9-44B7-45D7-92C6-A06A5211D6B8}">
  <dimension ref="A1:BD40"/>
  <sheetViews>
    <sheetView workbookViewId="0">
      <selection activeCell="C43" sqref="C43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0" max="50" width="8.7265625" style="5"/>
  </cols>
  <sheetData>
    <row r="1" spans="1:54" x14ac:dyDescent="0.35">
      <c r="A1" t="s">
        <v>19</v>
      </c>
      <c r="B1" t="s">
        <v>47</v>
      </c>
      <c r="C1" t="s">
        <v>48</v>
      </c>
      <c r="D1" t="s">
        <v>49</v>
      </c>
      <c r="E1" t="s">
        <v>50</v>
      </c>
      <c r="F1" s="5">
        <v>1</v>
      </c>
      <c r="G1" t="s">
        <v>47</v>
      </c>
      <c r="H1" t="s">
        <v>48</v>
      </c>
      <c r="I1" t="s">
        <v>49</v>
      </c>
      <c r="J1" t="s">
        <v>50</v>
      </c>
      <c r="K1" s="5">
        <v>2</v>
      </c>
      <c r="L1" t="s">
        <v>47</v>
      </c>
      <c r="M1" t="s">
        <v>48</v>
      </c>
      <c r="N1" t="s">
        <v>49</v>
      </c>
      <c r="O1" t="s">
        <v>50</v>
      </c>
      <c r="P1" s="5">
        <v>3</v>
      </c>
      <c r="Q1" t="s">
        <v>47</v>
      </c>
      <c r="R1" t="s">
        <v>48</v>
      </c>
      <c r="S1" t="s">
        <v>49</v>
      </c>
      <c r="T1" t="s">
        <v>50</v>
      </c>
      <c r="U1" s="5">
        <v>4</v>
      </c>
      <c r="V1" t="s">
        <v>47</v>
      </c>
      <c r="W1" t="s">
        <v>48</v>
      </c>
      <c r="X1" t="s">
        <v>49</v>
      </c>
      <c r="Y1" t="s">
        <v>50</v>
      </c>
      <c r="Z1" s="5">
        <v>5</v>
      </c>
      <c r="AA1" t="s">
        <v>47</v>
      </c>
      <c r="AB1" t="s">
        <v>48</v>
      </c>
      <c r="AC1" t="s">
        <v>49</v>
      </c>
      <c r="AD1" t="s">
        <v>50</v>
      </c>
      <c r="AE1" s="5">
        <v>6</v>
      </c>
      <c r="AF1" t="s">
        <v>47</v>
      </c>
      <c r="AG1" t="s">
        <v>48</v>
      </c>
      <c r="AH1" t="s">
        <v>49</v>
      </c>
      <c r="AI1" t="s">
        <v>50</v>
      </c>
      <c r="AJ1" s="5">
        <v>7</v>
      </c>
      <c r="AK1" t="s">
        <v>47</v>
      </c>
      <c r="AL1" t="s">
        <v>48</v>
      </c>
      <c r="AM1" t="s">
        <v>49</v>
      </c>
      <c r="AN1" t="s">
        <v>50</v>
      </c>
      <c r="AO1" s="5">
        <v>8</v>
      </c>
      <c r="AP1" t="s">
        <v>47</v>
      </c>
      <c r="AQ1" t="s">
        <v>48</v>
      </c>
      <c r="AR1" t="s">
        <v>49</v>
      </c>
      <c r="AS1" t="s">
        <v>50</v>
      </c>
      <c r="AT1" s="5">
        <v>9</v>
      </c>
      <c r="AU1" t="s">
        <v>47</v>
      </c>
      <c r="AV1" t="s">
        <v>48</v>
      </c>
      <c r="AW1" t="s">
        <v>49</v>
      </c>
      <c r="AX1" t="s">
        <v>50</v>
      </c>
      <c r="AY1" t="s">
        <v>105</v>
      </c>
      <c r="AZ1" t="s">
        <v>106</v>
      </c>
      <c r="BA1" t="s">
        <v>107</v>
      </c>
      <c r="BB1" t="s">
        <v>108</v>
      </c>
    </row>
    <row r="2" spans="1:54" x14ac:dyDescent="0.35">
      <c r="A2">
        <v>0</v>
      </c>
      <c r="B2">
        <v>0</v>
      </c>
      <c r="C2">
        <v>0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L2">
        <v>0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V2">
        <v>0</v>
      </c>
      <c r="W2">
        <v>0</v>
      </c>
      <c r="X2">
        <v>0</v>
      </c>
      <c r="Y2">
        <v>0</v>
      </c>
      <c r="AA2">
        <v>0</v>
      </c>
      <c r="AB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K2">
        <v>0</v>
      </c>
      <c r="AL2">
        <v>0</v>
      </c>
      <c r="AM2">
        <v>0</v>
      </c>
      <c r="AN2">
        <v>0</v>
      </c>
      <c r="AP2">
        <v>0</v>
      </c>
      <c r="AQ2">
        <v>0</v>
      </c>
      <c r="AR2">
        <v>0</v>
      </c>
      <c r="AS2">
        <v>0</v>
      </c>
      <c r="AU2">
        <v>0</v>
      </c>
      <c r="AV2">
        <v>0</v>
      </c>
      <c r="AW2">
        <v>0</v>
      </c>
      <c r="AX2">
        <v>0</v>
      </c>
      <c r="AY2">
        <f>AVERAGE(B2,G2,L2,Q2,V2,AA2,AF2,AK2,AP2,AU2)</f>
        <v>0</v>
      </c>
      <c r="AZ2">
        <f t="shared" ref="AZ2:BB17" si="0">AVERAGE(C2,H2,M2,R2,W2,AB2,AG2,AL2,AQ2,AV2)</f>
        <v>0</v>
      </c>
      <c r="BA2">
        <f t="shared" si="0"/>
        <v>0</v>
      </c>
      <c r="BB2">
        <f t="shared" si="0"/>
        <v>0</v>
      </c>
    </row>
    <row r="3" spans="1:54" x14ac:dyDescent="0.35">
      <c r="A3">
        <v>1</v>
      </c>
      <c r="B3">
        <f>'Inventory Baseline'!B3*0.5</f>
        <v>6</v>
      </c>
      <c r="C3">
        <f>'Inventory Baseline'!C3*0.5</f>
        <v>6</v>
      </c>
      <c r="D3">
        <f>'Inventory Baseline'!D3*0.5</f>
        <v>6</v>
      </c>
      <c r="E3">
        <f>'Inventory Baseline'!E3*0.5</f>
        <v>6</v>
      </c>
      <c r="G3">
        <f>'Inventory Baseline'!G3*0.5</f>
        <v>6</v>
      </c>
      <c r="H3">
        <f>'Inventory Baseline'!H3*0.5</f>
        <v>6</v>
      </c>
      <c r="I3">
        <f>'Inventory Baseline'!I3*0.5</f>
        <v>6</v>
      </c>
      <c r="J3">
        <f>'Inventory Baseline'!J3*0.5</f>
        <v>6</v>
      </c>
      <c r="L3">
        <f>'Inventory Baseline'!L3*0.5</f>
        <v>6</v>
      </c>
      <c r="M3">
        <f>'Inventory Baseline'!M3*0.5</f>
        <v>6</v>
      </c>
      <c r="N3">
        <f>'Inventory Baseline'!N3*0.5</f>
        <v>6</v>
      </c>
      <c r="O3">
        <f>'Inventory Baseline'!O3*0.5</f>
        <v>6</v>
      </c>
      <c r="Q3">
        <f>'Inventory Baseline'!Q3*0.5</f>
        <v>6</v>
      </c>
      <c r="R3">
        <f>'Inventory Baseline'!R3*0.5</f>
        <v>6</v>
      </c>
      <c r="S3">
        <f>'Inventory Baseline'!S3*0.5</f>
        <v>6</v>
      </c>
      <c r="T3">
        <f>'Inventory Baseline'!T3*0.5</f>
        <v>6</v>
      </c>
      <c r="V3">
        <f>'Inventory Baseline'!V3*0.5</f>
        <v>6</v>
      </c>
      <c r="W3">
        <f>'Inventory Baseline'!W3*0.5</f>
        <v>6</v>
      </c>
      <c r="X3">
        <f>'Inventory Baseline'!X3*0.5</f>
        <v>6</v>
      </c>
      <c r="Y3">
        <f>'Inventory Baseline'!Y3*0.5</f>
        <v>6</v>
      </c>
      <c r="AA3">
        <f>'Inventory Baseline'!AA3*0.5</f>
        <v>6</v>
      </c>
      <c r="AB3">
        <f>'Inventory Baseline'!AB3*0.5</f>
        <v>6</v>
      </c>
      <c r="AC3">
        <f>'Inventory Baseline'!AC3*0.5</f>
        <v>6</v>
      </c>
      <c r="AD3">
        <f>'Inventory Baseline'!AD3*0.5</f>
        <v>6</v>
      </c>
      <c r="AF3">
        <f>'Inventory Baseline'!AF3*0.5</f>
        <v>6</v>
      </c>
      <c r="AG3">
        <f>'Inventory Baseline'!AG3*0.5</f>
        <v>6</v>
      </c>
      <c r="AH3">
        <f>'Inventory Baseline'!AH3*0.5</f>
        <v>6</v>
      </c>
      <c r="AI3">
        <f>'Inventory Baseline'!AI3*0.5</f>
        <v>6</v>
      </c>
      <c r="AK3">
        <f>'Inventory Baseline'!AK3*0.5</f>
        <v>6</v>
      </c>
      <c r="AL3">
        <f>'Inventory Baseline'!AL3*0.5</f>
        <v>6</v>
      </c>
      <c r="AM3">
        <f>'Inventory Baseline'!AM3*0.5</f>
        <v>6</v>
      </c>
      <c r="AN3">
        <f>'Inventory Baseline'!AN3*0.5</f>
        <v>6</v>
      </c>
      <c r="AP3">
        <f>'Inventory Baseline'!AP3*0.5</f>
        <v>6</v>
      </c>
      <c r="AQ3">
        <f>'Inventory Baseline'!AQ3*0.5</f>
        <v>6</v>
      </c>
      <c r="AR3">
        <f>'Inventory Baseline'!AR3*0.5</f>
        <v>6</v>
      </c>
      <c r="AS3">
        <f>'Inventory Baseline'!AS3*0.5</f>
        <v>6</v>
      </c>
      <c r="AU3">
        <f>'Inventory Baseline'!AU3*0.5</f>
        <v>6</v>
      </c>
      <c r="AV3">
        <f>'Inventory Baseline'!AV3*0.5</f>
        <v>6</v>
      </c>
      <c r="AW3">
        <f>'Inventory Baseline'!AW3*0.5</f>
        <v>6</v>
      </c>
      <c r="AX3">
        <f>'Inventory Baseline'!AX3*0.5</f>
        <v>6</v>
      </c>
      <c r="AY3">
        <f t="shared" ref="AY3:BB38" si="1">AVERAGE(B3,G3,L3,Q3,V3,AA3,AF3,AK3,AP3,AU3)</f>
        <v>6</v>
      </c>
      <c r="AZ3">
        <f t="shared" si="0"/>
        <v>6</v>
      </c>
      <c r="BA3">
        <f t="shared" si="0"/>
        <v>6</v>
      </c>
      <c r="BB3">
        <f t="shared" si="0"/>
        <v>6</v>
      </c>
    </row>
    <row r="4" spans="1:54" x14ac:dyDescent="0.35">
      <c r="A4">
        <v>2</v>
      </c>
      <c r="B4">
        <f>'Inventory Baseline'!B4*0.5</f>
        <v>6</v>
      </c>
      <c r="C4">
        <f>'Inventory Baseline'!C4*0.5</f>
        <v>6</v>
      </c>
      <c r="D4">
        <f>'Inventory Baseline'!D4*0.5</f>
        <v>6</v>
      </c>
      <c r="E4">
        <f>'Inventory Baseline'!E4*0.5</f>
        <v>6</v>
      </c>
      <c r="G4">
        <f>'Inventory Baseline'!G4*0.5</f>
        <v>6</v>
      </c>
      <c r="H4">
        <f>'Inventory Baseline'!H4*0.5</f>
        <v>6</v>
      </c>
      <c r="I4">
        <f>'Inventory Baseline'!I4*0.5</f>
        <v>6</v>
      </c>
      <c r="J4">
        <f>'Inventory Baseline'!J4*0.5</f>
        <v>6</v>
      </c>
      <c r="L4">
        <f>'Inventory Baseline'!L4*0.5</f>
        <v>6</v>
      </c>
      <c r="M4">
        <f>'Inventory Baseline'!M4*0.5</f>
        <v>6</v>
      </c>
      <c r="N4">
        <f>'Inventory Baseline'!N4*0.5</f>
        <v>6</v>
      </c>
      <c r="O4">
        <f>'Inventory Baseline'!O4*0.5</f>
        <v>6</v>
      </c>
      <c r="Q4">
        <f>'Inventory Baseline'!Q4*0.5</f>
        <v>6</v>
      </c>
      <c r="R4">
        <f>'Inventory Baseline'!R4*0.5</f>
        <v>6</v>
      </c>
      <c r="S4">
        <f>'Inventory Baseline'!S4*0.5</f>
        <v>6</v>
      </c>
      <c r="T4">
        <f>'Inventory Baseline'!T4*0.5</f>
        <v>6</v>
      </c>
      <c r="V4">
        <f>'Inventory Baseline'!V4*0.5</f>
        <v>6</v>
      </c>
      <c r="W4">
        <f>'Inventory Baseline'!W4*0.5</f>
        <v>6</v>
      </c>
      <c r="X4">
        <f>'Inventory Baseline'!X4*0.5</f>
        <v>6</v>
      </c>
      <c r="Y4">
        <f>'Inventory Baseline'!Y4*0.5</f>
        <v>6</v>
      </c>
      <c r="AA4">
        <f>'Inventory Baseline'!AA4*0.5</f>
        <v>6</v>
      </c>
      <c r="AB4">
        <f>'Inventory Baseline'!AB4*0.5</f>
        <v>6</v>
      </c>
      <c r="AC4">
        <f>'Inventory Baseline'!AC4*0.5</f>
        <v>6</v>
      </c>
      <c r="AD4">
        <f>'Inventory Baseline'!AD4*0.5</f>
        <v>6</v>
      </c>
      <c r="AF4">
        <f>'Inventory Baseline'!AF4*0.5</f>
        <v>6</v>
      </c>
      <c r="AG4">
        <f>'Inventory Baseline'!AG4*0.5</f>
        <v>6</v>
      </c>
      <c r="AH4">
        <f>'Inventory Baseline'!AH4*0.5</f>
        <v>6</v>
      </c>
      <c r="AI4">
        <f>'Inventory Baseline'!AI4*0.5</f>
        <v>6</v>
      </c>
      <c r="AK4">
        <f>'Inventory Baseline'!AK4*0.5</f>
        <v>6</v>
      </c>
      <c r="AL4">
        <f>'Inventory Baseline'!AL4*0.5</f>
        <v>6</v>
      </c>
      <c r="AM4">
        <f>'Inventory Baseline'!AM4*0.5</f>
        <v>6</v>
      </c>
      <c r="AN4">
        <f>'Inventory Baseline'!AN4*0.5</f>
        <v>6</v>
      </c>
      <c r="AP4">
        <f>'Inventory Baseline'!AP4*0.5</f>
        <v>6</v>
      </c>
      <c r="AQ4">
        <f>'Inventory Baseline'!AQ4*0.5</f>
        <v>6</v>
      </c>
      <c r="AR4">
        <f>'Inventory Baseline'!AR4*0.5</f>
        <v>6</v>
      </c>
      <c r="AS4">
        <f>'Inventory Baseline'!AS4*0.5</f>
        <v>6</v>
      </c>
      <c r="AU4">
        <f>'Inventory Baseline'!AU4*0.5</f>
        <v>6</v>
      </c>
      <c r="AV4">
        <f>'Inventory Baseline'!AV4*0.5</f>
        <v>6</v>
      </c>
      <c r="AW4">
        <f>'Inventory Baseline'!AW4*0.5</f>
        <v>6</v>
      </c>
      <c r="AX4">
        <f>'Inventory Baseline'!AX4*0.5</f>
        <v>6</v>
      </c>
      <c r="AY4">
        <f t="shared" si="1"/>
        <v>6</v>
      </c>
      <c r="AZ4">
        <f t="shared" si="0"/>
        <v>6</v>
      </c>
      <c r="BA4">
        <f t="shared" si="0"/>
        <v>6</v>
      </c>
      <c r="BB4">
        <f t="shared" si="0"/>
        <v>6</v>
      </c>
    </row>
    <row r="5" spans="1:54" x14ac:dyDescent="0.35">
      <c r="A5">
        <v>3</v>
      </c>
      <c r="B5">
        <f>'Inventory Baseline'!B5*0.5</f>
        <v>6</v>
      </c>
      <c r="C5">
        <f>'Inventory Baseline'!C5*0.5</f>
        <v>6</v>
      </c>
      <c r="D5">
        <f>'Inventory Baseline'!D5*0.5</f>
        <v>6</v>
      </c>
      <c r="E5">
        <f>'Inventory Baseline'!E5*0.5</f>
        <v>6</v>
      </c>
      <c r="G5">
        <f>'Inventory Baseline'!G5*0.5</f>
        <v>6</v>
      </c>
      <c r="H5">
        <f>'Inventory Baseline'!H5*0.5</f>
        <v>6</v>
      </c>
      <c r="I5">
        <f>'Inventory Baseline'!I5*0.5</f>
        <v>6</v>
      </c>
      <c r="J5">
        <f>'Inventory Baseline'!J5*0.5</f>
        <v>6</v>
      </c>
      <c r="L5">
        <f>'Inventory Baseline'!L5*0.5</f>
        <v>6</v>
      </c>
      <c r="M5">
        <f>'Inventory Baseline'!M5*0.5</f>
        <v>6</v>
      </c>
      <c r="N5">
        <f>'Inventory Baseline'!N5*0.5</f>
        <v>6</v>
      </c>
      <c r="O5">
        <f>'Inventory Baseline'!O5*0.5</f>
        <v>6</v>
      </c>
      <c r="Q5">
        <f>'Inventory Baseline'!Q5*0.5</f>
        <v>6</v>
      </c>
      <c r="R5">
        <f>'Inventory Baseline'!R5*0.5</f>
        <v>6</v>
      </c>
      <c r="S5">
        <f>'Inventory Baseline'!S5*0.5</f>
        <v>6</v>
      </c>
      <c r="T5">
        <f>'Inventory Baseline'!T5*0.5</f>
        <v>6</v>
      </c>
      <c r="V5">
        <f>'Inventory Baseline'!V5*0.5</f>
        <v>6</v>
      </c>
      <c r="W5">
        <f>'Inventory Baseline'!W5*0.5</f>
        <v>6</v>
      </c>
      <c r="X5">
        <f>'Inventory Baseline'!X5*0.5</f>
        <v>6</v>
      </c>
      <c r="Y5">
        <f>'Inventory Baseline'!Y5*0.5</f>
        <v>6</v>
      </c>
      <c r="AA5">
        <f>'Inventory Baseline'!AA5*0.5</f>
        <v>6</v>
      </c>
      <c r="AB5">
        <f>'Inventory Baseline'!AB5*0.5</f>
        <v>6</v>
      </c>
      <c r="AC5">
        <f>'Inventory Baseline'!AC5*0.5</f>
        <v>6</v>
      </c>
      <c r="AD5">
        <f>'Inventory Baseline'!AD5*0.5</f>
        <v>6</v>
      </c>
      <c r="AF5">
        <f>'Inventory Baseline'!AF5*0.5</f>
        <v>6</v>
      </c>
      <c r="AG5">
        <f>'Inventory Baseline'!AG5*0.5</f>
        <v>6</v>
      </c>
      <c r="AH5">
        <f>'Inventory Baseline'!AH5*0.5</f>
        <v>6</v>
      </c>
      <c r="AI5">
        <f>'Inventory Baseline'!AI5*0.5</f>
        <v>6</v>
      </c>
      <c r="AK5">
        <f>'Inventory Baseline'!AK5*0.5</f>
        <v>6</v>
      </c>
      <c r="AL5">
        <f>'Inventory Baseline'!AL5*0.5</f>
        <v>6</v>
      </c>
      <c r="AM5">
        <f>'Inventory Baseline'!AM5*0.5</f>
        <v>6</v>
      </c>
      <c r="AN5">
        <f>'Inventory Baseline'!AN5*0.5</f>
        <v>6</v>
      </c>
      <c r="AP5">
        <f>'Inventory Baseline'!AP5*0.5</f>
        <v>6</v>
      </c>
      <c r="AQ5">
        <f>'Inventory Baseline'!AQ5*0.5</f>
        <v>6</v>
      </c>
      <c r="AR5">
        <f>'Inventory Baseline'!AR5*0.5</f>
        <v>6</v>
      </c>
      <c r="AS5">
        <f>'Inventory Baseline'!AS5*0.5</f>
        <v>6</v>
      </c>
      <c r="AU5">
        <f>'Inventory Baseline'!AU5*0.5</f>
        <v>6</v>
      </c>
      <c r="AV5">
        <f>'Inventory Baseline'!AV5*0.5</f>
        <v>6</v>
      </c>
      <c r="AW5">
        <f>'Inventory Baseline'!AW5*0.5</f>
        <v>6</v>
      </c>
      <c r="AX5">
        <f>'Inventory Baseline'!AX5*0.5</f>
        <v>6</v>
      </c>
      <c r="AY5">
        <f t="shared" si="1"/>
        <v>6</v>
      </c>
      <c r="AZ5">
        <f t="shared" si="0"/>
        <v>6</v>
      </c>
      <c r="BA5">
        <f t="shared" si="0"/>
        <v>6</v>
      </c>
      <c r="BB5">
        <f t="shared" si="0"/>
        <v>6</v>
      </c>
    </row>
    <row r="6" spans="1:54" x14ac:dyDescent="0.35">
      <c r="A6">
        <v>4</v>
      </c>
      <c r="B6">
        <f>'Inventory Baseline'!B6*0.5</f>
        <v>6</v>
      </c>
      <c r="C6">
        <f>'Inventory Baseline'!C6*0.5</f>
        <v>6</v>
      </c>
      <c r="D6">
        <f>'Inventory Baseline'!D6*0.5</f>
        <v>6</v>
      </c>
      <c r="E6">
        <f>'Inventory Baseline'!E6*0.5</f>
        <v>6</v>
      </c>
      <c r="G6">
        <f>'Inventory Baseline'!G6*0.5</f>
        <v>6</v>
      </c>
      <c r="H6">
        <f>'Inventory Baseline'!H6*0.5</f>
        <v>6</v>
      </c>
      <c r="I6">
        <f>'Inventory Baseline'!I6*0.5</f>
        <v>6</v>
      </c>
      <c r="J6">
        <f>'Inventory Baseline'!J6*0.5</f>
        <v>6</v>
      </c>
      <c r="L6">
        <f>'Inventory Baseline'!L6*0.5</f>
        <v>6</v>
      </c>
      <c r="M6">
        <f>'Inventory Baseline'!M6*0.5</f>
        <v>6</v>
      </c>
      <c r="N6">
        <f>'Inventory Baseline'!N6*0.5</f>
        <v>6</v>
      </c>
      <c r="O6">
        <f>'Inventory Baseline'!O6*0.5</f>
        <v>6</v>
      </c>
      <c r="Q6">
        <f>'Inventory Baseline'!Q6*0.5</f>
        <v>6</v>
      </c>
      <c r="R6">
        <f>'Inventory Baseline'!R6*0.5</f>
        <v>6</v>
      </c>
      <c r="S6">
        <f>'Inventory Baseline'!S6*0.5</f>
        <v>6</v>
      </c>
      <c r="T6">
        <f>'Inventory Baseline'!T6*0.5</f>
        <v>6</v>
      </c>
      <c r="V6">
        <f>'Inventory Baseline'!V6*0.5</f>
        <v>6</v>
      </c>
      <c r="W6">
        <f>'Inventory Baseline'!W6*0.5</f>
        <v>6</v>
      </c>
      <c r="X6">
        <f>'Inventory Baseline'!X6*0.5</f>
        <v>6</v>
      </c>
      <c r="Y6">
        <f>'Inventory Baseline'!Y6*0.5</f>
        <v>6</v>
      </c>
      <c r="AA6">
        <f>'Inventory Baseline'!AA6*0.5</f>
        <v>6</v>
      </c>
      <c r="AB6">
        <f>'Inventory Baseline'!AB6*0.5</f>
        <v>6</v>
      </c>
      <c r="AC6">
        <f>'Inventory Baseline'!AC6*0.5</f>
        <v>6</v>
      </c>
      <c r="AD6">
        <f>'Inventory Baseline'!AD6*0.5</f>
        <v>6</v>
      </c>
      <c r="AF6">
        <f>'Inventory Baseline'!AF6*0.5</f>
        <v>6</v>
      </c>
      <c r="AG6">
        <f>'Inventory Baseline'!AG6*0.5</f>
        <v>6</v>
      </c>
      <c r="AH6">
        <f>'Inventory Baseline'!AH6*0.5</f>
        <v>6</v>
      </c>
      <c r="AI6">
        <f>'Inventory Baseline'!AI6*0.5</f>
        <v>6</v>
      </c>
      <c r="AK6">
        <f>'Inventory Baseline'!AK6*0.5</f>
        <v>6</v>
      </c>
      <c r="AL6">
        <f>'Inventory Baseline'!AL6*0.5</f>
        <v>6</v>
      </c>
      <c r="AM6">
        <f>'Inventory Baseline'!AM6*0.5</f>
        <v>6</v>
      </c>
      <c r="AN6">
        <f>'Inventory Baseline'!AN6*0.5</f>
        <v>6</v>
      </c>
      <c r="AP6">
        <f>'Inventory Baseline'!AP6*0.5</f>
        <v>6</v>
      </c>
      <c r="AQ6">
        <f>'Inventory Baseline'!AQ6*0.5</f>
        <v>6</v>
      </c>
      <c r="AR6">
        <f>'Inventory Baseline'!AR6*0.5</f>
        <v>6</v>
      </c>
      <c r="AS6">
        <f>'Inventory Baseline'!AS6*0.5</f>
        <v>6</v>
      </c>
      <c r="AU6">
        <f>'Inventory Baseline'!AU6*0.5</f>
        <v>6</v>
      </c>
      <c r="AV6">
        <f>'Inventory Baseline'!AV6*0.5</f>
        <v>6</v>
      </c>
      <c r="AW6">
        <f>'Inventory Baseline'!AW6*0.5</f>
        <v>6</v>
      </c>
      <c r="AX6">
        <f>'Inventory Baseline'!AX6*0.5</f>
        <v>6</v>
      </c>
      <c r="AY6">
        <f t="shared" si="1"/>
        <v>6</v>
      </c>
      <c r="AZ6">
        <f t="shared" si="0"/>
        <v>6</v>
      </c>
      <c r="BA6">
        <f t="shared" si="0"/>
        <v>6</v>
      </c>
      <c r="BB6">
        <f t="shared" si="0"/>
        <v>6</v>
      </c>
    </row>
    <row r="7" spans="1:54" x14ac:dyDescent="0.35">
      <c r="A7">
        <v>5</v>
      </c>
      <c r="B7">
        <f>'Inventory Baseline'!B7*0.5</f>
        <v>6</v>
      </c>
      <c r="C7">
        <f>'Inventory Baseline'!C7*0.5</f>
        <v>6</v>
      </c>
      <c r="D7">
        <f>'Inventory Baseline'!D7*0.5</f>
        <v>4</v>
      </c>
      <c r="E7">
        <f>'Inventory Baseline'!E7*0.5</f>
        <v>6</v>
      </c>
      <c r="G7">
        <f>'Inventory Baseline'!G7*0.5</f>
        <v>6</v>
      </c>
      <c r="H7">
        <f>'Inventory Baseline'!H7*0.5</f>
        <v>6</v>
      </c>
      <c r="I7">
        <f>'Inventory Baseline'!I7*0.5</f>
        <v>4</v>
      </c>
      <c r="J7">
        <f>'Inventory Baseline'!J7*0.5</f>
        <v>6</v>
      </c>
      <c r="L7">
        <f>'Inventory Baseline'!L7*0.5</f>
        <v>6</v>
      </c>
      <c r="M7">
        <f>'Inventory Baseline'!M7*0.5</f>
        <v>6</v>
      </c>
      <c r="N7">
        <f>'Inventory Baseline'!N7*0.5</f>
        <v>4</v>
      </c>
      <c r="O7">
        <f>'Inventory Baseline'!O7*0.5</f>
        <v>6</v>
      </c>
      <c r="Q7">
        <f>'Inventory Baseline'!Q7*0.5</f>
        <v>6</v>
      </c>
      <c r="R7">
        <f>'Inventory Baseline'!R7*0.5</f>
        <v>6</v>
      </c>
      <c r="S7">
        <f>'Inventory Baseline'!S7*0.5</f>
        <v>4</v>
      </c>
      <c r="T7">
        <f>'Inventory Baseline'!T7*0.5</f>
        <v>6</v>
      </c>
      <c r="V7">
        <f>'Inventory Baseline'!V7*0.5</f>
        <v>6</v>
      </c>
      <c r="W7">
        <f>'Inventory Baseline'!W7*0.5</f>
        <v>6</v>
      </c>
      <c r="X7">
        <f>'Inventory Baseline'!X7*0.5</f>
        <v>4</v>
      </c>
      <c r="Y7">
        <f>'Inventory Baseline'!Y7*0.5</f>
        <v>6</v>
      </c>
      <c r="AA7">
        <f>'Inventory Baseline'!AA7*0.5</f>
        <v>6</v>
      </c>
      <c r="AB7">
        <f>'Inventory Baseline'!AB7*0.5</f>
        <v>6</v>
      </c>
      <c r="AC7">
        <f>'Inventory Baseline'!AC7*0.5</f>
        <v>4</v>
      </c>
      <c r="AD7">
        <f>'Inventory Baseline'!AD7*0.5</f>
        <v>6</v>
      </c>
      <c r="AF7">
        <f>'Inventory Baseline'!AF7*0.5</f>
        <v>6</v>
      </c>
      <c r="AG7">
        <f>'Inventory Baseline'!AG7*0.5</f>
        <v>6</v>
      </c>
      <c r="AH7">
        <f>'Inventory Baseline'!AH7*0.5</f>
        <v>4</v>
      </c>
      <c r="AI7">
        <f>'Inventory Baseline'!AI7*0.5</f>
        <v>6</v>
      </c>
      <c r="AK7">
        <f>'Inventory Baseline'!AK7*0.5</f>
        <v>6</v>
      </c>
      <c r="AL7">
        <f>'Inventory Baseline'!AL7*0.5</f>
        <v>6</v>
      </c>
      <c r="AM7">
        <f>'Inventory Baseline'!AM7*0.5</f>
        <v>4</v>
      </c>
      <c r="AN7">
        <f>'Inventory Baseline'!AN7*0.5</f>
        <v>6</v>
      </c>
      <c r="AP7">
        <f>'Inventory Baseline'!AP7*0.5</f>
        <v>6</v>
      </c>
      <c r="AQ7">
        <f>'Inventory Baseline'!AQ7*0.5</f>
        <v>6</v>
      </c>
      <c r="AR7">
        <f>'Inventory Baseline'!AR7*0.5</f>
        <v>4</v>
      </c>
      <c r="AS7">
        <f>'Inventory Baseline'!AS7*0.5</f>
        <v>6</v>
      </c>
      <c r="AU7">
        <f>'Inventory Baseline'!AU7*0.5</f>
        <v>6</v>
      </c>
      <c r="AV7">
        <f>'Inventory Baseline'!AV7*0.5</f>
        <v>6</v>
      </c>
      <c r="AW7">
        <f>'Inventory Baseline'!AW7*0.5</f>
        <v>4</v>
      </c>
      <c r="AX7">
        <f>'Inventory Baseline'!AX7*0.5</f>
        <v>6</v>
      </c>
      <c r="AY7">
        <f t="shared" si="1"/>
        <v>6</v>
      </c>
      <c r="AZ7">
        <f t="shared" si="0"/>
        <v>6</v>
      </c>
      <c r="BA7">
        <f t="shared" si="0"/>
        <v>4</v>
      </c>
      <c r="BB7">
        <f t="shared" si="0"/>
        <v>6</v>
      </c>
    </row>
    <row r="8" spans="1:54" x14ac:dyDescent="0.35">
      <c r="A8">
        <v>6</v>
      </c>
      <c r="B8">
        <f>'Inventory Baseline'!B8*0.5</f>
        <v>6</v>
      </c>
      <c r="C8">
        <f>'Inventory Baseline'!C8*0.5</f>
        <v>6</v>
      </c>
      <c r="D8">
        <f>'Inventory Baseline'!D8*0.5</f>
        <v>2</v>
      </c>
      <c r="E8">
        <f>'Inventory Baseline'!E8*0.5</f>
        <v>6</v>
      </c>
      <c r="G8">
        <f>'Inventory Baseline'!G8*0.5</f>
        <v>6</v>
      </c>
      <c r="H8">
        <f>'Inventory Baseline'!H8*0.5</f>
        <v>6</v>
      </c>
      <c r="I8">
        <f>'Inventory Baseline'!I8*0.5</f>
        <v>2</v>
      </c>
      <c r="J8">
        <f>'Inventory Baseline'!J8*0.5</f>
        <v>6</v>
      </c>
      <c r="L8">
        <f>'Inventory Baseline'!L8*0.5</f>
        <v>6</v>
      </c>
      <c r="M8">
        <f>'Inventory Baseline'!M8*0.5</f>
        <v>6</v>
      </c>
      <c r="N8">
        <f>'Inventory Baseline'!N8*0.5</f>
        <v>2</v>
      </c>
      <c r="O8">
        <f>'Inventory Baseline'!O8*0.5</f>
        <v>6</v>
      </c>
      <c r="Q8">
        <f>'Inventory Baseline'!Q8*0.5</f>
        <v>6</v>
      </c>
      <c r="R8">
        <f>'Inventory Baseline'!R8*0.5</f>
        <v>6</v>
      </c>
      <c r="S8">
        <f>'Inventory Baseline'!S8*0.5</f>
        <v>2</v>
      </c>
      <c r="T8">
        <f>'Inventory Baseline'!T8*0.5</f>
        <v>6</v>
      </c>
      <c r="V8">
        <f>'Inventory Baseline'!V8*0.5</f>
        <v>6</v>
      </c>
      <c r="W8">
        <f>'Inventory Baseline'!W8*0.5</f>
        <v>6</v>
      </c>
      <c r="X8">
        <f>'Inventory Baseline'!X8*0.5</f>
        <v>2</v>
      </c>
      <c r="Y8">
        <f>'Inventory Baseline'!Y8*0.5</f>
        <v>6</v>
      </c>
      <c r="AA8">
        <f>'Inventory Baseline'!AA8*0.5</f>
        <v>6</v>
      </c>
      <c r="AB8">
        <f>'Inventory Baseline'!AB8*0.5</f>
        <v>6</v>
      </c>
      <c r="AC8">
        <f>'Inventory Baseline'!AC8*0.5</f>
        <v>2</v>
      </c>
      <c r="AD8">
        <f>'Inventory Baseline'!AD8*0.5</f>
        <v>6</v>
      </c>
      <c r="AF8">
        <f>'Inventory Baseline'!AF8*0.5</f>
        <v>6</v>
      </c>
      <c r="AG8">
        <f>'Inventory Baseline'!AG8*0.5</f>
        <v>6</v>
      </c>
      <c r="AH8">
        <f>'Inventory Baseline'!AH8*0.5</f>
        <v>2</v>
      </c>
      <c r="AI8">
        <f>'Inventory Baseline'!AI8*0.5</f>
        <v>6</v>
      </c>
      <c r="AK8">
        <f>'Inventory Baseline'!AK8*0.5</f>
        <v>6</v>
      </c>
      <c r="AL8">
        <f>'Inventory Baseline'!AL8*0.5</f>
        <v>6</v>
      </c>
      <c r="AM8">
        <f>'Inventory Baseline'!AM8*0.5</f>
        <v>2</v>
      </c>
      <c r="AN8">
        <f>'Inventory Baseline'!AN8*0.5</f>
        <v>6</v>
      </c>
      <c r="AP8">
        <f>'Inventory Baseline'!AP8*0.5</f>
        <v>6</v>
      </c>
      <c r="AQ8">
        <f>'Inventory Baseline'!AQ8*0.5</f>
        <v>6</v>
      </c>
      <c r="AR8">
        <f>'Inventory Baseline'!AR8*0.5</f>
        <v>2</v>
      </c>
      <c r="AS8">
        <f>'Inventory Baseline'!AS8*0.5</f>
        <v>6</v>
      </c>
      <c r="AU8">
        <f>'Inventory Baseline'!AU8*0.5</f>
        <v>6</v>
      </c>
      <c r="AV8">
        <f>'Inventory Baseline'!AV8*0.5</f>
        <v>6</v>
      </c>
      <c r="AW8">
        <f>'Inventory Baseline'!AW8*0.5</f>
        <v>2</v>
      </c>
      <c r="AX8">
        <f>'Inventory Baseline'!AX8*0.5</f>
        <v>6</v>
      </c>
      <c r="AY8">
        <f t="shared" si="1"/>
        <v>6</v>
      </c>
      <c r="AZ8">
        <f t="shared" si="0"/>
        <v>6</v>
      </c>
      <c r="BA8">
        <f t="shared" si="0"/>
        <v>2</v>
      </c>
      <c r="BB8">
        <f t="shared" si="0"/>
        <v>6</v>
      </c>
    </row>
    <row r="9" spans="1:54" x14ac:dyDescent="0.35">
      <c r="A9">
        <v>7</v>
      </c>
      <c r="B9">
        <f>'Inventory Baseline'!B9*0.5</f>
        <v>8</v>
      </c>
      <c r="C9">
        <f>'Inventory Baseline'!C9*0.5</f>
        <v>8</v>
      </c>
      <c r="D9">
        <f>'Inventory Baseline'!D9*0.5</f>
        <v>0</v>
      </c>
      <c r="E9">
        <f>'Inventory Baseline'!E9*0.5</f>
        <v>6</v>
      </c>
      <c r="G9">
        <f>'Inventory Baseline'!G9*0.5</f>
        <v>8</v>
      </c>
      <c r="H9">
        <f>'Inventory Baseline'!H9*0.5</f>
        <v>8</v>
      </c>
      <c r="I9">
        <f>'Inventory Baseline'!I9*0.5</f>
        <v>0</v>
      </c>
      <c r="J9">
        <f>'Inventory Baseline'!J9*0.5</f>
        <v>6</v>
      </c>
      <c r="L9">
        <f>'Inventory Baseline'!L9*0.5</f>
        <v>8</v>
      </c>
      <c r="M9">
        <f>'Inventory Baseline'!M9*0.5</f>
        <v>8</v>
      </c>
      <c r="N9">
        <f>'Inventory Baseline'!N9*0.5</f>
        <v>0</v>
      </c>
      <c r="O9">
        <f>'Inventory Baseline'!O9*0.5</f>
        <v>6</v>
      </c>
      <c r="Q9">
        <f>'Inventory Baseline'!Q9*0.5</f>
        <v>8</v>
      </c>
      <c r="R9">
        <f>'Inventory Baseline'!R9*0.5</f>
        <v>8</v>
      </c>
      <c r="S9">
        <f>'Inventory Baseline'!S9*0.5</f>
        <v>0</v>
      </c>
      <c r="T9">
        <f>'Inventory Baseline'!T9*0.5</f>
        <v>6</v>
      </c>
      <c r="V9">
        <f>'Inventory Baseline'!V9*0.5</f>
        <v>8</v>
      </c>
      <c r="W9">
        <f>'Inventory Baseline'!W9*0.5</f>
        <v>8</v>
      </c>
      <c r="X9">
        <f>'Inventory Baseline'!X9*0.5</f>
        <v>0</v>
      </c>
      <c r="Y9">
        <f>'Inventory Baseline'!Y9*0.5</f>
        <v>6</v>
      </c>
      <c r="AA9">
        <f>'Inventory Baseline'!AA9*0.5</f>
        <v>8</v>
      </c>
      <c r="AB9">
        <f>'Inventory Baseline'!AB9*0.5</f>
        <v>8</v>
      </c>
      <c r="AC9">
        <f>'Inventory Baseline'!AC9*0.5</f>
        <v>0</v>
      </c>
      <c r="AD9">
        <f>'Inventory Baseline'!AD9*0.5</f>
        <v>6</v>
      </c>
      <c r="AF9">
        <f>'Inventory Baseline'!AF9*0.5</f>
        <v>8</v>
      </c>
      <c r="AG9">
        <f>'Inventory Baseline'!AG9*0.5</f>
        <v>8</v>
      </c>
      <c r="AH9">
        <f>'Inventory Baseline'!AH9*0.5</f>
        <v>0</v>
      </c>
      <c r="AI9">
        <f>'Inventory Baseline'!AI9*0.5</f>
        <v>6</v>
      </c>
      <c r="AK9">
        <f>'Inventory Baseline'!AK9*0.5</f>
        <v>8</v>
      </c>
      <c r="AL9">
        <f>'Inventory Baseline'!AL9*0.5</f>
        <v>8</v>
      </c>
      <c r="AM9">
        <f>'Inventory Baseline'!AM9*0.5</f>
        <v>0</v>
      </c>
      <c r="AN9">
        <f>'Inventory Baseline'!AN9*0.5</f>
        <v>6</v>
      </c>
      <c r="AP9">
        <f>'Inventory Baseline'!AP9*0.5</f>
        <v>8</v>
      </c>
      <c r="AQ9">
        <f>'Inventory Baseline'!AQ9*0.5</f>
        <v>8</v>
      </c>
      <c r="AR9">
        <f>'Inventory Baseline'!AR9*0.5</f>
        <v>0</v>
      </c>
      <c r="AS9">
        <f>'Inventory Baseline'!AS9*0.5</f>
        <v>6</v>
      </c>
      <c r="AU9">
        <f>'Inventory Baseline'!AU9*0.5</f>
        <v>8</v>
      </c>
      <c r="AV9">
        <f>'Inventory Baseline'!AV9*0.5</f>
        <v>8</v>
      </c>
      <c r="AW9">
        <f>'Inventory Baseline'!AW9*0.5</f>
        <v>0</v>
      </c>
      <c r="AX9">
        <f>'Inventory Baseline'!AX9*0.5</f>
        <v>6</v>
      </c>
      <c r="AY9">
        <f t="shared" si="1"/>
        <v>8</v>
      </c>
      <c r="AZ9">
        <f t="shared" si="0"/>
        <v>8</v>
      </c>
      <c r="BA9">
        <f t="shared" si="0"/>
        <v>0</v>
      </c>
      <c r="BB9">
        <f t="shared" si="0"/>
        <v>6</v>
      </c>
    </row>
    <row r="10" spans="1:54" x14ac:dyDescent="0.35">
      <c r="A10">
        <v>8</v>
      </c>
      <c r="B10">
        <f>'Inventory Baseline'!B10*0.5</f>
        <v>10</v>
      </c>
      <c r="C10">
        <f>'Inventory Baseline'!C10*0.5</f>
        <v>8</v>
      </c>
      <c r="D10">
        <f>'Inventory Baseline'!D10*0.5</f>
        <v>0</v>
      </c>
      <c r="E10">
        <f>'Inventory Baseline'!E10*0.5</f>
        <v>4</v>
      </c>
      <c r="G10">
        <f>'Inventory Baseline'!G10*0.5</f>
        <v>10</v>
      </c>
      <c r="H10">
        <f>'Inventory Baseline'!H10*0.5</f>
        <v>8</v>
      </c>
      <c r="I10">
        <f>'Inventory Baseline'!I10*0.5</f>
        <v>0</v>
      </c>
      <c r="J10">
        <f>'Inventory Baseline'!J10*0.5</f>
        <v>4</v>
      </c>
      <c r="L10">
        <f>'Inventory Baseline'!L10*0.5</f>
        <v>10</v>
      </c>
      <c r="M10">
        <f>'Inventory Baseline'!M10*0.5</f>
        <v>8</v>
      </c>
      <c r="N10">
        <f>'Inventory Baseline'!N10*0.5</f>
        <v>0</v>
      </c>
      <c r="O10">
        <f>'Inventory Baseline'!O10*0.5</f>
        <v>4</v>
      </c>
      <c r="Q10">
        <f>'Inventory Baseline'!Q10*0.5</f>
        <v>10</v>
      </c>
      <c r="R10">
        <f>'Inventory Baseline'!R10*0.5</f>
        <v>8</v>
      </c>
      <c r="S10">
        <f>'Inventory Baseline'!S10*0.5</f>
        <v>0</v>
      </c>
      <c r="T10">
        <f>'Inventory Baseline'!T10*0.5</f>
        <v>4</v>
      </c>
      <c r="V10">
        <f>'Inventory Baseline'!V10*0.5</f>
        <v>10</v>
      </c>
      <c r="W10">
        <f>'Inventory Baseline'!W10*0.5</f>
        <v>8</v>
      </c>
      <c r="X10">
        <f>'Inventory Baseline'!X10*0.5</f>
        <v>0</v>
      </c>
      <c r="Y10">
        <f>'Inventory Baseline'!Y10*0.5</f>
        <v>4</v>
      </c>
      <c r="AA10">
        <f>'Inventory Baseline'!AA10*0.5</f>
        <v>10</v>
      </c>
      <c r="AB10">
        <f>'Inventory Baseline'!AB10*0.5</f>
        <v>8</v>
      </c>
      <c r="AC10">
        <f>'Inventory Baseline'!AC10*0.5</f>
        <v>0</v>
      </c>
      <c r="AD10">
        <f>'Inventory Baseline'!AD10*0.5</f>
        <v>4</v>
      </c>
      <c r="AF10">
        <f>'Inventory Baseline'!AF10*0.5</f>
        <v>10</v>
      </c>
      <c r="AG10">
        <f>'Inventory Baseline'!AG10*0.5</f>
        <v>8</v>
      </c>
      <c r="AH10">
        <f>'Inventory Baseline'!AH10*0.5</f>
        <v>0</v>
      </c>
      <c r="AI10">
        <f>'Inventory Baseline'!AI10*0.5</f>
        <v>4</v>
      </c>
      <c r="AK10">
        <f>'Inventory Baseline'!AK10*0.5</f>
        <v>10</v>
      </c>
      <c r="AL10">
        <f>'Inventory Baseline'!AL10*0.5</f>
        <v>8</v>
      </c>
      <c r="AM10">
        <f>'Inventory Baseline'!AM10*0.5</f>
        <v>0</v>
      </c>
      <c r="AN10">
        <f>'Inventory Baseline'!AN10*0.5</f>
        <v>4</v>
      </c>
      <c r="AP10">
        <f>'Inventory Baseline'!AP10*0.5</f>
        <v>10</v>
      </c>
      <c r="AQ10">
        <f>'Inventory Baseline'!AQ10*0.5</f>
        <v>8</v>
      </c>
      <c r="AR10">
        <f>'Inventory Baseline'!AR10*0.5</f>
        <v>0</v>
      </c>
      <c r="AS10">
        <f>'Inventory Baseline'!AS10*0.5</f>
        <v>4</v>
      </c>
      <c r="AU10">
        <f>'Inventory Baseline'!AU10*0.5</f>
        <v>10</v>
      </c>
      <c r="AV10">
        <f>'Inventory Baseline'!AV10*0.5</f>
        <v>8</v>
      </c>
      <c r="AW10">
        <f>'Inventory Baseline'!AW10*0.5</f>
        <v>0</v>
      </c>
      <c r="AX10">
        <f>'Inventory Baseline'!AX10*0.5</f>
        <v>4</v>
      </c>
      <c r="AY10">
        <f t="shared" si="1"/>
        <v>10</v>
      </c>
      <c r="AZ10">
        <f t="shared" si="0"/>
        <v>8</v>
      </c>
      <c r="BA10">
        <f t="shared" si="0"/>
        <v>0</v>
      </c>
      <c r="BB10">
        <f t="shared" si="0"/>
        <v>4</v>
      </c>
    </row>
    <row r="11" spans="1:54" x14ac:dyDescent="0.35">
      <c r="A11">
        <v>9</v>
      </c>
      <c r="B11">
        <f>'Inventory Baseline'!B11*0.5</f>
        <v>9.5</v>
      </c>
      <c r="C11">
        <f>'Inventory Baseline'!C11*0.5</f>
        <v>8</v>
      </c>
      <c r="D11">
        <f>'Inventory Baseline'!D11*0.5</f>
        <v>0</v>
      </c>
      <c r="E11">
        <f>'Inventory Baseline'!E11*0.5</f>
        <v>0</v>
      </c>
      <c r="G11">
        <f>'Inventory Baseline'!G11*0.5</f>
        <v>9.5</v>
      </c>
      <c r="H11">
        <f>'Inventory Baseline'!H11*0.5</f>
        <v>8</v>
      </c>
      <c r="I11">
        <f>'Inventory Baseline'!I11*0.5</f>
        <v>0</v>
      </c>
      <c r="J11">
        <f>'Inventory Baseline'!J11*0.5</f>
        <v>0</v>
      </c>
      <c r="L11">
        <f>'Inventory Baseline'!L11*0.5</f>
        <v>9.5</v>
      </c>
      <c r="M11">
        <f>'Inventory Baseline'!M11*0.5</f>
        <v>8</v>
      </c>
      <c r="N11">
        <f>'Inventory Baseline'!N11*0.5</f>
        <v>0</v>
      </c>
      <c r="O11">
        <f>'Inventory Baseline'!O11*0.5</f>
        <v>0</v>
      </c>
      <c r="Q11">
        <f>'Inventory Baseline'!Q11*0.5</f>
        <v>9.5</v>
      </c>
      <c r="R11">
        <f>'Inventory Baseline'!R11*0.5</f>
        <v>8</v>
      </c>
      <c r="S11">
        <f>'Inventory Baseline'!S11*0.5</f>
        <v>0</v>
      </c>
      <c r="T11">
        <f>'Inventory Baseline'!T11*0.5</f>
        <v>0</v>
      </c>
      <c r="V11">
        <f>'Inventory Baseline'!V11*0.5</f>
        <v>9.5</v>
      </c>
      <c r="W11">
        <f>'Inventory Baseline'!W11*0.5</f>
        <v>8</v>
      </c>
      <c r="X11">
        <f>'Inventory Baseline'!X11*0.5</f>
        <v>0</v>
      </c>
      <c r="Y11">
        <f>'Inventory Baseline'!Y11*0.5</f>
        <v>0</v>
      </c>
      <c r="AA11">
        <f>'Inventory Baseline'!AA11*0.5</f>
        <v>9.5</v>
      </c>
      <c r="AB11">
        <f>'Inventory Baseline'!AB11*0.5</f>
        <v>8</v>
      </c>
      <c r="AC11">
        <f>'Inventory Baseline'!AC11*0.5</f>
        <v>0</v>
      </c>
      <c r="AD11">
        <f>'Inventory Baseline'!AD11*0.5</f>
        <v>0</v>
      </c>
      <c r="AF11">
        <f>'Inventory Baseline'!AF11*0.5</f>
        <v>9.5</v>
      </c>
      <c r="AG11">
        <f>'Inventory Baseline'!AG11*0.5</f>
        <v>8</v>
      </c>
      <c r="AH11">
        <f>'Inventory Baseline'!AH11*0.5</f>
        <v>0</v>
      </c>
      <c r="AI11">
        <f>'Inventory Baseline'!AI11*0.5</f>
        <v>0</v>
      </c>
      <c r="AK11">
        <f>'Inventory Baseline'!AK11*0.5</f>
        <v>9.5</v>
      </c>
      <c r="AL11">
        <f>'Inventory Baseline'!AL11*0.5</f>
        <v>8</v>
      </c>
      <c r="AM11">
        <f>'Inventory Baseline'!AM11*0.5</f>
        <v>0</v>
      </c>
      <c r="AN11">
        <f>'Inventory Baseline'!AN11*0.5</f>
        <v>0</v>
      </c>
      <c r="AP11">
        <f>'Inventory Baseline'!AP11*0.5</f>
        <v>9.5</v>
      </c>
      <c r="AQ11">
        <f>'Inventory Baseline'!AQ11*0.5</f>
        <v>8</v>
      </c>
      <c r="AR11">
        <f>'Inventory Baseline'!AR11*0.5</f>
        <v>0</v>
      </c>
      <c r="AS11">
        <f>'Inventory Baseline'!AS11*0.5</f>
        <v>0</v>
      </c>
      <c r="AU11">
        <f>'Inventory Baseline'!AU11*0.5</f>
        <v>9.5</v>
      </c>
      <c r="AV11">
        <f>'Inventory Baseline'!AV11*0.5</f>
        <v>8</v>
      </c>
      <c r="AW11">
        <f>'Inventory Baseline'!AW11*0.5</f>
        <v>0</v>
      </c>
      <c r="AX11">
        <f>'Inventory Baseline'!AX11*0.5</f>
        <v>0</v>
      </c>
      <c r="AY11">
        <f t="shared" si="1"/>
        <v>9.5</v>
      </c>
      <c r="AZ11">
        <f t="shared" si="0"/>
        <v>8</v>
      </c>
      <c r="BA11">
        <f t="shared" si="0"/>
        <v>0</v>
      </c>
      <c r="BB11">
        <f t="shared" si="0"/>
        <v>0</v>
      </c>
    </row>
    <row r="12" spans="1:54" x14ac:dyDescent="0.35">
      <c r="A12">
        <v>10</v>
      </c>
      <c r="B12">
        <f>'Inventory Baseline'!B12*0.5</f>
        <v>5.5</v>
      </c>
      <c r="C12">
        <f>'Inventory Baseline'!C12*0.5</f>
        <v>8</v>
      </c>
      <c r="D12">
        <f>'Inventory Baseline'!D12*0.5</f>
        <v>0</v>
      </c>
      <c r="E12">
        <f>'Inventory Baseline'!E12*0.5</f>
        <v>0</v>
      </c>
      <c r="G12">
        <f>'Inventory Baseline'!G12*0.5</f>
        <v>5.5</v>
      </c>
      <c r="H12">
        <f>'Inventory Baseline'!H12*0.5</f>
        <v>8</v>
      </c>
      <c r="I12">
        <f>'Inventory Baseline'!I12*0.5</f>
        <v>0</v>
      </c>
      <c r="J12">
        <f>'Inventory Baseline'!J12*0.5</f>
        <v>0</v>
      </c>
      <c r="L12">
        <f>'Inventory Baseline'!L12*0.5</f>
        <v>5.5</v>
      </c>
      <c r="M12">
        <f>'Inventory Baseline'!M12*0.5</f>
        <v>8</v>
      </c>
      <c r="N12">
        <f>'Inventory Baseline'!N12*0.5</f>
        <v>0</v>
      </c>
      <c r="O12">
        <f>'Inventory Baseline'!O12*0.5</f>
        <v>0</v>
      </c>
      <c r="Q12">
        <f>'Inventory Baseline'!Q12*0.5</f>
        <v>5.5</v>
      </c>
      <c r="R12">
        <f>'Inventory Baseline'!R12*0.5</f>
        <v>8</v>
      </c>
      <c r="S12">
        <f>'Inventory Baseline'!S12*0.5</f>
        <v>0</v>
      </c>
      <c r="T12">
        <f>'Inventory Baseline'!T12*0.5</f>
        <v>0</v>
      </c>
      <c r="V12">
        <f>'Inventory Baseline'!V12*0.5</f>
        <v>5.5</v>
      </c>
      <c r="W12">
        <f>'Inventory Baseline'!W12*0.5</f>
        <v>8</v>
      </c>
      <c r="X12">
        <f>'Inventory Baseline'!X12*0.5</f>
        <v>0</v>
      </c>
      <c r="Y12">
        <f>'Inventory Baseline'!Y12*0.5</f>
        <v>0</v>
      </c>
      <c r="AA12">
        <f>'Inventory Baseline'!AA12*0.5</f>
        <v>5.5</v>
      </c>
      <c r="AB12">
        <f>'Inventory Baseline'!AB12*0.5</f>
        <v>8</v>
      </c>
      <c r="AC12">
        <f>'Inventory Baseline'!AC12*0.5</f>
        <v>0</v>
      </c>
      <c r="AD12">
        <f>'Inventory Baseline'!AD12*0.5</f>
        <v>0</v>
      </c>
      <c r="AF12">
        <f>'Inventory Baseline'!AF12*0.5</f>
        <v>5.5</v>
      </c>
      <c r="AG12">
        <f>'Inventory Baseline'!AG12*0.5</f>
        <v>8</v>
      </c>
      <c r="AH12">
        <f>'Inventory Baseline'!AH12*0.5</f>
        <v>0</v>
      </c>
      <c r="AI12">
        <f>'Inventory Baseline'!AI12*0.5</f>
        <v>0</v>
      </c>
      <c r="AK12">
        <f>'Inventory Baseline'!AK12*0.5</f>
        <v>5.5</v>
      </c>
      <c r="AL12">
        <f>'Inventory Baseline'!AL12*0.5</f>
        <v>8</v>
      </c>
      <c r="AM12">
        <f>'Inventory Baseline'!AM12*0.5</f>
        <v>0</v>
      </c>
      <c r="AN12">
        <f>'Inventory Baseline'!AN12*0.5</f>
        <v>0</v>
      </c>
      <c r="AP12">
        <f>'Inventory Baseline'!AP12*0.5</f>
        <v>5.5</v>
      </c>
      <c r="AQ12">
        <f>'Inventory Baseline'!AQ12*0.5</f>
        <v>8</v>
      </c>
      <c r="AR12">
        <f>'Inventory Baseline'!AR12*0.5</f>
        <v>0</v>
      </c>
      <c r="AS12">
        <f>'Inventory Baseline'!AS12*0.5</f>
        <v>0</v>
      </c>
      <c r="AU12">
        <f>'Inventory Baseline'!AU12*0.5</f>
        <v>5.5</v>
      </c>
      <c r="AV12">
        <f>'Inventory Baseline'!AV12*0.5</f>
        <v>8</v>
      </c>
      <c r="AW12">
        <f>'Inventory Baseline'!AW12*0.5</f>
        <v>0</v>
      </c>
      <c r="AX12">
        <f>'Inventory Baseline'!AX12*0.5</f>
        <v>0</v>
      </c>
      <c r="AY12">
        <f t="shared" si="1"/>
        <v>5.5</v>
      </c>
      <c r="AZ12">
        <f t="shared" si="0"/>
        <v>8</v>
      </c>
      <c r="BA12">
        <f t="shared" si="0"/>
        <v>0</v>
      </c>
      <c r="BB12">
        <f t="shared" si="0"/>
        <v>0</v>
      </c>
    </row>
    <row r="13" spans="1:54" x14ac:dyDescent="0.35">
      <c r="A13">
        <v>11</v>
      </c>
      <c r="B13">
        <f>'Inventory Baseline'!B13*0.5</f>
        <v>0</v>
      </c>
      <c r="C13">
        <f>'Inventory Baseline'!C13*0.5</f>
        <v>8</v>
      </c>
      <c r="D13">
        <f>'Inventory Baseline'!D13*0.5</f>
        <v>0</v>
      </c>
      <c r="E13">
        <f>'Inventory Baseline'!E13*0.5</f>
        <v>0</v>
      </c>
      <c r="G13">
        <f>'Inventory Baseline'!G13*0.5</f>
        <v>0</v>
      </c>
      <c r="H13">
        <f>'Inventory Baseline'!H13*0.5</f>
        <v>8</v>
      </c>
      <c r="I13">
        <f>'Inventory Baseline'!I13*0.5</f>
        <v>0</v>
      </c>
      <c r="J13">
        <f>'Inventory Baseline'!J13*0.5</f>
        <v>0</v>
      </c>
      <c r="L13">
        <f>'Inventory Baseline'!L13*0.5</f>
        <v>0</v>
      </c>
      <c r="M13">
        <f>'Inventory Baseline'!M13*0.5</f>
        <v>8</v>
      </c>
      <c r="N13">
        <f>'Inventory Baseline'!N13*0.5</f>
        <v>0</v>
      </c>
      <c r="O13">
        <f>'Inventory Baseline'!O13*0.5</f>
        <v>0</v>
      </c>
      <c r="Q13">
        <f>'Inventory Baseline'!Q13*0.5</f>
        <v>0</v>
      </c>
      <c r="R13">
        <f>'Inventory Baseline'!R13*0.5</f>
        <v>8</v>
      </c>
      <c r="S13">
        <f>'Inventory Baseline'!S13*0.5</f>
        <v>0</v>
      </c>
      <c r="T13">
        <f>'Inventory Baseline'!T13*0.5</f>
        <v>0</v>
      </c>
      <c r="V13">
        <f>'Inventory Baseline'!V13*0.5</f>
        <v>0</v>
      </c>
      <c r="W13">
        <f>'Inventory Baseline'!W13*0.5</f>
        <v>8</v>
      </c>
      <c r="X13">
        <f>'Inventory Baseline'!X13*0.5</f>
        <v>0</v>
      </c>
      <c r="Y13">
        <f>'Inventory Baseline'!Y13*0.5</f>
        <v>0</v>
      </c>
      <c r="AA13">
        <f>'Inventory Baseline'!AA13*0.5</f>
        <v>0</v>
      </c>
      <c r="AB13">
        <f>'Inventory Baseline'!AB13*0.5</f>
        <v>8</v>
      </c>
      <c r="AC13">
        <f>'Inventory Baseline'!AC13*0.5</f>
        <v>0</v>
      </c>
      <c r="AD13">
        <f>'Inventory Baseline'!AD13*0.5</f>
        <v>0</v>
      </c>
      <c r="AF13">
        <f>'Inventory Baseline'!AF13*0.5</f>
        <v>0</v>
      </c>
      <c r="AG13">
        <f>'Inventory Baseline'!AG13*0.5</f>
        <v>8</v>
      </c>
      <c r="AH13">
        <f>'Inventory Baseline'!AH13*0.5</f>
        <v>0</v>
      </c>
      <c r="AI13">
        <f>'Inventory Baseline'!AI13*0.5</f>
        <v>0</v>
      </c>
      <c r="AK13">
        <f>'Inventory Baseline'!AK13*0.5</f>
        <v>0</v>
      </c>
      <c r="AL13">
        <f>'Inventory Baseline'!AL13*0.5</f>
        <v>8</v>
      </c>
      <c r="AM13">
        <f>'Inventory Baseline'!AM13*0.5</f>
        <v>0</v>
      </c>
      <c r="AN13">
        <f>'Inventory Baseline'!AN13*0.5</f>
        <v>0</v>
      </c>
      <c r="AP13">
        <f>'Inventory Baseline'!AP13*0.5</f>
        <v>0</v>
      </c>
      <c r="AQ13">
        <f>'Inventory Baseline'!AQ13*0.5</f>
        <v>8</v>
      </c>
      <c r="AR13">
        <f>'Inventory Baseline'!AR13*0.5</f>
        <v>0</v>
      </c>
      <c r="AS13">
        <f>'Inventory Baseline'!AS13*0.5</f>
        <v>0</v>
      </c>
      <c r="AU13">
        <f>'Inventory Baseline'!AU13*0.5</f>
        <v>0</v>
      </c>
      <c r="AV13">
        <f>'Inventory Baseline'!AV13*0.5</f>
        <v>8</v>
      </c>
      <c r="AW13">
        <f>'Inventory Baseline'!AW13*0.5</f>
        <v>0</v>
      </c>
      <c r="AX13">
        <f>'Inventory Baseline'!AX13*0.5</f>
        <v>0</v>
      </c>
      <c r="AY13">
        <f t="shared" si="1"/>
        <v>0</v>
      </c>
      <c r="AZ13">
        <f t="shared" si="0"/>
        <v>8</v>
      </c>
      <c r="BA13">
        <f t="shared" si="0"/>
        <v>0</v>
      </c>
      <c r="BB13">
        <f t="shared" si="0"/>
        <v>0</v>
      </c>
    </row>
    <row r="14" spans="1:54" x14ac:dyDescent="0.35">
      <c r="A14">
        <v>12</v>
      </c>
      <c r="B14">
        <f>'Inventory Baseline'!B14*0.5</f>
        <v>0</v>
      </c>
      <c r="C14">
        <f>'Inventory Baseline'!C14*0.5</f>
        <v>6.5</v>
      </c>
      <c r="D14">
        <f>'Inventory Baseline'!D14*0.5</f>
        <v>0</v>
      </c>
      <c r="E14">
        <f>'Inventory Baseline'!E14*0.5</f>
        <v>0</v>
      </c>
      <c r="G14">
        <f>'Inventory Baseline'!G14*0.5</f>
        <v>0</v>
      </c>
      <c r="H14">
        <f>'Inventory Baseline'!H14*0.5</f>
        <v>6.5</v>
      </c>
      <c r="I14">
        <f>'Inventory Baseline'!I14*0.5</f>
        <v>0</v>
      </c>
      <c r="J14">
        <f>'Inventory Baseline'!J14*0.5</f>
        <v>0</v>
      </c>
      <c r="L14">
        <f>'Inventory Baseline'!L14*0.5</f>
        <v>0</v>
      </c>
      <c r="M14">
        <f>'Inventory Baseline'!M14*0.5</f>
        <v>6.5</v>
      </c>
      <c r="N14">
        <f>'Inventory Baseline'!N14*0.5</f>
        <v>0</v>
      </c>
      <c r="O14">
        <f>'Inventory Baseline'!O14*0.5</f>
        <v>0</v>
      </c>
      <c r="Q14">
        <f>'Inventory Baseline'!Q14*0.5</f>
        <v>0</v>
      </c>
      <c r="R14">
        <f>'Inventory Baseline'!R14*0.5</f>
        <v>6.5</v>
      </c>
      <c r="S14">
        <f>'Inventory Baseline'!S14*0.5</f>
        <v>0</v>
      </c>
      <c r="T14">
        <f>'Inventory Baseline'!T14*0.5</f>
        <v>0</v>
      </c>
      <c r="V14">
        <f>'Inventory Baseline'!V14*0.5</f>
        <v>0</v>
      </c>
      <c r="W14">
        <f>'Inventory Baseline'!W14*0.5</f>
        <v>6.5</v>
      </c>
      <c r="X14">
        <f>'Inventory Baseline'!X14*0.5</f>
        <v>0</v>
      </c>
      <c r="Y14">
        <f>'Inventory Baseline'!Y14*0.5</f>
        <v>0</v>
      </c>
      <c r="AA14">
        <f>'Inventory Baseline'!AA14*0.5</f>
        <v>0</v>
      </c>
      <c r="AB14">
        <f>'Inventory Baseline'!AB14*0.5</f>
        <v>6.5</v>
      </c>
      <c r="AC14">
        <f>'Inventory Baseline'!AC14*0.5</f>
        <v>0</v>
      </c>
      <c r="AD14">
        <f>'Inventory Baseline'!AD14*0.5</f>
        <v>0</v>
      </c>
      <c r="AF14">
        <f>'Inventory Baseline'!AF14*0.5</f>
        <v>0</v>
      </c>
      <c r="AG14">
        <f>'Inventory Baseline'!AG14*0.5</f>
        <v>6.5</v>
      </c>
      <c r="AH14">
        <f>'Inventory Baseline'!AH14*0.5</f>
        <v>0</v>
      </c>
      <c r="AI14">
        <f>'Inventory Baseline'!AI14*0.5</f>
        <v>0</v>
      </c>
      <c r="AK14">
        <f>'Inventory Baseline'!AK14*0.5</f>
        <v>0</v>
      </c>
      <c r="AL14">
        <f>'Inventory Baseline'!AL14*0.5</f>
        <v>6.5</v>
      </c>
      <c r="AM14">
        <f>'Inventory Baseline'!AM14*0.5</f>
        <v>0</v>
      </c>
      <c r="AN14">
        <f>'Inventory Baseline'!AN14*0.5</f>
        <v>0</v>
      </c>
      <c r="AP14">
        <f>'Inventory Baseline'!AP14*0.5</f>
        <v>0</v>
      </c>
      <c r="AQ14">
        <f>'Inventory Baseline'!AQ14*0.5</f>
        <v>6.5</v>
      </c>
      <c r="AR14">
        <f>'Inventory Baseline'!AR14*0.5</f>
        <v>0</v>
      </c>
      <c r="AS14">
        <f>'Inventory Baseline'!AS14*0.5</f>
        <v>0</v>
      </c>
      <c r="AU14">
        <f>'Inventory Baseline'!AU14*0.5</f>
        <v>0</v>
      </c>
      <c r="AV14">
        <f>'Inventory Baseline'!AV14*0.5</f>
        <v>6.5</v>
      </c>
      <c r="AW14">
        <f>'Inventory Baseline'!AW14*0.5</f>
        <v>0</v>
      </c>
      <c r="AX14">
        <f>'Inventory Baseline'!AX14*0.5</f>
        <v>0</v>
      </c>
      <c r="AY14">
        <f t="shared" si="1"/>
        <v>0</v>
      </c>
      <c r="AZ14">
        <f t="shared" si="0"/>
        <v>6.5</v>
      </c>
      <c r="BA14">
        <f t="shared" si="0"/>
        <v>0</v>
      </c>
      <c r="BB14">
        <f t="shared" si="0"/>
        <v>0</v>
      </c>
    </row>
    <row r="15" spans="1:54" x14ac:dyDescent="0.35">
      <c r="A15">
        <v>13</v>
      </c>
      <c r="B15">
        <f>'Inventory Baseline'!B15*0.5</f>
        <v>0</v>
      </c>
      <c r="C15">
        <f>'Inventory Baseline'!C15*0.5</f>
        <v>0</v>
      </c>
      <c r="D15">
        <f>'Inventory Baseline'!D15*0.5</f>
        <v>0</v>
      </c>
      <c r="E15">
        <f>'Inventory Baseline'!E15*0.5</f>
        <v>0</v>
      </c>
      <c r="G15">
        <f>'Inventory Baseline'!G15*0.5</f>
        <v>0</v>
      </c>
      <c r="H15">
        <f>'Inventory Baseline'!H15*0.5</f>
        <v>0</v>
      </c>
      <c r="I15">
        <f>'Inventory Baseline'!I15*0.5</f>
        <v>0</v>
      </c>
      <c r="J15">
        <f>'Inventory Baseline'!J15*0.5</f>
        <v>0</v>
      </c>
      <c r="L15">
        <f>'Inventory Baseline'!L15*0.5</f>
        <v>0</v>
      </c>
      <c r="M15">
        <f>'Inventory Baseline'!M15*0.5</f>
        <v>0</v>
      </c>
      <c r="N15">
        <f>'Inventory Baseline'!N15*0.5</f>
        <v>0</v>
      </c>
      <c r="O15">
        <f>'Inventory Baseline'!O15*0.5</f>
        <v>0</v>
      </c>
      <c r="Q15">
        <f>'Inventory Baseline'!Q15*0.5</f>
        <v>0</v>
      </c>
      <c r="R15">
        <f>'Inventory Baseline'!R15*0.5</f>
        <v>0</v>
      </c>
      <c r="S15">
        <f>'Inventory Baseline'!S15*0.5</f>
        <v>0</v>
      </c>
      <c r="T15">
        <f>'Inventory Baseline'!T15*0.5</f>
        <v>0</v>
      </c>
      <c r="V15">
        <f>'Inventory Baseline'!V15*0.5</f>
        <v>0</v>
      </c>
      <c r="W15">
        <f>'Inventory Baseline'!W15*0.5</f>
        <v>0</v>
      </c>
      <c r="X15">
        <f>'Inventory Baseline'!X15*0.5</f>
        <v>0</v>
      </c>
      <c r="Y15">
        <f>'Inventory Baseline'!Y15*0.5</f>
        <v>0</v>
      </c>
      <c r="AA15">
        <f>'Inventory Baseline'!AA15*0.5</f>
        <v>0</v>
      </c>
      <c r="AB15">
        <f>'Inventory Baseline'!AB15*0.5</f>
        <v>0</v>
      </c>
      <c r="AC15">
        <f>'Inventory Baseline'!AC15*0.5</f>
        <v>0</v>
      </c>
      <c r="AD15">
        <f>'Inventory Baseline'!AD15*0.5</f>
        <v>0</v>
      </c>
      <c r="AF15">
        <f>'Inventory Baseline'!AF15*0.5</f>
        <v>0</v>
      </c>
      <c r="AG15">
        <f>'Inventory Baseline'!AG15*0.5</f>
        <v>0</v>
      </c>
      <c r="AH15">
        <f>'Inventory Baseline'!AH15*0.5</f>
        <v>0</v>
      </c>
      <c r="AI15">
        <f>'Inventory Baseline'!AI15*0.5</f>
        <v>0</v>
      </c>
      <c r="AK15">
        <f>'Inventory Baseline'!AK15*0.5</f>
        <v>0</v>
      </c>
      <c r="AL15">
        <f>'Inventory Baseline'!AL15*0.5</f>
        <v>0</v>
      </c>
      <c r="AM15">
        <f>'Inventory Baseline'!AM15*0.5</f>
        <v>0</v>
      </c>
      <c r="AN15">
        <f>'Inventory Baseline'!AN15*0.5</f>
        <v>0</v>
      </c>
      <c r="AP15">
        <f>'Inventory Baseline'!AP15*0.5</f>
        <v>0</v>
      </c>
      <c r="AQ15">
        <f>'Inventory Baseline'!AQ15*0.5</f>
        <v>0</v>
      </c>
      <c r="AR15">
        <f>'Inventory Baseline'!AR15*0.5</f>
        <v>0</v>
      </c>
      <c r="AS15">
        <f>'Inventory Baseline'!AS15*0.5</f>
        <v>0</v>
      </c>
      <c r="AU15">
        <f>'Inventory Baseline'!AU15*0.5</f>
        <v>0</v>
      </c>
      <c r="AV15">
        <f>'Inventory Baseline'!AV15*0.5</f>
        <v>0</v>
      </c>
      <c r="AW15">
        <f>'Inventory Baseline'!AW15*0.5</f>
        <v>0</v>
      </c>
      <c r="AX15">
        <f>'Inventory Baseline'!AX15*0.5</f>
        <v>0</v>
      </c>
      <c r="AY15">
        <f t="shared" si="1"/>
        <v>0</v>
      </c>
      <c r="AZ15">
        <f t="shared" si="0"/>
        <v>0</v>
      </c>
      <c r="BA15">
        <f t="shared" si="0"/>
        <v>0</v>
      </c>
      <c r="BB15">
        <f t="shared" si="0"/>
        <v>0</v>
      </c>
    </row>
    <row r="16" spans="1:54" x14ac:dyDescent="0.35">
      <c r="A16">
        <v>14</v>
      </c>
      <c r="B16">
        <f>'Inventory Baseline'!B16*0.5</f>
        <v>0</v>
      </c>
      <c r="C16">
        <f>'Inventory Baseline'!C16*0.5</f>
        <v>0</v>
      </c>
      <c r="D16">
        <f>'Inventory Baseline'!D16*0.5</f>
        <v>0</v>
      </c>
      <c r="E16">
        <f>'Inventory Baseline'!E16*0.5</f>
        <v>0</v>
      </c>
      <c r="G16">
        <f>'Inventory Baseline'!G16*0.5</f>
        <v>0</v>
      </c>
      <c r="H16">
        <f>'Inventory Baseline'!H16*0.5</f>
        <v>0</v>
      </c>
      <c r="I16">
        <f>'Inventory Baseline'!I16*0.5</f>
        <v>0</v>
      </c>
      <c r="J16">
        <f>'Inventory Baseline'!J16*0.5</f>
        <v>0</v>
      </c>
      <c r="L16">
        <f>'Inventory Baseline'!L16*0.5</f>
        <v>0</v>
      </c>
      <c r="M16">
        <f>'Inventory Baseline'!M16*0.5</f>
        <v>0</v>
      </c>
      <c r="N16">
        <f>'Inventory Baseline'!N16*0.5</f>
        <v>0</v>
      </c>
      <c r="O16">
        <f>'Inventory Baseline'!O16*0.5</f>
        <v>0</v>
      </c>
      <c r="Q16">
        <f>'Inventory Baseline'!Q16*0.5</f>
        <v>0</v>
      </c>
      <c r="R16">
        <f>'Inventory Baseline'!R16*0.5</f>
        <v>0</v>
      </c>
      <c r="S16">
        <f>'Inventory Baseline'!S16*0.5</f>
        <v>0</v>
      </c>
      <c r="T16">
        <f>'Inventory Baseline'!T16*0.5</f>
        <v>0</v>
      </c>
      <c r="V16">
        <f>'Inventory Baseline'!V16*0.5</f>
        <v>0</v>
      </c>
      <c r="W16">
        <f>'Inventory Baseline'!W16*0.5</f>
        <v>0</v>
      </c>
      <c r="X16">
        <f>'Inventory Baseline'!X16*0.5</f>
        <v>0</v>
      </c>
      <c r="Y16">
        <f>'Inventory Baseline'!Y16*0.5</f>
        <v>0</v>
      </c>
      <c r="AA16">
        <f>'Inventory Baseline'!AA16*0.5</f>
        <v>0</v>
      </c>
      <c r="AB16">
        <f>'Inventory Baseline'!AB16*0.5</f>
        <v>0</v>
      </c>
      <c r="AC16">
        <f>'Inventory Baseline'!AC16*0.5</f>
        <v>0</v>
      </c>
      <c r="AD16">
        <f>'Inventory Baseline'!AD16*0.5</f>
        <v>0</v>
      </c>
      <c r="AF16">
        <f>'Inventory Baseline'!AF16*0.5</f>
        <v>0</v>
      </c>
      <c r="AG16">
        <f>'Inventory Baseline'!AG16*0.5</f>
        <v>0</v>
      </c>
      <c r="AH16">
        <f>'Inventory Baseline'!AH16*0.5</f>
        <v>0</v>
      </c>
      <c r="AI16">
        <f>'Inventory Baseline'!AI16*0.5</f>
        <v>0</v>
      </c>
      <c r="AK16">
        <f>'Inventory Baseline'!AK16*0.5</f>
        <v>0</v>
      </c>
      <c r="AL16">
        <f>'Inventory Baseline'!AL16*0.5</f>
        <v>0</v>
      </c>
      <c r="AM16">
        <f>'Inventory Baseline'!AM16*0.5</f>
        <v>0</v>
      </c>
      <c r="AN16">
        <f>'Inventory Baseline'!AN16*0.5</f>
        <v>0</v>
      </c>
      <c r="AP16">
        <f>'Inventory Baseline'!AP16*0.5</f>
        <v>0</v>
      </c>
      <c r="AQ16">
        <f>'Inventory Baseline'!AQ16*0.5</f>
        <v>0</v>
      </c>
      <c r="AR16">
        <f>'Inventory Baseline'!AR16*0.5</f>
        <v>0</v>
      </c>
      <c r="AS16">
        <f>'Inventory Baseline'!AS16*0.5</f>
        <v>0</v>
      </c>
      <c r="AU16">
        <f>'Inventory Baseline'!AU16*0.5</f>
        <v>0</v>
      </c>
      <c r="AV16">
        <f>'Inventory Baseline'!AV16*0.5</f>
        <v>0</v>
      </c>
      <c r="AW16">
        <f>'Inventory Baseline'!AW16*0.5</f>
        <v>0</v>
      </c>
      <c r="AX16">
        <f>'Inventory Baseline'!AX16*0.5</f>
        <v>0</v>
      </c>
      <c r="AY16">
        <f t="shared" si="1"/>
        <v>0</v>
      </c>
      <c r="AZ16">
        <f t="shared" si="0"/>
        <v>0</v>
      </c>
      <c r="BA16">
        <f t="shared" si="0"/>
        <v>0</v>
      </c>
      <c r="BB16">
        <f t="shared" si="0"/>
        <v>0</v>
      </c>
    </row>
    <row r="17" spans="1:54" x14ac:dyDescent="0.35">
      <c r="A17">
        <v>15</v>
      </c>
      <c r="B17">
        <f>'Inventory Baseline'!B17*0.5</f>
        <v>0</v>
      </c>
      <c r="C17">
        <f>'Inventory Baseline'!C17*0.5</f>
        <v>0</v>
      </c>
      <c r="D17">
        <f>'Inventory Baseline'!D17*0.5</f>
        <v>0</v>
      </c>
      <c r="E17">
        <f>'Inventory Baseline'!E17*0.5</f>
        <v>0</v>
      </c>
      <c r="G17">
        <f>'Inventory Baseline'!G17*0.5</f>
        <v>0</v>
      </c>
      <c r="H17">
        <f>'Inventory Baseline'!H17*0.5</f>
        <v>0</v>
      </c>
      <c r="I17">
        <f>'Inventory Baseline'!I17*0.5</f>
        <v>0</v>
      </c>
      <c r="J17">
        <f>'Inventory Baseline'!J17*0.5</f>
        <v>0</v>
      </c>
      <c r="L17">
        <f>'Inventory Baseline'!L17*0.5</f>
        <v>0</v>
      </c>
      <c r="M17">
        <f>'Inventory Baseline'!M17*0.5</f>
        <v>0</v>
      </c>
      <c r="N17">
        <f>'Inventory Baseline'!N17*0.5</f>
        <v>0</v>
      </c>
      <c r="O17">
        <f>'Inventory Baseline'!O17*0.5</f>
        <v>0</v>
      </c>
      <c r="Q17">
        <f>'Inventory Baseline'!Q17*0.5</f>
        <v>0</v>
      </c>
      <c r="R17">
        <f>'Inventory Baseline'!R17*0.5</f>
        <v>0</v>
      </c>
      <c r="S17">
        <f>'Inventory Baseline'!S17*0.5</f>
        <v>0</v>
      </c>
      <c r="T17">
        <f>'Inventory Baseline'!T17*0.5</f>
        <v>0</v>
      </c>
      <c r="V17">
        <f>'Inventory Baseline'!V17*0.5</f>
        <v>0</v>
      </c>
      <c r="W17">
        <f>'Inventory Baseline'!W17*0.5</f>
        <v>0</v>
      </c>
      <c r="X17">
        <f>'Inventory Baseline'!X17*0.5</f>
        <v>0</v>
      </c>
      <c r="Y17">
        <f>'Inventory Baseline'!Y17*0.5</f>
        <v>0</v>
      </c>
      <c r="AA17">
        <f>'Inventory Baseline'!AA17*0.5</f>
        <v>0</v>
      </c>
      <c r="AB17">
        <f>'Inventory Baseline'!AB17*0.5</f>
        <v>0</v>
      </c>
      <c r="AC17">
        <f>'Inventory Baseline'!AC17*0.5</f>
        <v>0</v>
      </c>
      <c r="AD17">
        <f>'Inventory Baseline'!AD17*0.5</f>
        <v>0</v>
      </c>
      <c r="AF17">
        <f>'Inventory Baseline'!AF17*0.5</f>
        <v>0</v>
      </c>
      <c r="AG17">
        <f>'Inventory Baseline'!AG17*0.5</f>
        <v>0</v>
      </c>
      <c r="AH17">
        <f>'Inventory Baseline'!AH17*0.5</f>
        <v>0</v>
      </c>
      <c r="AI17">
        <f>'Inventory Baseline'!AI17*0.5</f>
        <v>0</v>
      </c>
      <c r="AK17">
        <f>'Inventory Baseline'!AK17*0.5</f>
        <v>0</v>
      </c>
      <c r="AL17">
        <f>'Inventory Baseline'!AL17*0.5</f>
        <v>0</v>
      </c>
      <c r="AM17">
        <f>'Inventory Baseline'!AM17*0.5</f>
        <v>0</v>
      </c>
      <c r="AN17">
        <f>'Inventory Baseline'!AN17*0.5</f>
        <v>0</v>
      </c>
      <c r="AP17">
        <f>'Inventory Baseline'!AP17*0.5</f>
        <v>0</v>
      </c>
      <c r="AQ17">
        <f>'Inventory Baseline'!AQ17*0.5</f>
        <v>0</v>
      </c>
      <c r="AR17">
        <f>'Inventory Baseline'!AR17*0.5</f>
        <v>0</v>
      </c>
      <c r="AS17">
        <f>'Inventory Baseline'!AS17*0.5</f>
        <v>0</v>
      </c>
      <c r="AU17">
        <f>'Inventory Baseline'!AU17*0.5</f>
        <v>0</v>
      </c>
      <c r="AV17">
        <f>'Inventory Baseline'!AV17*0.5</f>
        <v>0</v>
      </c>
      <c r="AW17">
        <f>'Inventory Baseline'!AW17*0.5</f>
        <v>0</v>
      </c>
      <c r="AX17">
        <f>'Inventory Baseline'!AX17*0.5</f>
        <v>0</v>
      </c>
      <c r="AY17">
        <f t="shared" si="1"/>
        <v>0</v>
      </c>
      <c r="AZ17">
        <f t="shared" si="0"/>
        <v>0</v>
      </c>
      <c r="BA17">
        <f t="shared" si="0"/>
        <v>0</v>
      </c>
      <c r="BB17">
        <f t="shared" si="0"/>
        <v>0</v>
      </c>
    </row>
    <row r="18" spans="1:54" x14ac:dyDescent="0.35">
      <c r="A18">
        <v>16</v>
      </c>
      <c r="B18">
        <f>'Inventory Baseline'!B18*0.5</f>
        <v>0</v>
      </c>
      <c r="C18">
        <f>'Inventory Baseline'!C18*0.5</f>
        <v>0</v>
      </c>
      <c r="D18">
        <f>'Inventory Baseline'!D18*0.5</f>
        <v>0</v>
      </c>
      <c r="E18">
        <f>'Inventory Baseline'!E18*0.5</f>
        <v>0</v>
      </c>
      <c r="G18">
        <f>'Inventory Baseline'!G18*0.5</f>
        <v>0</v>
      </c>
      <c r="H18">
        <f>'Inventory Baseline'!H18*0.5</f>
        <v>0</v>
      </c>
      <c r="I18">
        <f>'Inventory Baseline'!I18*0.5</f>
        <v>0</v>
      </c>
      <c r="J18">
        <f>'Inventory Baseline'!J18*0.5</f>
        <v>0</v>
      </c>
      <c r="L18">
        <f>'Inventory Baseline'!L18*0.5</f>
        <v>0</v>
      </c>
      <c r="M18">
        <f>'Inventory Baseline'!M18*0.5</f>
        <v>0</v>
      </c>
      <c r="N18">
        <f>'Inventory Baseline'!N18*0.5</f>
        <v>0</v>
      </c>
      <c r="O18">
        <f>'Inventory Baseline'!O18*0.5</f>
        <v>0</v>
      </c>
      <c r="Q18">
        <f>'Inventory Baseline'!Q18*0.5</f>
        <v>0</v>
      </c>
      <c r="R18">
        <f>'Inventory Baseline'!R18*0.5</f>
        <v>0</v>
      </c>
      <c r="S18">
        <f>'Inventory Baseline'!S18*0.5</f>
        <v>0</v>
      </c>
      <c r="T18">
        <f>'Inventory Baseline'!T18*0.5</f>
        <v>0</v>
      </c>
      <c r="V18">
        <f>'Inventory Baseline'!V18*0.5</f>
        <v>0</v>
      </c>
      <c r="W18">
        <f>'Inventory Baseline'!W18*0.5</f>
        <v>0</v>
      </c>
      <c r="X18">
        <f>'Inventory Baseline'!X18*0.5</f>
        <v>0</v>
      </c>
      <c r="Y18">
        <f>'Inventory Baseline'!Y18*0.5</f>
        <v>0</v>
      </c>
      <c r="AA18">
        <f>'Inventory Baseline'!AA18*0.5</f>
        <v>0</v>
      </c>
      <c r="AB18">
        <f>'Inventory Baseline'!AB18*0.5</f>
        <v>0</v>
      </c>
      <c r="AC18">
        <f>'Inventory Baseline'!AC18*0.5</f>
        <v>0</v>
      </c>
      <c r="AD18">
        <f>'Inventory Baseline'!AD18*0.5</f>
        <v>0</v>
      </c>
      <c r="AF18">
        <f>'Inventory Baseline'!AF18*0.5</f>
        <v>0</v>
      </c>
      <c r="AG18">
        <f>'Inventory Baseline'!AG18*0.5</f>
        <v>0</v>
      </c>
      <c r="AH18">
        <f>'Inventory Baseline'!AH18*0.5</f>
        <v>0</v>
      </c>
      <c r="AI18">
        <f>'Inventory Baseline'!AI18*0.5</f>
        <v>0</v>
      </c>
      <c r="AK18">
        <f>'Inventory Baseline'!AK18*0.5</f>
        <v>0</v>
      </c>
      <c r="AL18">
        <f>'Inventory Baseline'!AL18*0.5</f>
        <v>0</v>
      </c>
      <c r="AM18">
        <f>'Inventory Baseline'!AM18*0.5</f>
        <v>0</v>
      </c>
      <c r="AN18">
        <f>'Inventory Baseline'!AN18*0.5</f>
        <v>0</v>
      </c>
      <c r="AP18">
        <f>'Inventory Baseline'!AP18*0.5</f>
        <v>0</v>
      </c>
      <c r="AQ18">
        <f>'Inventory Baseline'!AQ18*0.5</f>
        <v>0</v>
      </c>
      <c r="AR18">
        <f>'Inventory Baseline'!AR18*0.5</f>
        <v>0</v>
      </c>
      <c r="AS18">
        <f>'Inventory Baseline'!AS18*0.5</f>
        <v>0</v>
      </c>
      <c r="AU18">
        <f>'Inventory Baseline'!AU18*0.5</f>
        <v>0</v>
      </c>
      <c r="AV18">
        <f>'Inventory Baseline'!AV18*0.5</f>
        <v>0</v>
      </c>
      <c r="AW18">
        <f>'Inventory Baseline'!AW18*0.5</f>
        <v>0</v>
      </c>
      <c r="AX18">
        <f>'Inventory Baseline'!AX18*0.5</f>
        <v>0</v>
      </c>
      <c r="AY18">
        <f t="shared" si="1"/>
        <v>0</v>
      </c>
      <c r="AZ18">
        <f t="shared" si="1"/>
        <v>0</v>
      </c>
      <c r="BA18">
        <f t="shared" si="1"/>
        <v>0</v>
      </c>
      <c r="BB18">
        <f t="shared" si="1"/>
        <v>0</v>
      </c>
    </row>
    <row r="19" spans="1:54" x14ac:dyDescent="0.35">
      <c r="A19">
        <v>17</v>
      </c>
      <c r="B19">
        <f>'Inventory Baseline'!B19*0.5</f>
        <v>0</v>
      </c>
      <c r="C19">
        <f>'Inventory Baseline'!C19*0.5</f>
        <v>0</v>
      </c>
      <c r="D19">
        <f>'Inventory Baseline'!D19*0.5</f>
        <v>0</v>
      </c>
      <c r="E19">
        <f>'Inventory Baseline'!E19*0.5</f>
        <v>0</v>
      </c>
      <c r="G19">
        <f>'Inventory Baseline'!G19*0.5</f>
        <v>0</v>
      </c>
      <c r="H19">
        <f>'Inventory Baseline'!H19*0.5</f>
        <v>0</v>
      </c>
      <c r="I19">
        <f>'Inventory Baseline'!I19*0.5</f>
        <v>0</v>
      </c>
      <c r="J19">
        <f>'Inventory Baseline'!J19*0.5</f>
        <v>0</v>
      </c>
      <c r="L19">
        <f>'Inventory Baseline'!L19*0.5</f>
        <v>0</v>
      </c>
      <c r="M19">
        <f>'Inventory Baseline'!M19*0.5</f>
        <v>0</v>
      </c>
      <c r="N19">
        <f>'Inventory Baseline'!N19*0.5</f>
        <v>0</v>
      </c>
      <c r="O19">
        <f>'Inventory Baseline'!O19*0.5</f>
        <v>0</v>
      </c>
      <c r="Q19">
        <f>'Inventory Baseline'!Q19*0.5</f>
        <v>0</v>
      </c>
      <c r="R19">
        <f>'Inventory Baseline'!R19*0.5</f>
        <v>0</v>
      </c>
      <c r="S19">
        <f>'Inventory Baseline'!S19*0.5</f>
        <v>0</v>
      </c>
      <c r="T19">
        <f>'Inventory Baseline'!T19*0.5</f>
        <v>0</v>
      </c>
      <c r="V19">
        <f>'Inventory Baseline'!V19*0.5</f>
        <v>0</v>
      </c>
      <c r="W19">
        <f>'Inventory Baseline'!W19*0.5</f>
        <v>0</v>
      </c>
      <c r="X19">
        <f>'Inventory Baseline'!X19*0.5</f>
        <v>0</v>
      </c>
      <c r="Y19">
        <f>'Inventory Baseline'!Y19*0.5</f>
        <v>0</v>
      </c>
      <c r="AA19">
        <f>'Inventory Baseline'!AA19*0.5</f>
        <v>0</v>
      </c>
      <c r="AB19">
        <f>'Inventory Baseline'!AB19*0.5</f>
        <v>0</v>
      </c>
      <c r="AC19">
        <f>'Inventory Baseline'!AC19*0.5</f>
        <v>0</v>
      </c>
      <c r="AD19">
        <f>'Inventory Baseline'!AD19*0.5</f>
        <v>0</v>
      </c>
      <c r="AF19">
        <f>'Inventory Baseline'!AF19*0.5</f>
        <v>0</v>
      </c>
      <c r="AG19">
        <f>'Inventory Baseline'!AG19*0.5</f>
        <v>0</v>
      </c>
      <c r="AH19">
        <f>'Inventory Baseline'!AH19*0.5</f>
        <v>0</v>
      </c>
      <c r="AI19">
        <f>'Inventory Baseline'!AI19*0.5</f>
        <v>0</v>
      </c>
      <c r="AK19">
        <f>'Inventory Baseline'!AK19*0.5</f>
        <v>0</v>
      </c>
      <c r="AL19">
        <f>'Inventory Baseline'!AL19*0.5</f>
        <v>0</v>
      </c>
      <c r="AM19">
        <f>'Inventory Baseline'!AM19*0.5</f>
        <v>0</v>
      </c>
      <c r="AN19">
        <f>'Inventory Baseline'!AN19*0.5</f>
        <v>0</v>
      </c>
      <c r="AP19">
        <f>'Inventory Baseline'!AP19*0.5</f>
        <v>0</v>
      </c>
      <c r="AQ19">
        <f>'Inventory Baseline'!AQ19*0.5</f>
        <v>0</v>
      </c>
      <c r="AR19">
        <f>'Inventory Baseline'!AR19*0.5</f>
        <v>0</v>
      </c>
      <c r="AS19">
        <f>'Inventory Baseline'!AS19*0.5</f>
        <v>0</v>
      </c>
      <c r="AU19">
        <f>'Inventory Baseline'!AU19*0.5</f>
        <v>0</v>
      </c>
      <c r="AV19">
        <f>'Inventory Baseline'!AV19*0.5</f>
        <v>0</v>
      </c>
      <c r="AW19">
        <f>'Inventory Baseline'!AW19*0.5</f>
        <v>0</v>
      </c>
      <c r="AX19">
        <f>'Inventory Baseline'!AX19*0.5</f>
        <v>0</v>
      </c>
      <c r="AY19">
        <f t="shared" si="1"/>
        <v>0</v>
      </c>
      <c r="AZ19">
        <f t="shared" si="1"/>
        <v>0</v>
      </c>
      <c r="BA19">
        <f t="shared" si="1"/>
        <v>0</v>
      </c>
      <c r="BB19">
        <f t="shared" si="1"/>
        <v>0</v>
      </c>
    </row>
    <row r="20" spans="1:54" x14ac:dyDescent="0.35">
      <c r="A20">
        <v>18</v>
      </c>
      <c r="B20">
        <f>'Inventory Baseline'!B20*0.5</f>
        <v>0</v>
      </c>
      <c r="C20">
        <f>'Inventory Baseline'!C20*0.5</f>
        <v>0</v>
      </c>
      <c r="D20">
        <f>'Inventory Baseline'!D20*0.5</f>
        <v>0</v>
      </c>
      <c r="E20">
        <f>'Inventory Baseline'!E20*0.5</f>
        <v>0</v>
      </c>
      <c r="G20">
        <f>'Inventory Baseline'!G20*0.5</f>
        <v>0</v>
      </c>
      <c r="H20">
        <f>'Inventory Baseline'!H20*0.5</f>
        <v>0</v>
      </c>
      <c r="I20">
        <f>'Inventory Baseline'!I20*0.5</f>
        <v>0</v>
      </c>
      <c r="J20">
        <f>'Inventory Baseline'!J20*0.5</f>
        <v>0</v>
      </c>
      <c r="L20">
        <f>'Inventory Baseline'!L20*0.5</f>
        <v>0</v>
      </c>
      <c r="M20">
        <f>'Inventory Baseline'!M20*0.5</f>
        <v>0</v>
      </c>
      <c r="N20">
        <f>'Inventory Baseline'!N20*0.5</f>
        <v>0</v>
      </c>
      <c r="O20">
        <f>'Inventory Baseline'!O20*0.5</f>
        <v>0</v>
      </c>
      <c r="Q20">
        <f>'Inventory Baseline'!Q20*0.5</f>
        <v>0</v>
      </c>
      <c r="R20">
        <f>'Inventory Baseline'!R20*0.5</f>
        <v>0</v>
      </c>
      <c r="S20">
        <f>'Inventory Baseline'!S20*0.5</f>
        <v>0</v>
      </c>
      <c r="T20">
        <f>'Inventory Baseline'!T20*0.5</f>
        <v>0</v>
      </c>
      <c r="V20">
        <f>'Inventory Baseline'!V20*0.5</f>
        <v>0</v>
      </c>
      <c r="W20">
        <f>'Inventory Baseline'!W20*0.5</f>
        <v>0</v>
      </c>
      <c r="X20">
        <f>'Inventory Baseline'!X20*0.5</f>
        <v>0</v>
      </c>
      <c r="Y20">
        <f>'Inventory Baseline'!Y20*0.5</f>
        <v>0</v>
      </c>
      <c r="AA20">
        <f>'Inventory Baseline'!AA20*0.5</f>
        <v>0</v>
      </c>
      <c r="AB20">
        <f>'Inventory Baseline'!AB20*0.5</f>
        <v>0</v>
      </c>
      <c r="AC20">
        <f>'Inventory Baseline'!AC20*0.5</f>
        <v>0</v>
      </c>
      <c r="AD20">
        <f>'Inventory Baseline'!AD20*0.5</f>
        <v>0</v>
      </c>
      <c r="AF20">
        <f>'Inventory Baseline'!AF20*0.5</f>
        <v>0</v>
      </c>
      <c r="AG20">
        <f>'Inventory Baseline'!AG20*0.5</f>
        <v>0</v>
      </c>
      <c r="AH20">
        <f>'Inventory Baseline'!AH20*0.5</f>
        <v>0</v>
      </c>
      <c r="AI20">
        <f>'Inventory Baseline'!AI20*0.5</f>
        <v>0</v>
      </c>
      <c r="AK20">
        <f>'Inventory Baseline'!AK20*0.5</f>
        <v>0</v>
      </c>
      <c r="AL20">
        <f>'Inventory Baseline'!AL20*0.5</f>
        <v>0</v>
      </c>
      <c r="AM20">
        <f>'Inventory Baseline'!AM20*0.5</f>
        <v>0</v>
      </c>
      <c r="AN20">
        <f>'Inventory Baseline'!AN20*0.5</f>
        <v>0</v>
      </c>
      <c r="AP20">
        <f>'Inventory Baseline'!AP20*0.5</f>
        <v>0</v>
      </c>
      <c r="AQ20">
        <f>'Inventory Baseline'!AQ20*0.5</f>
        <v>0</v>
      </c>
      <c r="AR20">
        <f>'Inventory Baseline'!AR20*0.5</f>
        <v>0</v>
      </c>
      <c r="AS20">
        <f>'Inventory Baseline'!AS20*0.5</f>
        <v>0</v>
      </c>
      <c r="AU20">
        <f>'Inventory Baseline'!AU20*0.5</f>
        <v>0</v>
      </c>
      <c r="AV20">
        <f>'Inventory Baseline'!AV20*0.5</f>
        <v>0</v>
      </c>
      <c r="AW20">
        <f>'Inventory Baseline'!AW20*0.5</f>
        <v>0</v>
      </c>
      <c r="AX20">
        <f>'Inventory Baseline'!AX20*0.5</f>
        <v>0</v>
      </c>
      <c r="AY20">
        <f t="shared" si="1"/>
        <v>0</v>
      </c>
      <c r="AZ20">
        <f t="shared" si="1"/>
        <v>0</v>
      </c>
      <c r="BA20">
        <f t="shared" si="1"/>
        <v>0</v>
      </c>
      <c r="BB20">
        <f t="shared" si="1"/>
        <v>0</v>
      </c>
    </row>
    <row r="21" spans="1:54" x14ac:dyDescent="0.35">
      <c r="A21">
        <v>19</v>
      </c>
      <c r="B21">
        <f>'Inventory Baseline'!B21*0.5</f>
        <v>0</v>
      </c>
      <c r="C21">
        <f>'Inventory Baseline'!C21*0.5</f>
        <v>0</v>
      </c>
      <c r="D21">
        <f>'Inventory Baseline'!D21*0.5</f>
        <v>0</v>
      </c>
      <c r="E21">
        <f>'Inventory Baseline'!E21*0.5</f>
        <v>0</v>
      </c>
      <c r="G21">
        <f>'Inventory Baseline'!G21*0.5</f>
        <v>0</v>
      </c>
      <c r="H21">
        <f>'Inventory Baseline'!H21*0.5</f>
        <v>0</v>
      </c>
      <c r="I21">
        <f>'Inventory Baseline'!I21*0.5</f>
        <v>0</v>
      </c>
      <c r="J21">
        <f>'Inventory Baseline'!J21*0.5</f>
        <v>0</v>
      </c>
      <c r="L21">
        <f>'Inventory Baseline'!L21*0.5</f>
        <v>0</v>
      </c>
      <c r="M21">
        <f>'Inventory Baseline'!M21*0.5</f>
        <v>0</v>
      </c>
      <c r="N21">
        <f>'Inventory Baseline'!N21*0.5</f>
        <v>0</v>
      </c>
      <c r="O21">
        <f>'Inventory Baseline'!O21*0.5</f>
        <v>0</v>
      </c>
      <c r="Q21">
        <f>'Inventory Baseline'!Q21*0.5</f>
        <v>0</v>
      </c>
      <c r="R21">
        <f>'Inventory Baseline'!R21*0.5</f>
        <v>0</v>
      </c>
      <c r="S21">
        <f>'Inventory Baseline'!S21*0.5</f>
        <v>0</v>
      </c>
      <c r="T21">
        <f>'Inventory Baseline'!T21*0.5</f>
        <v>0</v>
      </c>
      <c r="V21">
        <f>'Inventory Baseline'!V21*0.5</f>
        <v>0</v>
      </c>
      <c r="W21">
        <f>'Inventory Baseline'!W21*0.5</f>
        <v>0</v>
      </c>
      <c r="X21">
        <f>'Inventory Baseline'!X21*0.5</f>
        <v>0</v>
      </c>
      <c r="Y21">
        <f>'Inventory Baseline'!Y21*0.5</f>
        <v>0</v>
      </c>
      <c r="AA21">
        <f>'Inventory Baseline'!AA21*0.5</f>
        <v>0</v>
      </c>
      <c r="AB21">
        <f>'Inventory Baseline'!AB21*0.5</f>
        <v>0</v>
      </c>
      <c r="AC21">
        <f>'Inventory Baseline'!AC21*0.5</f>
        <v>0</v>
      </c>
      <c r="AD21">
        <f>'Inventory Baseline'!AD21*0.5</f>
        <v>0</v>
      </c>
      <c r="AF21">
        <f>'Inventory Baseline'!AF21*0.5</f>
        <v>0</v>
      </c>
      <c r="AG21">
        <f>'Inventory Baseline'!AG21*0.5</f>
        <v>0</v>
      </c>
      <c r="AH21">
        <f>'Inventory Baseline'!AH21*0.5</f>
        <v>0</v>
      </c>
      <c r="AI21">
        <f>'Inventory Baseline'!AI21*0.5</f>
        <v>0</v>
      </c>
      <c r="AK21">
        <f>'Inventory Baseline'!AK21*0.5</f>
        <v>0</v>
      </c>
      <c r="AL21">
        <f>'Inventory Baseline'!AL21*0.5</f>
        <v>0</v>
      </c>
      <c r="AM21">
        <f>'Inventory Baseline'!AM21*0.5</f>
        <v>0</v>
      </c>
      <c r="AN21">
        <f>'Inventory Baseline'!AN21*0.5</f>
        <v>0</v>
      </c>
      <c r="AP21">
        <f>'Inventory Baseline'!AP21*0.5</f>
        <v>0</v>
      </c>
      <c r="AQ21">
        <f>'Inventory Baseline'!AQ21*0.5</f>
        <v>0</v>
      </c>
      <c r="AR21">
        <f>'Inventory Baseline'!AR21*0.5</f>
        <v>0</v>
      </c>
      <c r="AS21">
        <f>'Inventory Baseline'!AS21*0.5</f>
        <v>0</v>
      </c>
      <c r="AU21">
        <f>'Inventory Baseline'!AU21*0.5</f>
        <v>0</v>
      </c>
      <c r="AV21">
        <f>'Inventory Baseline'!AV21*0.5</f>
        <v>0</v>
      </c>
      <c r="AW21">
        <f>'Inventory Baseline'!AW21*0.5</f>
        <v>0</v>
      </c>
      <c r="AX21">
        <f>'Inventory Baseline'!AX21*0.5</f>
        <v>0</v>
      </c>
      <c r="AY21">
        <f t="shared" si="1"/>
        <v>0</v>
      </c>
      <c r="AZ21">
        <f t="shared" si="1"/>
        <v>0</v>
      </c>
      <c r="BA21">
        <f t="shared" si="1"/>
        <v>0</v>
      </c>
      <c r="BB21">
        <f t="shared" si="1"/>
        <v>0</v>
      </c>
    </row>
    <row r="22" spans="1:54" x14ac:dyDescent="0.35">
      <c r="A22">
        <v>20</v>
      </c>
      <c r="B22">
        <f>'Inventory Baseline'!B22*0.5</f>
        <v>0</v>
      </c>
      <c r="C22">
        <f>'Inventory Baseline'!C22*0.5</f>
        <v>8</v>
      </c>
      <c r="D22">
        <f>'Inventory Baseline'!D22*0.5</f>
        <v>0</v>
      </c>
      <c r="E22">
        <f>'Inventory Baseline'!E22*0.5</f>
        <v>0</v>
      </c>
      <c r="G22">
        <f>'Inventory Baseline'!G22*0.5</f>
        <v>0</v>
      </c>
      <c r="H22">
        <f>'Inventory Baseline'!H22*0.5</f>
        <v>8</v>
      </c>
      <c r="I22">
        <f>'Inventory Baseline'!I22*0.5</f>
        <v>0</v>
      </c>
      <c r="J22">
        <f>'Inventory Baseline'!J22*0.5</f>
        <v>0</v>
      </c>
      <c r="L22">
        <f>'Inventory Baseline'!L22*0.5</f>
        <v>0</v>
      </c>
      <c r="M22">
        <f>'Inventory Baseline'!M22*0.5</f>
        <v>8</v>
      </c>
      <c r="N22">
        <f>'Inventory Baseline'!N22*0.5</f>
        <v>0</v>
      </c>
      <c r="O22">
        <f>'Inventory Baseline'!O22*0.5</f>
        <v>0</v>
      </c>
      <c r="Q22">
        <f>'Inventory Baseline'!Q22*0.5</f>
        <v>0</v>
      </c>
      <c r="R22">
        <f>'Inventory Baseline'!R22*0.5</f>
        <v>8</v>
      </c>
      <c r="S22">
        <f>'Inventory Baseline'!S22*0.5</f>
        <v>0</v>
      </c>
      <c r="T22">
        <f>'Inventory Baseline'!T22*0.5</f>
        <v>0</v>
      </c>
      <c r="V22">
        <f>'Inventory Baseline'!V22*0.5</f>
        <v>0</v>
      </c>
      <c r="W22">
        <f>'Inventory Baseline'!W22*0.5</f>
        <v>8</v>
      </c>
      <c r="X22">
        <f>'Inventory Baseline'!X22*0.5</f>
        <v>0</v>
      </c>
      <c r="Y22">
        <f>'Inventory Baseline'!Y22*0.5</f>
        <v>0</v>
      </c>
      <c r="AA22">
        <f>'Inventory Baseline'!AA22*0.5</f>
        <v>0</v>
      </c>
      <c r="AB22">
        <f>'Inventory Baseline'!AB22*0.5</f>
        <v>8</v>
      </c>
      <c r="AC22">
        <f>'Inventory Baseline'!AC22*0.5</f>
        <v>0</v>
      </c>
      <c r="AD22">
        <f>'Inventory Baseline'!AD22*0.5</f>
        <v>0</v>
      </c>
      <c r="AF22">
        <f>'Inventory Baseline'!AF22*0.5</f>
        <v>0</v>
      </c>
      <c r="AG22">
        <f>'Inventory Baseline'!AG22*0.5</f>
        <v>8</v>
      </c>
      <c r="AH22">
        <f>'Inventory Baseline'!AH22*0.5</f>
        <v>0</v>
      </c>
      <c r="AI22">
        <f>'Inventory Baseline'!AI22*0.5</f>
        <v>0</v>
      </c>
      <c r="AK22">
        <f>'Inventory Baseline'!AK22*0.5</f>
        <v>0</v>
      </c>
      <c r="AL22">
        <f>'Inventory Baseline'!AL22*0.5</f>
        <v>8</v>
      </c>
      <c r="AM22">
        <f>'Inventory Baseline'!AM22*0.5</f>
        <v>0</v>
      </c>
      <c r="AN22">
        <f>'Inventory Baseline'!AN22*0.5</f>
        <v>0</v>
      </c>
      <c r="AP22">
        <f>'Inventory Baseline'!AP22*0.5</f>
        <v>0</v>
      </c>
      <c r="AQ22">
        <f>'Inventory Baseline'!AQ22*0.5</f>
        <v>8</v>
      </c>
      <c r="AR22">
        <f>'Inventory Baseline'!AR22*0.5</f>
        <v>0</v>
      </c>
      <c r="AS22">
        <f>'Inventory Baseline'!AS22*0.5</f>
        <v>0</v>
      </c>
      <c r="AU22">
        <f>'Inventory Baseline'!AU22*0.5</f>
        <v>0</v>
      </c>
      <c r="AV22">
        <f>'Inventory Baseline'!AV22*0.5</f>
        <v>8</v>
      </c>
      <c r="AW22">
        <f>'Inventory Baseline'!AW22*0.5</f>
        <v>0</v>
      </c>
      <c r="AX22">
        <f>'Inventory Baseline'!AX22*0.5</f>
        <v>0</v>
      </c>
      <c r="AY22">
        <f t="shared" si="1"/>
        <v>0</v>
      </c>
      <c r="AZ22">
        <f t="shared" si="1"/>
        <v>8</v>
      </c>
      <c r="BA22">
        <f t="shared" si="1"/>
        <v>0</v>
      </c>
      <c r="BB22">
        <f t="shared" si="1"/>
        <v>0</v>
      </c>
    </row>
    <row r="23" spans="1:54" x14ac:dyDescent="0.35">
      <c r="A23">
        <v>21</v>
      </c>
      <c r="B23">
        <f>'Inventory Baseline'!B23*0.5</f>
        <v>9.5</v>
      </c>
      <c r="C23">
        <f>'Inventory Baseline'!C23*0.5</f>
        <v>14</v>
      </c>
      <c r="D23">
        <f>'Inventory Baseline'!D23*0.5</f>
        <v>0</v>
      </c>
      <c r="E23">
        <f>'Inventory Baseline'!E23*0.5</f>
        <v>0</v>
      </c>
      <c r="G23">
        <f>'Inventory Baseline'!G23*0.5</f>
        <v>9.5</v>
      </c>
      <c r="H23">
        <f>'Inventory Baseline'!H23*0.5</f>
        <v>14</v>
      </c>
      <c r="I23">
        <f>'Inventory Baseline'!I23*0.5</f>
        <v>0</v>
      </c>
      <c r="J23">
        <f>'Inventory Baseline'!J23*0.5</f>
        <v>0</v>
      </c>
      <c r="L23">
        <f>'Inventory Baseline'!L23*0.5</f>
        <v>9.5</v>
      </c>
      <c r="M23">
        <f>'Inventory Baseline'!M23*0.5</f>
        <v>14</v>
      </c>
      <c r="N23">
        <f>'Inventory Baseline'!N23*0.5</f>
        <v>0</v>
      </c>
      <c r="O23">
        <f>'Inventory Baseline'!O23*0.5</f>
        <v>0</v>
      </c>
      <c r="Q23">
        <f>'Inventory Baseline'!Q23*0.5</f>
        <v>9.5</v>
      </c>
      <c r="R23">
        <f>'Inventory Baseline'!R23*0.5</f>
        <v>14</v>
      </c>
      <c r="S23">
        <f>'Inventory Baseline'!S23*0.5</f>
        <v>0</v>
      </c>
      <c r="T23">
        <f>'Inventory Baseline'!T23*0.5</f>
        <v>0</v>
      </c>
      <c r="V23">
        <f>'Inventory Baseline'!V23*0.5</f>
        <v>9.5</v>
      </c>
      <c r="W23">
        <f>'Inventory Baseline'!W23*0.5</f>
        <v>14</v>
      </c>
      <c r="X23">
        <f>'Inventory Baseline'!X23*0.5</f>
        <v>0</v>
      </c>
      <c r="Y23">
        <f>'Inventory Baseline'!Y23*0.5</f>
        <v>0</v>
      </c>
      <c r="AA23">
        <f>'Inventory Baseline'!AA23*0.5</f>
        <v>9.5</v>
      </c>
      <c r="AB23">
        <f>'Inventory Baseline'!AB23*0.5</f>
        <v>14</v>
      </c>
      <c r="AC23">
        <f>'Inventory Baseline'!AC23*0.5</f>
        <v>0</v>
      </c>
      <c r="AD23">
        <f>'Inventory Baseline'!AD23*0.5</f>
        <v>0</v>
      </c>
      <c r="AF23">
        <f>'Inventory Baseline'!AF23*0.5</f>
        <v>9.5</v>
      </c>
      <c r="AG23">
        <f>'Inventory Baseline'!AG23*0.5</f>
        <v>14</v>
      </c>
      <c r="AH23">
        <f>'Inventory Baseline'!AH23*0.5</f>
        <v>0</v>
      </c>
      <c r="AI23">
        <f>'Inventory Baseline'!AI23*0.5</f>
        <v>0</v>
      </c>
      <c r="AK23">
        <f>'Inventory Baseline'!AK23*0.5</f>
        <v>9.5</v>
      </c>
      <c r="AL23">
        <f>'Inventory Baseline'!AL23*0.5</f>
        <v>14</v>
      </c>
      <c r="AM23">
        <f>'Inventory Baseline'!AM23*0.5</f>
        <v>0</v>
      </c>
      <c r="AN23">
        <f>'Inventory Baseline'!AN23*0.5</f>
        <v>0</v>
      </c>
      <c r="AP23">
        <f>'Inventory Baseline'!AP23*0.5</f>
        <v>9.5</v>
      </c>
      <c r="AQ23">
        <f>'Inventory Baseline'!AQ23*0.5</f>
        <v>14</v>
      </c>
      <c r="AR23">
        <f>'Inventory Baseline'!AR23*0.5</f>
        <v>0</v>
      </c>
      <c r="AS23">
        <f>'Inventory Baseline'!AS23*0.5</f>
        <v>0</v>
      </c>
      <c r="AU23">
        <f>'Inventory Baseline'!AU23*0.5</f>
        <v>9.5</v>
      </c>
      <c r="AV23">
        <f>'Inventory Baseline'!AV23*0.5</f>
        <v>14</v>
      </c>
      <c r="AW23">
        <f>'Inventory Baseline'!AW23*0.5</f>
        <v>0</v>
      </c>
      <c r="AX23">
        <f>'Inventory Baseline'!AX23*0.5</f>
        <v>0</v>
      </c>
      <c r="AY23">
        <f t="shared" si="1"/>
        <v>9.5</v>
      </c>
      <c r="AZ23">
        <f t="shared" si="1"/>
        <v>14</v>
      </c>
      <c r="BA23">
        <f t="shared" si="1"/>
        <v>0</v>
      </c>
      <c r="BB23">
        <f t="shared" si="1"/>
        <v>0</v>
      </c>
    </row>
    <row r="24" spans="1:54" x14ac:dyDescent="0.35">
      <c r="A24">
        <v>22</v>
      </c>
      <c r="B24">
        <f>'Inventory Baseline'!B24*0.5</f>
        <v>11</v>
      </c>
      <c r="C24">
        <f>'Inventory Baseline'!C24*0.5</f>
        <v>18.5</v>
      </c>
      <c r="D24">
        <f>'Inventory Baseline'!D24*0.5</f>
        <v>0</v>
      </c>
      <c r="E24">
        <f>'Inventory Baseline'!E24*0.5</f>
        <v>0.5</v>
      </c>
      <c r="G24">
        <f>'Inventory Baseline'!G24*0.5</f>
        <v>11</v>
      </c>
      <c r="H24">
        <f>'Inventory Baseline'!H24*0.5</f>
        <v>18.5</v>
      </c>
      <c r="I24">
        <f>'Inventory Baseline'!I24*0.5</f>
        <v>0</v>
      </c>
      <c r="J24">
        <f>'Inventory Baseline'!J24*0.5</f>
        <v>0.5</v>
      </c>
      <c r="L24">
        <f>'Inventory Baseline'!L24*0.5</f>
        <v>11</v>
      </c>
      <c r="M24">
        <f>'Inventory Baseline'!M24*0.5</f>
        <v>18.5</v>
      </c>
      <c r="N24">
        <f>'Inventory Baseline'!N24*0.5</f>
        <v>0</v>
      </c>
      <c r="O24">
        <f>'Inventory Baseline'!O24*0.5</f>
        <v>0.5</v>
      </c>
      <c r="Q24">
        <f>'Inventory Baseline'!Q24*0.5</f>
        <v>11</v>
      </c>
      <c r="R24">
        <f>'Inventory Baseline'!R24*0.5</f>
        <v>18.5</v>
      </c>
      <c r="S24">
        <f>'Inventory Baseline'!S24*0.5</f>
        <v>0</v>
      </c>
      <c r="T24">
        <f>'Inventory Baseline'!T24*0.5</f>
        <v>0.5</v>
      </c>
      <c r="V24">
        <f>'Inventory Baseline'!V24*0.5</f>
        <v>11</v>
      </c>
      <c r="W24">
        <f>'Inventory Baseline'!W24*0.5</f>
        <v>18.5</v>
      </c>
      <c r="X24">
        <f>'Inventory Baseline'!X24*0.5</f>
        <v>0</v>
      </c>
      <c r="Y24">
        <f>'Inventory Baseline'!Y24*0.5</f>
        <v>0.5</v>
      </c>
      <c r="AA24">
        <f>'Inventory Baseline'!AA24*0.5</f>
        <v>11</v>
      </c>
      <c r="AB24">
        <f>'Inventory Baseline'!AB24*0.5</f>
        <v>18.5</v>
      </c>
      <c r="AC24">
        <f>'Inventory Baseline'!AC24*0.5</f>
        <v>0</v>
      </c>
      <c r="AD24">
        <f>'Inventory Baseline'!AD24*0.5</f>
        <v>0.5</v>
      </c>
      <c r="AF24">
        <f>'Inventory Baseline'!AF24*0.5</f>
        <v>11</v>
      </c>
      <c r="AG24">
        <f>'Inventory Baseline'!AG24*0.5</f>
        <v>18.5</v>
      </c>
      <c r="AH24">
        <f>'Inventory Baseline'!AH24*0.5</f>
        <v>0</v>
      </c>
      <c r="AI24">
        <f>'Inventory Baseline'!AI24*0.5</f>
        <v>0.5</v>
      </c>
      <c r="AK24">
        <f>'Inventory Baseline'!AK24*0.5</f>
        <v>11</v>
      </c>
      <c r="AL24">
        <f>'Inventory Baseline'!AL24*0.5</f>
        <v>18.5</v>
      </c>
      <c r="AM24">
        <f>'Inventory Baseline'!AM24*0.5</f>
        <v>0</v>
      </c>
      <c r="AN24">
        <f>'Inventory Baseline'!AN24*0.5</f>
        <v>0.5</v>
      </c>
      <c r="AP24">
        <f>'Inventory Baseline'!AP24*0.5</f>
        <v>11</v>
      </c>
      <c r="AQ24">
        <f>'Inventory Baseline'!AQ24*0.5</f>
        <v>18.5</v>
      </c>
      <c r="AR24">
        <f>'Inventory Baseline'!AR24*0.5</f>
        <v>0</v>
      </c>
      <c r="AS24">
        <f>'Inventory Baseline'!AS24*0.5</f>
        <v>0.5</v>
      </c>
      <c r="AU24">
        <f>'Inventory Baseline'!AU24*0.5</f>
        <v>11</v>
      </c>
      <c r="AV24">
        <f>'Inventory Baseline'!AV24*0.5</f>
        <v>18.5</v>
      </c>
      <c r="AW24">
        <f>'Inventory Baseline'!AW24*0.5</f>
        <v>0</v>
      </c>
      <c r="AX24">
        <f>'Inventory Baseline'!AX24*0.5</f>
        <v>0.5</v>
      </c>
      <c r="AY24">
        <f t="shared" si="1"/>
        <v>11</v>
      </c>
      <c r="AZ24">
        <f t="shared" si="1"/>
        <v>18.5</v>
      </c>
      <c r="BA24">
        <f t="shared" si="1"/>
        <v>0</v>
      </c>
      <c r="BB24">
        <f t="shared" si="1"/>
        <v>0.5</v>
      </c>
    </row>
    <row r="25" spans="1:54" x14ac:dyDescent="0.35">
      <c r="A25">
        <v>23</v>
      </c>
      <c r="B25">
        <f>'Inventory Baseline'!B25*0.5</f>
        <v>10.5</v>
      </c>
      <c r="C25">
        <f>'Inventory Baseline'!C25*0.5</f>
        <v>19.5</v>
      </c>
      <c r="D25">
        <f>'Inventory Baseline'!D25*0.5</f>
        <v>0</v>
      </c>
      <c r="E25">
        <f>'Inventory Baseline'!E25*0.5</f>
        <v>6</v>
      </c>
      <c r="G25">
        <f>'Inventory Baseline'!G25*0.5</f>
        <v>10.5</v>
      </c>
      <c r="H25">
        <f>'Inventory Baseline'!H25*0.5</f>
        <v>19.5</v>
      </c>
      <c r="I25">
        <f>'Inventory Baseline'!I25*0.5</f>
        <v>0</v>
      </c>
      <c r="J25">
        <f>'Inventory Baseline'!J25*0.5</f>
        <v>6</v>
      </c>
      <c r="L25">
        <f>'Inventory Baseline'!L25*0.5</f>
        <v>10.5</v>
      </c>
      <c r="M25">
        <f>'Inventory Baseline'!M25*0.5</f>
        <v>19.5</v>
      </c>
      <c r="N25">
        <f>'Inventory Baseline'!N25*0.5</f>
        <v>0</v>
      </c>
      <c r="O25">
        <f>'Inventory Baseline'!O25*0.5</f>
        <v>6</v>
      </c>
      <c r="Q25">
        <f>'Inventory Baseline'!Q25*0.5</f>
        <v>10.5</v>
      </c>
      <c r="R25">
        <f>'Inventory Baseline'!R25*0.5</f>
        <v>19.5</v>
      </c>
      <c r="S25">
        <f>'Inventory Baseline'!S25*0.5</f>
        <v>0</v>
      </c>
      <c r="T25">
        <f>'Inventory Baseline'!T25*0.5</f>
        <v>6</v>
      </c>
      <c r="V25">
        <f>'Inventory Baseline'!V25*0.5</f>
        <v>10.5</v>
      </c>
      <c r="W25">
        <f>'Inventory Baseline'!W25*0.5</f>
        <v>19.5</v>
      </c>
      <c r="X25">
        <f>'Inventory Baseline'!X25*0.5</f>
        <v>0</v>
      </c>
      <c r="Y25">
        <f>'Inventory Baseline'!Y25*0.5</f>
        <v>6</v>
      </c>
      <c r="AA25">
        <f>'Inventory Baseline'!AA25*0.5</f>
        <v>10.5</v>
      </c>
      <c r="AB25">
        <f>'Inventory Baseline'!AB25*0.5</f>
        <v>19.5</v>
      </c>
      <c r="AC25">
        <f>'Inventory Baseline'!AC25*0.5</f>
        <v>0</v>
      </c>
      <c r="AD25">
        <f>'Inventory Baseline'!AD25*0.5</f>
        <v>6</v>
      </c>
      <c r="AF25">
        <f>'Inventory Baseline'!AF25*0.5</f>
        <v>10.5</v>
      </c>
      <c r="AG25">
        <f>'Inventory Baseline'!AG25*0.5</f>
        <v>19.5</v>
      </c>
      <c r="AH25">
        <f>'Inventory Baseline'!AH25*0.5</f>
        <v>0</v>
      </c>
      <c r="AI25">
        <f>'Inventory Baseline'!AI25*0.5</f>
        <v>6</v>
      </c>
      <c r="AK25">
        <f>'Inventory Baseline'!AK25*0.5</f>
        <v>10.5</v>
      </c>
      <c r="AL25">
        <f>'Inventory Baseline'!AL25*0.5</f>
        <v>19.5</v>
      </c>
      <c r="AM25">
        <f>'Inventory Baseline'!AM25*0.5</f>
        <v>0</v>
      </c>
      <c r="AN25">
        <f>'Inventory Baseline'!AN25*0.5</f>
        <v>6</v>
      </c>
      <c r="AP25">
        <f>'Inventory Baseline'!AP25*0.5</f>
        <v>10.5</v>
      </c>
      <c r="AQ25">
        <f>'Inventory Baseline'!AQ25*0.5</f>
        <v>19.5</v>
      </c>
      <c r="AR25">
        <f>'Inventory Baseline'!AR25*0.5</f>
        <v>0</v>
      </c>
      <c r="AS25">
        <f>'Inventory Baseline'!AS25*0.5</f>
        <v>6</v>
      </c>
      <c r="AU25">
        <f>'Inventory Baseline'!AU25*0.5</f>
        <v>10.5</v>
      </c>
      <c r="AV25">
        <f>'Inventory Baseline'!AV25*0.5</f>
        <v>19.5</v>
      </c>
      <c r="AW25">
        <f>'Inventory Baseline'!AW25*0.5</f>
        <v>0</v>
      </c>
      <c r="AX25">
        <f>'Inventory Baseline'!AX25*0.5</f>
        <v>6</v>
      </c>
      <c r="AY25">
        <f t="shared" si="1"/>
        <v>10.5</v>
      </c>
      <c r="AZ25">
        <f t="shared" si="1"/>
        <v>19.5</v>
      </c>
      <c r="BA25">
        <f t="shared" si="1"/>
        <v>0</v>
      </c>
      <c r="BB25">
        <f t="shared" si="1"/>
        <v>6</v>
      </c>
    </row>
    <row r="26" spans="1:54" x14ac:dyDescent="0.35">
      <c r="A26">
        <v>24</v>
      </c>
      <c r="B26">
        <f>'Inventory Baseline'!B26*0.5</f>
        <v>10.5</v>
      </c>
      <c r="C26">
        <f>'Inventory Baseline'!C26*0.5</f>
        <v>16.5</v>
      </c>
      <c r="D26">
        <f>'Inventory Baseline'!D26*0.5</f>
        <v>4.5</v>
      </c>
      <c r="E26">
        <f>'Inventory Baseline'!E26*0.5</f>
        <v>7</v>
      </c>
      <c r="G26">
        <f>'Inventory Baseline'!G26*0.5</f>
        <v>10.5</v>
      </c>
      <c r="H26">
        <f>'Inventory Baseline'!H26*0.5</f>
        <v>16.5</v>
      </c>
      <c r="I26">
        <f>'Inventory Baseline'!I26*0.5</f>
        <v>4.5</v>
      </c>
      <c r="J26">
        <f>'Inventory Baseline'!J26*0.5</f>
        <v>7</v>
      </c>
      <c r="L26">
        <f>'Inventory Baseline'!L26*0.5</f>
        <v>10.5</v>
      </c>
      <c r="M26">
        <f>'Inventory Baseline'!M26*0.5</f>
        <v>16.5</v>
      </c>
      <c r="N26">
        <f>'Inventory Baseline'!N26*0.5</f>
        <v>4.5</v>
      </c>
      <c r="O26">
        <f>'Inventory Baseline'!O26*0.5</f>
        <v>7</v>
      </c>
      <c r="Q26">
        <f>'Inventory Baseline'!Q26*0.5</f>
        <v>10.5</v>
      </c>
      <c r="R26">
        <f>'Inventory Baseline'!R26*0.5</f>
        <v>16.5</v>
      </c>
      <c r="S26">
        <f>'Inventory Baseline'!S26*0.5</f>
        <v>4.5</v>
      </c>
      <c r="T26">
        <f>'Inventory Baseline'!T26*0.5</f>
        <v>7</v>
      </c>
      <c r="V26">
        <f>'Inventory Baseline'!V26*0.5</f>
        <v>10.5</v>
      </c>
      <c r="W26">
        <f>'Inventory Baseline'!W26*0.5</f>
        <v>16.5</v>
      </c>
      <c r="X26">
        <f>'Inventory Baseline'!X26*0.5</f>
        <v>4.5</v>
      </c>
      <c r="Y26">
        <f>'Inventory Baseline'!Y26*0.5</f>
        <v>7</v>
      </c>
      <c r="AA26">
        <f>'Inventory Baseline'!AA26*0.5</f>
        <v>10.5</v>
      </c>
      <c r="AB26">
        <f>'Inventory Baseline'!AB26*0.5</f>
        <v>16.5</v>
      </c>
      <c r="AC26">
        <f>'Inventory Baseline'!AC26*0.5</f>
        <v>4.5</v>
      </c>
      <c r="AD26">
        <f>'Inventory Baseline'!AD26*0.5</f>
        <v>7</v>
      </c>
      <c r="AF26">
        <f>'Inventory Baseline'!AF26*0.5</f>
        <v>10.5</v>
      </c>
      <c r="AG26">
        <f>'Inventory Baseline'!AG26*0.5</f>
        <v>16.5</v>
      </c>
      <c r="AH26">
        <f>'Inventory Baseline'!AH26*0.5</f>
        <v>4.5</v>
      </c>
      <c r="AI26">
        <f>'Inventory Baseline'!AI26*0.5</f>
        <v>7</v>
      </c>
      <c r="AK26">
        <f>'Inventory Baseline'!AK26*0.5</f>
        <v>10.5</v>
      </c>
      <c r="AL26">
        <f>'Inventory Baseline'!AL26*0.5</f>
        <v>16.5</v>
      </c>
      <c r="AM26">
        <f>'Inventory Baseline'!AM26*0.5</f>
        <v>4.5</v>
      </c>
      <c r="AN26">
        <f>'Inventory Baseline'!AN26*0.5</f>
        <v>7</v>
      </c>
      <c r="AP26">
        <f>'Inventory Baseline'!AP26*0.5</f>
        <v>10.5</v>
      </c>
      <c r="AQ26">
        <f>'Inventory Baseline'!AQ26*0.5</f>
        <v>16.5</v>
      </c>
      <c r="AR26">
        <f>'Inventory Baseline'!AR26*0.5</f>
        <v>4.5</v>
      </c>
      <c r="AS26">
        <f>'Inventory Baseline'!AS26*0.5</f>
        <v>7</v>
      </c>
      <c r="AU26">
        <f>'Inventory Baseline'!AU26*0.5</f>
        <v>10.5</v>
      </c>
      <c r="AV26">
        <f>'Inventory Baseline'!AV26*0.5</f>
        <v>16.5</v>
      </c>
      <c r="AW26">
        <f>'Inventory Baseline'!AW26*0.5</f>
        <v>4.5</v>
      </c>
      <c r="AX26">
        <f>'Inventory Baseline'!AX26*0.5</f>
        <v>7</v>
      </c>
      <c r="AY26">
        <f t="shared" si="1"/>
        <v>10.5</v>
      </c>
      <c r="AZ26">
        <f t="shared" si="1"/>
        <v>16.5</v>
      </c>
      <c r="BA26">
        <f t="shared" si="1"/>
        <v>4.5</v>
      </c>
      <c r="BB26">
        <f t="shared" si="1"/>
        <v>7</v>
      </c>
    </row>
    <row r="27" spans="1:54" x14ac:dyDescent="0.35">
      <c r="A27">
        <v>25</v>
      </c>
      <c r="B27">
        <f>'Inventory Baseline'!B27*0.5</f>
        <v>10.5</v>
      </c>
      <c r="C27">
        <f>'Inventory Baseline'!C27*0.5</f>
        <v>15.5</v>
      </c>
      <c r="D27">
        <f>'Inventory Baseline'!D27*0.5</f>
        <v>5.5</v>
      </c>
      <c r="E27">
        <f>'Inventory Baseline'!E27*0.5</f>
        <v>7</v>
      </c>
      <c r="G27">
        <f>'Inventory Baseline'!G27*0.5</f>
        <v>10.5</v>
      </c>
      <c r="H27">
        <f>'Inventory Baseline'!H27*0.5</f>
        <v>15.5</v>
      </c>
      <c r="I27">
        <f>'Inventory Baseline'!I27*0.5</f>
        <v>5.5</v>
      </c>
      <c r="J27">
        <f>'Inventory Baseline'!J27*0.5</f>
        <v>7</v>
      </c>
      <c r="L27">
        <f>'Inventory Baseline'!L27*0.5</f>
        <v>10.5</v>
      </c>
      <c r="M27">
        <f>'Inventory Baseline'!M27*0.5</f>
        <v>15.5</v>
      </c>
      <c r="N27">
        <f>'Inventory Baseline'!N27*0.5</f>
        <v>5.5</v>
      </c>
      <c r="O27">
        <f>'Inventory Baseline'!O27*0.5</f>
        <v>7</v>
      </c>
      <c r="Q27">
        <f>'Inventory Baseline'!Q27*0.5</f>
        <v>10.5</v>
      </c>
      <c r="R27">
        <f>'Inventory Baseline'!R27*0.5</f>
        <v>15.5</v>
      </c>
      <c r="S27">
        <f>'Inventory Baseline'!S27*0.5</f>
        <v>5.5</v>
      </c>
      <c r="T27">
        <f>'Inventory Baseline'!T27*0.5</f>
        <v>7</v>
      </c>
      <c r="V27">
        <f>'Inventory Baseline'!V27*0.5</f>
        <v>10.5</v>
      </c>
      <c r="W27">
        <f>'Inventory Baseline'!W27*0.5</f>
        <v>15.5</v>
      </c>
      <c r="X27">
        <f>'Inventory Baseline'!X27*0.5</f>
        <v>5.5</v>
      </c>
      <c r="Y27">
        <f>'Inventory Baseline'!Y27*0.5</f>
        <v>7</v>
      </c>
      <c r="AA27">
        <f>'Inventory Baseline'!AA27*0.5</f>
        <v>10.5</v>
      </c>
      <c r="AB27">
        <f>'Inventory Baseline'!AB27*0.5</f>
        <v>15.5</v>
      </c>
      <c r="AC27">
        <f>'Inventory Baseline'!AC27*0.5</f>
        <v>5.5</v>
      </c>
      <c r="AD27">
        <f>'Inventory Baseline'!AD27*0.5</f>
        <v>7</v>
      </c>
      <c r="AF27">
        <f>'Inventory Baseline'!AF27*0.5</f>
        <v>10.5</v>
      </c>
      <c r="AG27">
        <f>'Inventory Baseline'!AG27*0.5</f>
        <v>15.5</v>
      </c>
      <c r="AH27">
        <f>'Inventory Baseline'!AH27*0.5</f>
        <v>5.5</v>
      </c>
      <c r="AI27">
        <f>'Inventory Baseline'!AI27*0.5</f>
        <v>7</v>
      </c>
      <c r="AK27">
        <f>'Inventory Baseline'!AK27*0.5</f>
        <v>10.5</v>
      </c>
      <c r="AL27">
        <f>'Inventory Baseline'!AL27*0.5</f>
        <v>15.5</v>
      </c>
      <c r="AM27">
        <f>'Inventory Baseline'!AM27*0.5</f>
        <v>5.5</v>
      </c>
      <c r="AN27">
        <f>'Inventory Baseline'!AN27*0.5</f>
        <v>7</v>
      </c>
      <c r="AP27">
        <f>'Inventory Baseline'!AP27*0.5</f>
        <v>10.5</v>
      </c>
      <c r="AQ27">
        <f>'Inventory Baseline'!AQ27*0.5</f>
        <v>15.5</v>
      </c>
      <c r="AR27">
        <f>'Inventory Baseline'!AR27*0.5</f>
        <v>5.5</v>
      </c>
      <c r="AS27">
        <f>'Inventory Baseline'!AS27*0.5</f>
        <v>7</v>
      </c>
      <c r="AU27">
        <f>'Inventory Baseline'!AU27*0.5</f>
        <v>10.5</v>
      </c>
      <c r="AV27">
        <f>'Inventory Baseline'!AV27*0.5</f>
        <v>15.5</v>
      </c>
      <c r="AW27">
        <f>'Inventory Baseline'!AW27*0.5</f>
        <v>5.5</v>
      </c>
      <c r="AX27">
        <f>'Inventory Baseline'!AX27*0.5</f>
        <v>7</v>
      </c>
      <c r="AY27">
        <f t="shared" si="1"/>
        <v>10.5</v>
      </c>
      <c r="AZ27">
        <f t="shared" si="1"/>
        <v>15.5</v>
      </c>
      <c r="BA27">
        <f t="shared" si="1"/>
        <v>5.5</v>
      </c>
      <c r="BB27">
        <f t="shared" si="1"/>
        <v>7</v>
      </c>
    </row>
    <row r="28" spans="1:54" x14ac:dyDescent="0.35">
      <c r="A28">
        <v>26</v>
      </c>
      <c r="B28">
        <f>'Inventory Baseline'!B28*0.5</f>
        <v>10.5</v>
      </c>
      <c r="C28">
        <f>'Inventory Baseline'!C28*0.5</f>
        <v>15.5</v>
      </c>
      <c r="D28">
        <f>'Inventory Baseline'!D28*0.5</f>
        <v>5.5</v>
      </c>
      <c r="E28">
        <f>'Inventory Baseline'!E28*0.5</f>
        <v>7.5</v>
      </c>
      <c r="G28">
        <f>'Inventory Baseline'!G28*0.5</f>
        <v>10.5</v>
      </c>
      <c r="H28">
        <f>'Inventory Baseline'!H28*0.5</f>
        <v>15.5</v>
      </c>
      <c r="I28">
        <f>'Inventory Baseline'!I28*0.5</f>
        <v>5.5</v>
      </c>
      <c r="J28">
        <f>'Inventory Baseline'!J28*0.5</f>
        <v>7.5</v>
      </c>
      <c r="L28">
        <f>'Inventory Baseline'!L28*0.5</f>
        <v>10.5</v>
      </c>
      <c r="M28">
        <f>'Inventory Baseline'!M28*0.5</f>
        <v>15.5</v>
      </c>
      <c r="N28">
        <f>'Inventory Baseline'!N28*0.5</f>
        <v>5.5</v>
      </c>
      <c r="O28">
        <f>'Inventory Baseline'!O28*0.5</f>
        <v>7.5</v>
      </c>
      <c r="Q28">
        <f>'Inventory Baseline'!Q28*0.5</f>
        <v>10.5</v>
      </c>
      <c r="R28">
        <f>'Inventory Baseline'!R28*0.5</f>
        <v>15.5</v>
      </c>
      <c r="S28">
        <f>'Inventory Baseline'!S28*0.5</f>
        <v>5.5</v>
      </c>
      <c r="T28">
        <f>'Inventory Baseline'!T28*0.5</f>
        <v>7.5</v>
      </c>
      <c r="V28">
        <f>'Inventory Baseline'!V28*0.5</f>
        <v>10.5</v>
      </c>
      <c r="W28">
        <f>'Inventory Baseline'!W28*0.5</f>
        <v>15.5</v>
      </c>
      <c r="X28">
        <f>'Inventory Baseline'!X28*0.5</f>
        <v>5.5</v>
      </c>
      <c r="Y28">
        <f>'Inventory Baseline'!Y28*0.5</f>
        <v>7.5</v>
      </c>
      <c r="AA28">
        <f>'Inventory Baseline'!AA28*0.5</f>
        <v>10.5</v>
      </c>
      <c r="AB28">
        <f>'Inventory Baseline'!AB28*0.5</f>
        <v>15.5</v>
      </c>
      <c r="AC28">
        <f>'Inventory Baseline'!AC28*0.5</f>
        <v>5.5</v>
      </c>
      <c r="AD28">
        <f>'Inventory Baseline'!AD28*0.5</f>
        <v>7.5</v>
      </c>
      <c r="AF28">
        <f>'Inventory Baseline'!AF28*0.5</f>
        <v>10.5</v>
      </c>
      <c r="AG28">
        <f>'Inventory Baseline'!AG28*0.5</f>
        <v>15.5</v>
      </c>
      <c r="AH28">
        <f>'Inventory Baseline'!AH28*0.5</f>
        <v>5.5</v>
      </c>
      <c r="AI28">
        <f>'Inventory Baseline'!AI28*0.5</f>
        <v>7.5</v>
      </c>
      <c r="AK28">
        <f>'Inventory Baseline'!AK28*0.5</f>
        <v>10.5</v>
      </c>
      <c r="AL28">
        <f>'Inventory Baseline'!AL28*0.5</f>
        <v>15.5</v>
      </c>
      <c r="AM28">
        <f>'Inventory Baseline'!AM28*0.5</f>
        <v>5.5</v>
      </c>
      <c r="AN28">
        <f>'Inventory Baseline'!AN28*0.5</f>
        <v>7.5</v>
      </c>
      <c r="AP28">
        <f>'Inventory Baseline'!AP28*0.5</f>
        <v>10.5</v>
      </c>
      <c r="AQ28">
        <f>'Inventory Baseline'!AQ28*0.5</f>
        <v>15.5</v>
      </c>
      <c r="AR28">
        <f>'Inventory Baseline'!AR28*0.5</f>
        <v>5.5</v>
      </c>
      <c r="AS28">
        <f>'Inventory Baseline'!AS28*0.5</f>
        <v>7.5</v>
      </c>
      <c r="AU28">
        <f>'Inventory Baseline'!AU28*0.5</f>
        <v>10.5</v>
      </c>
      <c r="AV28">
        <f>'Inventory Baseline'!AV28*0.5</f>
        <v>15.5</v>
      </c>
      <c r="AW28">
        <f>'Inventory Baseline'!AW28*0.5</f>
        <v>5.5</v>
      </c>
      <c r="AX28">
        <f>'Inventory Baseline'!AX28*0.5</f>
        <v>7.5</v>
      </c>
      <c r="AY28">
        <f t="shared" si="1"/>
        <v>10.5</v>
      </c>
      <c r="AZ28">
        <f t="shared" si="1"/>
        <v>15.5</v>
      </c>
      <c r="BA28">
        <f t="shared" si="1"/>
        <v>5.5</v>
      </c>
      <c r="BB28">
        <f t="shared" si="1"/>
        <v>7.5</v>
      </c>
    </row>
    <row r="29" spans="1:54" x14ac:dyDescent="0.35">
      <c r="A29">
        <v>27</v>
      </c>
      <c r="B29">
        <f>'Inventory Baseline'!B29*0.5</f>
        <v>10</v>
      </c>
      <c r="C29">
        <f>'Inventory Baseline'!C29*0.5</f>
        <v>15</v>
      </c>
      <c r="D29">
        <f>'Inventory Baseline'!D29*0.5</f>
        <v>4.5</v>
      </c>
      <c r="E29">
        <f>'Inventory Baseline'!E29*0.5</f>
        <v>8</v>
      </c>
      <c r="G29">
        <f>'Inventory Baseline'!G29*0.5</f>
        <v>10</v>
      </c>
      <c r="H29">
        <f>'Inventory Baseline'!H29*0.5</f>
        <v>15</v>
      </c>
      <c r="I29">
        <f>'Inventory Baseline'!I29*0.5</f>
        <v>4.5</v>
      </c>
      <c r="J29">
        <f>'Inventory Baseline'!J29*0.5</f>
        <v>8</v>
      </c>
      <c r="L29">
        <f>'Inventory Baseline'!L29*0.5</f>
        <v>10</v>
      </c>
      <c r="M29">
        <f>'Inventory Baseline'!M29*0.5</f>
        <v>15</v>
      </c>
      <c r="N29">
        <f>'Inventory Baseline'!N29*0.5</f>
        <v>4.5</v>
      </c>
      <c r="O29">
        <f>'Inventory Baseline'!O29*0.5</f>
        <v>8</v>
      </c>
      <c r="Q29">
        <f>'Inventory Baseline'!Q29*0.5</f>
        <v>10</v>
      </c>
      <c r="R29">
        <f>'Inventory Baseline'!R29*0.5</f>
        <v>15</v>
      </c>
      <c r="S29">
        <f>'Inventory Baseline'!S29*0.5</f>
        <v>4.5</v>
      </c>
      <c r="T29">
        <f>'Inventory Baseline'!T29*0.5</f>
        <v>8</v>
      </c>
      <c r="V29">
        <f>'Inventory Baseline'!V29*0.5</f>
        <v>10</v>
      </c>
      <c r="W29">
        <f>'Inventory Baseline'!W29*0.5</f>
        <v>15</v>
      </c>
      <c r="X29">
        <f>'Inventory Baseline'!X29*0.5</f>
        <v>4.5</v>
      </c>
      <c r="Y29">
        <f>'Inventory Baseline'!Y29*0.5</f>
        <v>8</v>
      </c>
      <c r="AA29">
        <f>'Inventory Baseline'!AA29*0.5</f>
        <v>10</v>
      </c>
      <c r="AB29">
        <f>'Inventory Baseline'!AB29*0.5</f>
        <v>15</v>
      </c>
      <c r="AC29">
        <f>'Inventory Baseline'!AC29*0.5</f>
        <v>4.5</v>
      </c>
      <c r="AD29">
        <f>'Inventory Baseline'!AD29*0.5</f>
        <v>8</v>
      </c>
      <c r="AF29">
        <f>'Inventory Baseline'!AF29*0.5</f>
        <v>10</v>
      </c>
      <c r="AG29">
        <f>'Inventory Baseline'!AG29*0.5</f>
        <v>15</v>
      </c>
      <c r="AH29">
        <f>'Inventory Baseline'!AH29*0.5</f>
        <v>4.5</v>
      </c>
      <c r="AI29">
        <f>'Inventory Baseline'!AI29*0.5</f>
        <v>8</v>
      </c>
      <c r="AK29">
        <f>'Inventory Baseline'!AK29*0.5</f>
        <v>10</v>
      </c>
      <c r="AL29">
        <f>'Inventory Baseline'!AL29*0.5</f>
        <v>15</v>
      </c>
      <c r="AM29">
        <f>'Inventory Baseline'!AM29*0.5</f>
        <v>4.5</v>
      </c>
      <c r="AN29">
        <f>'Inventory Baseline'!AN29*0.5</f>
        <v>8</v>
      </c>
      <c r="AP29">
        <f>'Inventory Baseline'!AP29*0.5</f>
        <v>10</v>
      </c>
      <c r="AQ29">
        <f>'Inventory Baseline'!AQ29*0.5</f>
        <v>15</v>
      </c>
      <c r="AR29">
        <f>'Inventory Baseline'!AR29*0.5</f>
        <v>4.5</v>
      </c>
      <c r="AS29">
        <f>'Inventory Baseline'!AS29*0.5</f>
        <v>8</v>
      </c>
      <c r="AU29">
        <f>'Inventory Baseline'!AU29*0.5</f>
        <v>10</v>
      </c>
      <c r="AV29">
        <f>'Inventory Baseline'!AV29*0.5</f>
        <v>15</v>
      </c>
      <c r="AW29">
        <f>'Inventory Baseline'!AW29*0.5</f>
        <v>4.5</v>
      </c>
      <c r="AX29">
        <f>'Inventory Baseline'!AX29*0.5</f>
        <v>8</v>
      </c>
      <c r="AY29">
        <f t="shared" si="1"/>
        <v>10</v>
      </c>
      <c r="AZ29">
        <f t="shared" si="1"/>
        <v>15</v>
      </c>
      <c r="BA29">
        <f t="shared" si="1"/>
        <v>4.5</v>
      </c>
      <c r="BB29">
        <f t="shared" si="1"/>
        <v>8</v>
      </c>
    </row>
    <row r="30" spans="1:54" x14ac:dyDescent="0.35">
      <c r="A30">
        <v>28</v>
      </c>
      <c r="B30">
        <f>'Inventory Baseline'!B30*0.5</f>
        <v>10</v>
      </c>
      <c r="C30">
        <f>'Inventory Baseline'!C30*0.5</f>
        <v>14</v>
      </c>
      <c r="D30">
        <f>'Inventory Baseline'!D30*0.5</f>
        <v>2</v>
      </c>
      <c r="E30">
        <f>'Inventory Baseline'!E30*0.5</f>
        <v>8</v>
      </c>
      <c r="G30">
        <f>'Inventory Baseline'!G30*0.5</f>
        <v>10</v>
      </c>
      <c r="H30">
        <f>'Inventory Baseline'!H30*0.5</f>
        <v>14</v>
      </c>
      <c r="I30">
        <f>'Inventory Baseline'!I30*0.5</f>
        <v>2</v>
      </c>
      <c r="J30">
        <f>'Inventory Baseline'!J30*0.5</f>
        <v>8</v>
      </c>
      <c r="L30">
        <f>'Inventory Baseline'!L30*0.5</f>
        <v>10</v>
      </c>
      <c r="M30">
        <f>'Inventory Baseline'!M30*0.5</f>
        <v>14</v>
      </c>
      <c r="N30">
        <f>'Inventory Baseline'!N30*0.5</f>
        <v>2</v>
      </c>
      <c r="O30">
        <f>'Inventory Baseline'!O30*0.5</f>
        <v>8</v>
      </c>
      <c r="Q30">
        <f>'Inventory Baseline'!Q30*0.5</f>
        <v>10</v>
      </c>
      <c r="R30">
        <f>'Inventory Baseline'!R30*0.5</f>
        <v>14</v>
      </c>
      <c r="S30">
        <f>'Inventory Baseline'!S30*0.5</f>
        <v>2</v>
      </c>
      <c r="T30">
        <f>'Inventory Baseline'!T30*0.5</f>
        <v>8</v>
      </c>
      <c r="V30">
        <f>'Inventory Baseline'!V30*0.5</f>
        <v>10</v>
      </c>
      <c r="W30">
        <f>'Inventory Baseline'!W30*0.5</f>
        <v>14</v>
      </c>
      <c r="X30">
        <f>'Inventory Baseline'!X30*0.5</f>
        <v>2</v>
      </c>
      <c r="Y30">
        <f>'Inventory Baseline'!Y30*0.5</f>
        <v>8</v>
      </c>
      <c r="AA30">
        <f>'Inventory Baseline'!AA30*0.5</f>
        <v>10</v>
      </c>
      <c r="AB30">
        <f>'Inventory Baseline'!AB30*0.5</f>
        <v>14</v>
      </c>
      <c r="AC30">
        <f>'Inventory Baseline'!AC30*0.5</f>
        <v>2</v>
      </c>
      <c r="AD30">
        <f>'Inventory Baseline'!AD30*0.5</f>
        <v>8</v>
      </c>
      <c r="AF30">
        <f>'Inventory Baseline'!AF30*0.5</f>
        <v>10</v>
      </c>
      <c r="AG30">
        <f>'Inventory Baseline'!AG30*0.5</f>
        <v>14</v>
      </c>
      <c r="AH30">
        <f>'Inventory Baseline'!AH30*0.5</f>
        <v>2</v>
      </c>
      <c r="AI30">
        <f>'Inventory Baseline'!AI30*0.5</f>
        <v>8</v>
      </c>
      <c r="AK30">
        <f>'Inventory Baseline'!AK30*0.5</f>
        <v>10</v>
      </c>
      <c r="AL30">
        <f>'Inventory Baseline'!AL30*0.5</f>
        <v>14</v>
      </c>
      <c r="AM30">
        <f>'Inventory Baseline'!AM30*0.5</f>
        <v>2</v>
      </c>
      <c r="AN30">
        <f>'Inventory Baseline'!AN30*0.5</f>
        <v>8</v>
      </c>
      <c r="AP30">
        <f>'Inventory Baseline'!AP30*0.5</f>
        <v>10</v>
      </c>
      <c r="AQ30">
        <f>'Inventory Baseline'!AQ30*0.5</f>
        <v>14</v>
      </c>
      <c r="AR30">
        <f>'Inventory Baseline'!AR30*0.5</f>
        <v>2</v>
      </c>
      <c r="AS30">
        <f>'Inventory Baseline'!AS30*0.5</f>
        <v>8</v>
      </c>
      <c r="AU30">
        <f>'Inventory Baseline'!AU30*0.5</f>
        <v>10</v>
      </c>
      <c r="AV30">
        <f>'Inventory Baseline'!AV30*0.5</f>
        <v>14</v>
      </c>
      <c r="AW30">
        <f>'Inventory Baseline'!AW30*0.5</f>
        <v>2</v>
      </c>
      <c r="AX30">
        <f>'Inventory Baseline'!AX30*0.5</f>
        <v>8</v>
      </c>
      <c r="AY30">
        <f t="shared" si="1"/>
        <v>10</v>
      </c>
      <c r="AZ30">
        <f t="shared" si="1"/>
        <v>14</v>
      </c>
      <c r="BA30">
        <f t="shared" si="1"/>
        <v>2</v>
      </c>
      <c r="BB30">
        <f t="shared" si="1"/>
        <v>8</v>
      </c>
    </row>
    <row r="31" spans="1:54" x14ac:dyDescent="0.35">
      <c r="A31">
        <v>29</v>
      </c>
      <c r="B31">
        <f>'Inventory Baseline'!B31*0.5</f>
        <v>10.5</v>
      </c>
      <c r="C31">
        <f>'Inventory Baseline'!C31*0.5</f>
        <v>14</v>
      </c>
      <c r="D31">
        <f>'Inventory Baseline'!D31*0.5</f>
        <v>0.5</v>
      </c>
      <c r="E31">
        <f>'Inventory Baseline'!E31*0.5</f>
        <v>6</v>
      </c>
      <c r="G31">
        <f>'Inventory Baseline'!G31*0.5</f>
        <v>10.5</v>
      </c>
      <c r="H31">
        <f>'Inventory Baseline'!H31*0.5</f>
        <v>14</v>
      </c>
      <c r="I31">
        <f>'Inventory Baseline'!I31*0.5</f>
        <v>0.5</v>
      </c>
      <c r="J31">
        <f>'Inventory Baseline'!J31*0.5</f>
        <v>6</v>
      </c>
      <c r="L31">
        <f>'Inventory Baseline'!L31*0.5</f>
        <v>10.5</v>
      </c>
      <c r="M31">
        <f>'Inventory Baseline'!M31*0.5</f>
        <v>14</v>
      </c>
      <c r="N31">
        <f>'Inventory Baseline'!N31*0.5</f>
        <v>0.5</v>
      </c>
      <c r="O31">
        <f>'Inventory Baseline'!O31*0.5</f>
        <v>6</v>
      </c>
      <c r="Q31">
        <f>'Inventory Baseline'!Q31*0.5</f>
        <v>10.5</v>
      </c>
      <c r="R31">
        <f>'Inventory Baseline'!R31*0.5</f>
        <v>14</v>
      </c>
      <c r="S31">
        <f>'Inventory Baseline'!S31*0.5</f>
        <v>0.5</v>
      </c>
      <c r="T31">
        <f>'Inventory Baseline'!T31*0.5</f>
        <v>6</v>
      </c>
      <c r="V31">
        <f>'Inventory Baseline'!V31*0.5</f>
        <v>10.5</v>
      </c>
      <c r="W31">
        <f>'Inventory Baseline'!W31*0.5</f>
        <v>14</v>
      </c>
      <c r="X31">
        <f>'Inventory Baseline'!X31*0.5</f>
        <v>0.5</v>
      </c>
      <c r="Y31">
        <f>'Inventory Baseline'!Y31*0.5</f>
        <v>6</v>
      </c>
      <c r="AA31">
        <f>'Inventory Baseline'!AA31*0.5</f>
        <v>10.5</v>
      </c>
      <c r="AB31">
        <f>'Inventory Baseline'!AB31*0.5</f>
        <v>14</v>
      </c>
      <c r="AC31">
        <f>'Inventory Baseline'!AC31*0.5</f>
        <v>0.5</v>
      </c>
      <c r="AD31">
        <f>'Inventory Baseline'!AD31*0.5</f>
        <v>6</v>
      </c>
      <c r="AF31">
        <f>'Inventory Baseline'!AF31*0.5</f>
        <v>10.5</v>
      </c>
      <c r="AG31">
        <f>'Inventory Baseline'!AG31*0.5</f>
        <v>14</v>
      </c>
      <c r="AH31">
        <f>'Inventory Baseline'!AH31*0.5</f>
        <v>0.5</v>
      </c>
      <c r="AI31">
        <f>'Inventory Baseline'!AI31*0.5</f>
        <v>6</v>
      </c>
      <c r="AK31">
        <f>'Inventory Baseline'!AK31*0.5</f>
        <v>10.5</v>
      </c>
      <c r="AL31">
        <f>'Inventory Baseline'!AL31*0.5</f>
        <v>14</v>
      </c>
      <c r="AM31">
        <f>'Inventory Baseline'!AM31*0.5</f>
        <v>0.5</v>
      </c>
      <c r="AN31">
        <f>'Inventory Baseline'!AN31*0.5</f>
        <v>6</v>
      </c>
      <c r="AP31">
        <f>'Inventory Baseline'!AP31*0.5</f>
        <v>10.5</v>
      </c>
      <c r="AQ31">
        <f>'Inventory Baseline'!AQ31*0.5</f>
        <v>14</v>
      </c>
      <c r="AR31">
        <f>'Inventory Baseline'!AR31*0.5</f>
        <v>0.5</v>
      </c>
      <c r="AS31">
        <f>'Inventory Baseline'!AS31*0.5</f>
        <v>6</v>
      </c>
      <c r="AU31">
        <f>'Inventory Baseline'!AU31*0.5</f>
        <v>10.5</v>
      </c>
      <c r="AV31">
        <f>'Inventory Baseline'!AV31*0.5</f>
        <v>14</v>
      </c>
      <c r="AW31">
        <f>'Inventory Baseline'!AW31*0.5</f>
        <v>0.5</v>
      </c>
      <c r="AX31">
        <f>'Inventory Baseline'!AX31*0.5</f>
        <v>6</v>
      </c>
      <c r="AY31">
        <f t="shared" si="1"/>
        <v>10.5</v>
      </c>
      <c r="AZ31">
        <f t="shared" si="1"/>
        <v>14</v>
      </c>
      <c r="BA31">
        <f t="shared" si="1"/>
        <v>0.5</v>
      </c>
      <c r="BB31">
        <f t="shared" si="1"/>
        <v>6</v>
      </c>
    </row>
    <row r="32" spans="1:54" x14ac:dyDescent="0.35">
      <c r="A32">
        <v>30</v>
      </c>
      <c r="B32">
        <f>'Inventory Baseline'!B32*0.5</f>
        <v>10</v>
      </c>
      <c r="C32">
        <f>'Inventory Baseline'!C32*0.5</f>
        <v>14</v>
      </c>
      <c r="D32">
        <f>'Inventory Baseline'!D32*0.5</f>
        <v>0</v>
      </c>
      <c r="E32">
        <f>'Inventory Baseline'!E32*0.5</f>
        <v>2</v>
      </c>
      <c r="G32">
        <f>'Inventory Baseline'!G32*0.5</f>
        <v>10</v>
      </c>
      <c r="H32">
        <f>'Inventory Baseline'!H32*0.5</f>
        <v>14</v>
      </c>
      <c r="I32">
        <f>'Inventory Baseline'!I32*0.5</f>
        <v>0</v>
      </c>
      <c r="J32">
        <f>'Inventory Baseline'!J32*0.5</f>
        <v>2</v>
      </c>
      <c r="L32">
        <f>'Inventory Baseline'!L32*0.5</f>
        <v>10</v>
      </c>
      <c r="M32">
        <f>'Inventory Baseline'!M32*0.5</f>
        <v>14</v>
      </c>
      <c r="N32">
        <f>'Inventory Baseline'!N32*0.5</f>
        <v>0</v>
      </c>
      <c r="O32">
        <f>'Inventory Baseline'!O32*0.5</f>
        <v>2</v>
      </c>
      <c r="Q32">
        <f>'Inventory Baseline'!Q32*0.5</f>
        <v>10</v>
      </c>
      <c r="R32">
        <f>'Inventory Baseline'!R32*0.5</f>
        <v>14</v>
      </c>
      <c r="S32">
        <f>'Inventory Baseline'!S32*0.5</f>
        <v>0</v>
      </c>
      <c r="T32">
        <f>'Inventory Baseline'!T32*0.5</f>
        <v>2</v>
      </c>
      <c r="V32">
        <f>'Inventory Baseline'!V32*0.5</f>
        <v>10</v>
      </c>
      <c r="W32">
        <f>'Inventory Baseline'!W32*0.5</f>
        <v>14</v>
      </c>
      <c r="X32">
        <f>'Inventory Baseline'!X32*0.5</f>
        <v>0</v>
      </c>
      <c r="Y32">
        <f>'Inventory Baseline'!Y32*0.5</f>
        <v>2</v>
      </c>
      <c r="AA32">
        <f>'Inventory Baseline'!AA32*0.5</f>
        <v>10</v>
      </c>
      <c r="AB32">
        <f>'Inventory Baseline'!AB32*0.5</f>
        <v>14</v>
      </c>
      <c r="AC32">
        <f>'Inventory Baseline'!AC32*0.5</f>
        <v>0</v>
      </c>
      <c r="AD32">
        <f>'Inventory Baseline'!AD32*0.5</f>
        <v>2</v>
      </c>
      <c r="AF32">
        <f>'Inventory Baseline'!AF32*0.5</f>
        <v>10</v>
      </c>
      <c r="AG32">
        <f>'Inventory Baseline'!AG32*0.5</f>
        <v>14</v>
      </c>
      <c r="AH32">
        <f>'Inventory Baseline'!AH32*0.5</f>
        <v>0</v>
      </c>
      <c r="AI32">
        <f>'Inventory Baseline'!AI32*0.5</f>
        <v>2</v>
      </c>
      <c r="AK32">
        <f>'Inventory Baseline'!AK32*0.5</f>
        <v>10</v>
      </c>
      <c r="AL32">
        <f>'Inventory Baseline'!AL32*0.5</f>
        <v>14</v>
      </c>
      <c r="AM32">
        <f>'Inventory Baseline'!AM32*0.5</f>
        <v>0</v>
      </c>
      <c r="AN32">
        <f>'Inventory Baseline'!AN32*0.5</f>
        <v>2</v>
      </c>
      <c r="AP32">
        <f>'Inventory Baseline'!AP32*0.5</f>
        <v>10</v>
      </c>
      <c r="AQ32">
        <f>'Inventory Baseline'!AQ32*0.5</f>
        <v>14</v>
      </c>
      <c r="AR32">
        <f>'Inventory Baseline'!AR32*0.5</f>
        <v>0</v>
      </c>
      <c r="AS32">
        <f>'Inventory Baseline'!AS32*0.5</f>
        <v>2</v>
      </c>
      <c r="AU32">
        <f>'Inventory Baseline'!AU32*0.5</f>
        <v>10</v>
      </c>
      <c r="AV32">
        <f>'Inventory Baseline'!AV32*0.5</f>
        <v>14</v>
      </c>
      <c r="AW32">
        <f>'Inventory Baseline'!AW32*0.5</f>
        <v>0</v>
      </c>
      <c r="AX32">
        <f>'Inventory Baseline'!AX32*0.5</f>
        <v>2</v>
      </c>
      <c r="AY32">
        <f t="shared" si="1"/>
        <v>10</v>
      </c>
      <c r="AZ32">
        <f t="shared" si="1"/>
        <v>14</v>
      </c>
      <c r="BA32">
        <f t="shared" si="1"/>
        <v>0</v>
      </c>
      <c r="BB32">
        <f t="shared" si="1"/>
        <v>2</v>
      </c>
    </row>
    <row r="33" spans="1:56" x14ac:dyDescent="0.35">
      <c r="A33">
        <v>31</v>
      </c>
      <c r="B33">
        <f>'Inventory Baseline'!B33*0.5</f>
        <v>7</v>
      </c>
      <c r="C33">
        <f>'Inventory Baseline'!C33*0.5</f>
        <v>14</v>
      </c>
      <c r="D33">
        <f>'Inventory Baseline'!D33*0.5</f>
        <v>0</v>
      </c>
      <c r="E33">
        <f>'Inventory Baseline'!E33*0.5</f>
        <v>0</v>
      </c>
      <c r="G33">
        <f>'Inventory Baseline'!G33*0.5</f>
        <v>7</v>
      </c>
      <c r="H33">
        <f>'Inventory Baseline'!H33*0.5</f>
        <v>14</v>
      </c>
      <c r="I33">
        <f>'Inventory Baseline'!I33*0.5</f>
        <v>0</v>
      </c>
      <c r="J33">
        <f>'Inventory Baseline'!J33*0.5</f>
        <v>0</v>
      </c>
      <c r="L33">
        <f>'Inventory Baseline'!L33*0.5</f>
        <v>7</v>
      </c>
      <c r="M33">
        <f>'Inventory Baseline'!M33*0.5</f>
        <v>14</v>
      </c>
      <c r="N33">
        <f>'Inventory Baseline'!N33*0.5</f>
        <v>0</v>
      </c>
      <c r="O33">
        <f>'Inventory Baseline'!O33*0.5</f>
        <v>0</v>
      </c>
      <c r="Q33">
        <f>'Inventory Baseline'!Q33*0.5</f>
        <v>7</v>
      </c>
      <c r="R33">
        <f>'Inventory Baseline'!R33*0.5</f>
        <v>14</v>
      </c>
      <c r="S33">
        <f>'Inventory Baseline'!S33*0.5</f>
        <v>0</v>
      </c>
      <c r="T33">
        <f>'Inventory Baseline'!T33*0.5</f>
        <v>0</v>
      </c>
      <c r="V33">
        <f>'Inventory Baseline'!V33*0.5</f>
        <v>7</v>
      </c>
      <c r="W33">
        <f>'Inventory Baseline'!W33*0.5</f>
        <v>14</v>
      </c>
      <c r="X33">
        <f>'Inventory Baseline'!X33*0.5</f>
        <v>0</v>
      </c>
      <c r="Y33">
        <f>'Inventory Baseline'!Y33*0.5</f>
        <v>0</v>
      </c>
      <c r="AA33">
        <f>'Inventory Baseline'!AA33*0.5</f>
        <v>7</v>
      </c>
      <c r="AB33">
        <f>'Inventory Baseline'!AB33*0.5</f>
        <v>14</v>
      </c>
      <c r="AC33">
        <f>'Inventory Baseline'!AC33*0.5</f>
        <v>0</v>
      </c>
      <c r="AD33">
        <f>'Inventory Baseline'!AD33*0.5</f>
        <v>0</v>
      </c>
      <c r="AF33">
        <f>'Inventory Baseline'!AF33*0.5</f>
        <v>7</v>
      </c>
      <c r="AG33">
        <f>'Inventory Baseline'!AG33*0.5</f>
        <v>14</v>
      </c>
      <c r="AH33">
        <f>'Inventory Baseline'!AH33*0.5</f>
        <v>0</v>
      </c>
      <c r="AI33">
        <f>'Inventory Baseline'!AI33*0.5</f>
        <v>0</v>
      </c>
      <c r="AK33">
        <f>'Inventory Baseline'!AK33*0.5</f>
        <v>7</v>
      </c>
      <c r="AL33">
        <f>'Inventory Baseline'!AL33*0.5</f>
        <v>14</v>
      </c>
      <c r="AM33">
        <f>'Inventory Baseline'!AM33*0.5</f>
        <v>0</v>
      </c>
      <c r="AN33">
        <f>'Inventory Baseline'!AN33*0.5</f>
        <v>0</v>
      </c>
      <c r="AP33">
        <f>'Inventory Baseline'!AP33*0.5</f>
        <v>7</v>
      </c>
      <c r="AQ33">
        <f>'Inventory Baseline'!AQ33*0.5</f>
        <v>14</v>
      </c>
      <c r="AR33">
        <f>'Inventory Baseline'!AR33*0.5</f>
        <v>0</v>
      </c>
      <c r="AS33">
        <f>'Inventory Baseline'!AS33*0.5</f>
        <v>0</v>
      </c>
      <c r="AU33">
        <f>'Inventory Baseline'!AU33*0.5</f>
        <v>7</v>
      </c>
      <c r="AV33">
        <f>'Inventory Baseline'!AV33*0.5</f>
        <v>14</v>
      </c>
      <c r="AW33">
        <f>'Inventory Baseline'!AW33*0.5</f>
        <v>0</v>
      </c>
      <c r="AX33">
        <f>'Inventory Baseline'!AX33*0.5</f>
        <v>0</v>
      </c>
      <c r="AY33">
        <f t="shared" si="1"/>
        <v>7</v>
      </c>
      <c r="AZ33">
        <f t="shared" si="1"/>
        <v>14</v>
      </c>
      <c r="BA33">
        <f t="shared" si="1"/>
        <v>0</v>
      </c>
      <c r="BB33">
        <f t="shared" si="1"/>
        <v>0</v>
      </c>
    </row>
    <row r="34" spans="1:56" x14ac:dyDescent="0.35">
      <c r="A34">
        <v>32</v>
      </c>
      <c r="B34">
        <f>'Inventory Baseline'!B34*0.5</f>
        <v>2</v>
      </c>
      <c r="C34">
        <f>'Inventory Baseline'!C34*0.5</f>
        <v>14</v>
      </c>
      <c r="D34">
        <f>'Inventory Baseline'!D34*0.5</f>
        <v>0</v>
      </c>
      <c r="E34">
        <f>'Inventory Baseline'!E34*0.5</f>
        <v>0</v>
      </c>
      <c r="G34">
        <f>'Inventory Baseline'!G34*0.5</f>
        <v>2</v>
      </c>
      <c r="H34">
        <f>'Inventory Baseline'!H34*0.5</f>
        <v>14</v>
      </c>
      <c r="I34">
        <f>'Inventory Baseline'!I34*0.5</f>
        <v>0</v>
      </c>
      <c r="J34">
        <f>'Inventory Baseline'!J34*0.5</f>
        <v>0</v>
      </c>
      <c r="L34">
        <f>'Inventory Baseline'!L34*0.5</f>
        <v>2</v>
      </c>
      <c r="M34">
        <f>'Inventory Baseline'!M34*0.5</f>
        <v>14</v>
      </c>
      <c r="N34">
        <f>'Inventory Baseline'!N34*0.5</f>
        <v>0</v>
      </c>
      <c r="O34">
        <f>'Inventory Baseline'!O34*0.5</f>
        <v>0</v>
      </c>
      <c r="Q34">
        <f>'Inventory Baseline'!Q34*0.5</f>
        <v>2</v>
      </c>
      <c r="R34">
        <f>'Inventory Baseline'!R34*0.5</f>
        <v>14</v>
      </c>
      <c r="S34">
        <f>'Inventory Baseline'!S34*0.5</f>
        <v>0</v>
      </c>
      <c r="T34">
        <f>'Inventory Baseline'!T34*0.5</f>
        <v>0</v>
      </c>
      <c r="V34">
        <f>'Inventory Baseline'!V34*0.5</f>
        <v>2</v>
      </c>
      <c r="W34">
        <f>'Inventory Baseline'!W34*0.5</f>
        <v>14</v>
      </c>
      <c r="X34">
        <f>'Inventory Baseline'!X34*0.5</f>
        <v>0</v>
      </c>
      <c r="Y34">
        <f>'Inventory Baseline'!Y34*0.5</f>
        <v>0</v>
      </c>
      <c r="AA34">
        <f>'Inventory Baseline'!AA34*0.5</f>
        <v>2</v>
      </c>
      <c r="AB34">
        <f>'Inventory Baseline'!AB34*0.5</f>
        <v>14</v>
      </c>
      <c r="AC34">
        <f>'Inventory Baseline'!AC34*0.5</f>
        <v>0</v>
      </c>
      <c r="AD34">
        <f>'Inventory Baseline'!AD34*0.5</f>
        <v>0</v>
      </c>
      <c r="AF34">
        <f>'Inventory Baseline'!AF34*0.5</f>
        <v>2</v>
      </c>
      <c r="AG34">
        <f>'Inventory Baseline'!AG34*0.5</f>
        <v>14</v>
      </c>
      <c r="AH34">
        <f>'Inventory Baseline'!AH34*0.5</f>
        <v>0</v>
      </c>
      <c r="AI34">
        <f>'Inventory Baseline'!AI34*0.5</f>
        <v>0</v>
      </c>
      <c r="AK34">
        <f>'Inventory Baseline'!AK34*0.5</f>
        <v>2</v>
      </c>
      <c r="AL34">
        <f>'Inventory Baseline'!AL34*0.5</f>
        <v>14</v>
      </c>
      <c r="AM34">
        <f>'Inventory Baseline'!AM34*0.5</f>
        <v>0</v>
      </c>
      <c r="AN34">
        <f>'Inventory Baseline'!AN34*0.5</f>
        <v>0</v>
      </c>
      <c r="AP34">
        <f>'Inventory Baseline'!AP34*0.5</f>
        <v>2</v>
      </c>
      <c r="AQ34">
        <f>'Inventory Baseline'!AQ34*0.5</f>
        <v>14</v>
      </c>
      <c r="AR34">
        <f>'Inventory Baseline'!AR34*0.5</f>
        <v>0</v>
      </c>
      <c r="AS34">
        <f>'Inventory Baseline'!AS34*0.5</f>
        <v>0</v>
      </c>
      <c r="AU34">
        <f>'Inventory Baseline'!AU34*0.5</f>
        <v>2</v>
      </c>
      <c r="AV34">
        <f>'Inventory Baseline'!AV34*0.5</f>
        <v>14</v>
      </c>
      <c r="AW34">
        <f>'Inventory Baseline'!AW34*0.5</f>
        <v>0</v>
      </c>
      <c r="AX34">
        <f>'Inventory Baseline'!AX34*0.5</f>
        <v>0</v>
      </c>
      <c r="AY34">
        <f t="shared" si="1"/>
        <v>2</v>
      </c>
      <c r="AZ34">
        <f t="shared" si="1"/>
        <v>14</v>
      </c>
      <c r="BA34">
        <f t="shared" si="1"/>
        <v>0</v>
      </c>
      <c r="BB34">
        <f t="shared" si="1"/>
        <v>0</v>
      </c>
    </row>
    <row r="35" spans="1:56" x14ac:dyDescent="0.35">
      <c r="A35">
        <v>33</v>
      </c>
      <c r="B35">
        <f>'Inventory Baseline'!B35*0.5</f>
        <v>0</v>
      </c>
      <c r="C35">
        <f>'Inventory Baseline'!C35*0.5</f>
        <v>13.5</v>
      </c>
      <c r="D35">
        <f>'Inventory Baseline'!D35*0.5</f>
        <v>0</v>
      </c>
      <c r="E35">
        <f>'Inventory Baseline'!E35*0.5</f>
        <v>0</v>
      </c>
      <c r="G35">
        <f>'Inventory Baseline'!G35*0.5</f>
        <v>0</v>
      </c>
      <c r="H35">
        <f>'Inventory Baseline'!H35*0.5</f>
        <v>13.5</v>
      </c>
      <c r="I35">
        <f>'Inventory Baseline'!I35*0.5</f>
        <v>0</v>
      </c>
      <c r="J35">
        <f>'Inventory Baseline'!J35*0.5</f>
        <v>0</v>
      </c>
      <c r="L35">
        <f>'Inventory Baseline'!L35*0.5</f>
        <v>0</v>
      </c>
      <c r="M35">
        <f>'Inventory Baseline'!M35*0.5</f>
        <v>13.5</v>
      </c>
      <c r="N35">
        <f>'Inventory Baseline'!N35*0.5</f>
        <v>0</v>
      </c>
      <c r="O35">
        <f>'Inventory Baseline'!O35*0.5</f>
        <v>0</v>
      </c>
      <c r="Q35">
        <f>'Inventory Baseline'!Q35*0.5</f>
        <v>0</v>
      </c>
      <c r="R35">
        <f>'Inventory Baseline'!R35*0.5</f>
        <v>13.5</v>
      </c>
      <c r="S35">
        <f>'Inventory Baseline'!S35*0.5</f>
        <v>0</v>
      </c>
      <c r="T35">
        <f>'Inventory Baseline'!T35*0.5</f>
        <v>0</v>
      </c>
      <c r="V35">
        <f>'Inventory Baseline'!V35*0.5</f>
        <v>0</v>
      </c>
      <c r="W35">
        <f>'Inventory Baseline'!W35*0.5</f>
        <v>13.5</v>
      </c>
      <c r="X35">
        <f>'Inventory Baseline'!X35*0.5</f>
        <v>0</v>
      </c>
      <c r="Y35">
        <f>'Inventory Baseline'!Y35*0.5</f>
        <v>0</v>
      </c>
      <c r="AA35">
        <f>'Inventory Baseline'!AA35*0.5</f>
        <v>0</v>
      </c>
      <c r="AB35">
        <f>'Inventory Baseline'!AB35*0.5</f>
        <v>13.5</v>
      </c>
      <c r="AC35">
        <f>'Inventory Baseline'!AC35*0.5</f>
        <v>0</v>
      </c>
      <c r="AD35">
        <f>'Inventory Baseline'!AD35*0.5</f>
        <v>0</v>
      </c>
      <c r="AF35">
        <f>'Inventory Baseline'!AF35*0.5</f>
        <v>0</v>
      </c>
      <c r="AG35">
        <f>'Inventory Baseline'!AG35*0.5</f>
        <v>13.5</v>
      </c>
      <c r="AH35">
        <f>'Inventory Baseline'!AH35*0.5</f>
        <v>0</v>
      </c>
      <c r="AI35">
        <f>'Inventory Baseline'!AI35*0.5</f>
        <v>0</v>
      </c>
      <c r="AK35">
        <f>'Inventory Baseline'!AK35*0.5</f>
        <v>0</v>
      </c>
      <c r="AL35">
        <f>'Inventory Baseline'!AL35*0.5</f>
        <v>13.5</v>
      </c>
      <c r="AM35">
        <f>'Inventory Baseline'!AM35*0.5</f>
        <v>0</v>
      </c>
      <c r="AN35">
        <f>'Inventory Baseline'!AN35*0.5</f>
        <v>0</v>
      </c>
      <c r="AP35">
        <f>'Inventory Baseline'!AP35*0.5</f>
        <v>0</v>
      </c>
      <c r="AQ35">
        <f>'Inventory Baseline'!AQ35*0.5</f>
        <v>13.5</v>
      </c>
      <c r="AR35">
        <f>'Inventory Baseline'!AR35*0.5</f>
        <v>0</v>
      </c>
      <c r="AS35">
        <f>'Inventory Baseline'!AS35*0.5</f>
        <v>0</v>
      </c>
      <c r="AU35">
        <f>'Inventory Baseline'!AU35*0.5</f>
        <v>0</v>
      </c>
      <c r="AV35">
        <f>'Inventory Baseline'!AV35*0.5</f>
        <v>13.5</v>
      </c>
      <c r="AW35">
        <f>'Inventory Baseline'!AW35*0.5</f>
        <v>0</v>
      </c>
      <c r="AX35">
        <f>'Inventory Baseline'!AX35*0.5</f>
        <v>0</v>
      </c>
      <c r="AY35">
        <f t="shared" si="1"/>
        <v>0</v>
      </c>
      <c r="AZ35">
        <f t="shared" si="1"/>
        <v>13.5</v>
      </c>
      <c r="BA35">
        <f t="shared" si="1"/>
        <v>0</v>
      </c>
      <c r="BB35">
        <f t="shared" si="1"/>
        <v>0</v>
      </c>
    </row>
    <row r="36" spans="1:56" x14ac:dyDescent="0.35">
      <c r="A36">
        <v>34</v>
      </c>
      <c r="B36">
        <f>'Inventory Baseline'!B36*0.5</f>
        <v>0</v>
      </c>
      <c r="C36">
        <f>'Inventory Baseline'!C36*0.5</f>
        <v>8</v>
      </c>
      <c r="D36">
        <f>'Inventory Baseline'!D36*0.5</f>
        <v>0</v>
      </c>
      <c r="E36">
        <f>'Inventory Baseline'!E36*0.5</f>
        <v>0</v>
      </c>
      <c r="G36">
        <f>'Inventory Baseline'!G36*0.5</f>
        <v>0</v>
      </c>
      <c r="H36">
        <f>'Inventory Baseline'!H36*0.5</f>
        <v>8</v>
      </c>
      <c r="I36">
        <f>'Inventory Baseline'!I36*0.5</f>
        <v>0</v>
      </c>
      <c r="J36">
        <f>'Inventory Baseline'!J36*0.5</f>
        <v>0</v>
      </c>
      <c r="L36">
        <f>'Inventory Baseline'!L36*0.5</f>
        <v>0</v>
      </c>
      <c r="M36">
        <f>'Inventory Baseline'!M36*0.5</f>
        <v>8</v>
      </c>
      <c r="N36">
        <f>'Inventory Baseline'!N36*0.5</f>
        <v>0</v>
      </c>
      <c r="O36">
        <f>'Inventory Baseline'!O36*0.5</f>
        <v>0</v>
      </c>
      <c r="Q36">
        <f>'Inventory Baseline'!Q36*0.5</f>
        <v>0</v>
      </c>
      <c r="R36">
        <f>'Inventory Baseline'!R36*0.5</f>
        <v>8</v>
      </c>
      <c r="S36">
        <f>'Inventory Baseline'!S36*0.5</f>
        <v>0</v>
      </c>
      <c r="T36">
        <f>'Inventory Baseline'!T36*0.5</f>
        <v>0</v>
      </c>
      <c r="V36">
        <f>'Inventory Baseline'!V36*0.5</f>
        <v>0</v>
      </c>
      <c r="W36">
        <f>'Inventory Baseline'!W36*0.5</f>
        <v>8</v>
      </c>
      <c r="X36">
        <f>'Inventory Baseline'!X36*0.5</f>
        <v>0</v>
      </c>
      <c r="Y36">
        <f>'Inventory Baseline'!Y36*0.5</f>
        <v>0</v>
      </c>
      <c r="AA36">
        <f>'Inventory Baseline'!AA36*0.5</f>
        <v>0</v>
      </c>
      <c r="AB36">
        <f>'Inventory Baseline'!AB36*0.5</f>
        <v>8</v>
      </c>
      <c r="AC36">
        <f>'Inventory Baseline'!AC36*0.5</f>
        <v>0</v>
      </c>
      <c r="AD36">
        <f>'Inventory Baseline'!AD36*0.5</f>
        <v>0</v>
      </c>
      <c r="AF36">
        <f>'Inventory Baseline'!AF36*0.5</f>
        <v>0</v>
      </c>
      <c r="AG36">
        <f>'Inventory Baseline'!AG36*0.5</f>
        <v>8</v>
      </c>
      <c r="AH36">
        <f>'Inventory Baseline'!AH36*0.5</f>
        <v>0</v>
      </c>
      <c r="AI36">
        <f>'Inventory Baseline'!AI36*0.5</f>
        <v>0</v>
      </c>
      <c r="AK36">
        <f>'Inventory Baseline'!AK36*0.5</f>
        <v>0</v>
      </c>
      <c r="AL36">
        <f>'Inventory Baseline'!AL36*0.5</f>
        <v>8</v>
      </c>
      <c r="AM36">
        <f>'Inventory Baseline'!AM36*0.5</f>
        <v>0</v>
      </c>
      <c r="AN36">
        <f>'Inventory Baseline'!AN36*0.5</f>
        <v>0</v>
      </c>
      <c r="AP36">
        <f>'Inventory Baseline'!AP36*0.5</f>
        <v>0</v>
      </c>
      <c r="AQ36">
        <f>'Inventory Baseline'!AQ36*0.5</f>
        <v>8</v>
      </c>
      <c r="AR36">
        <f>'Inventory Baseline'!AR36*0.5</f>
        <v>0</v>
      </c>
      <c r="AS36">
        <f>'Inventory Baseline'!AS36*0.5</f>
        <v>0</v>
      </c>
      <c r="AU36">
        <f>'Inventory Baseline'!AU36*0.5</f>
        <v>0</v>
      </c>
      <c r="AV36">
        <f>'Inventory Baseline'!AV36*0.5</f>
        <v>8</v>
      </c>
      <c r="AW36">
        <f>'Inventory Baseline'!AW36*0.5</f>
        <v>0</v>
      </c>
      <c r="AX36">
        <f>'Inventory Baseline'!AX36*0.5</f>
        <v>0</v>
      </c>
      <c r="AY36">
        <f t="shared" si="1"/>
        <v>0</v>
      </c>
      <c r="AZ36">
        <f t="shared" si="1"/>
        <v>8</v>
      </c>
      <c r="BA36">
        <f t="shared" si="1"/>
        <v>0</v>
      </c>
      <c r="BB36">
        <f t="shared" si="1"/>
        <v>0</v>
      </c>
    </row>
    <row r="37" spans="1:56" x14ac:dyDescent="0.35">
      <c r="A37">
        <v>35</v>
      </c>
      <c r="B37">
        <f>'Inventory Baseline'!B37*0.5</f>
        <v>0</v>
      </c>
      <c r="C37">
        <f>'Inventory Baseline'!C37*0.5</f>
        <v>0</v>
      </c>
      <c r="D37">
        <f>'Inventory Baseline'!D37*0.5</f>
        <v>0</v>
      </c>
      <c r="E37">
        <f>'Inventory Baseline'!E37*0.5</f>
        <v>0</v>
      </c>
      <c r="G37">
        <f>'Inventory Baseline'!G37*0.5</f>
        <v>0</v>
      </c>
      <c r="H37">
        <f>'Inventory Baseline'!H37*0.5</f>
        <v>0</v>
      </c>
      <c r="I37">
        <f>'Inventory Baseline'!I37*0.5</f>
        <v>0</v>
      </c>
      <c r="J37">
        <f>'Inventory Baseline'!J37*0.5</f>
        <v>0</v>
      </c>
      <c r="L37">
        <f>'Inventory Baseline'!L37*0.5</f>
        <v>0</v>
      </c>
      <c r="M37">
        <f>'Inventory Baseline'!M37*0.5</f>
        <v>0</v>
      </c>
      <c r="N37">
        <f>'Inventory Baseline'!N37*0.5</f>
        <v>0</v>
      </c>
      <c r="O37">
        <f>'Inventory Baseline'!O37*0.5</f>
        <v>0</v>
      </c>
      <c r="Q37">
        <f>'Inventory Baseline'!Q37*0.5</f>
        <v>0</v>
      </c>
      <c r="R37">
        <f>'Inventory Baseline'!R37*0.5</f>
        <v>0</v>
      </c>
      <c r="S37">
        <f>'Inventory Baseline'!S37*0.5</f>
        <v>0</v>
      </c>
      <c r="T37">
        <f>'Inventory Baseline'!T37*0.5</f>
        <v>0</v>
      </c>
      <c r="V37">
        <f>'Inventory Baseline'!V37*0.5</f>
        <v>0</v>
      </c>
      <c r="W37">
        <f>'Inventory Baseline'!W37*0.5</f>
        <v>0</v>
      </c>
      <c r="X37">
        <f>'Inventory Baseline'!X37*0.5</f>
        <v>0</v>
      </c>
      <c r="Y37">
        <f>'Inventory Baseline'!Y37*0.5</f>
        <v>0</v>
      </c>
      <c r="AA37">
        <f>'Inventory Baseline'!AA37*0.5</f>
        <v>0</v>
      </c>
      <c r="AB37">
        <f>'Inventory Baseline'!AB37*0.5</f>
        <v>0</v>
      </c>
      <c r="AC37">
        <f>'Inventory Baseline'!AC37*0.5</f>
        <v>0</v>
      </c>
      <c r="AD37">
        <f>'Inventory Baseline'!AD37*0.5</f>
        <v>0</v>
      </c>
      <c r="AF37">
        <f>'Inventory Baseline'!AF37*0.5</f>
        <v>0</v>
      </c>
      <c r="AG37">
        <f>'Inventory Baseline'!AG37*0.5</f>
        <v>0</v>
      </c>
      <c r="AH37">
        <f>'Inventory Baseline'!AH37*0.5</f>
        <v>0</v>
      </c>
      <c r="AI37">
        <f>'Inventory Baseline'!AI37*0.5</f>
        <v>0</v>
      </c>
      <c r="AK37">
        <f>'Inventory Baseline'!AK37*0.5</f>
        <v>0</v>
      </c>
      <c r="AL37">
        <f>'Inventory Baseline'!AL37*0.5</f>
        <v>0</v>
      </c>
      <c r="AM37">
        <f>'Inventory Baseline'!AM37*0.5</f>
        <v>0</v>
      </c>
      <c r="AN37">
        <f>'Inventory Baseline'!AN37*0.5</f>
        <v>0</v>
      </c>
      <c r="AP37">
        <f>'Inventory Baseline'!AP37*0.5</f>
        <v>0</v>
      </c>
      <c r="AQ37">
        <f>'Inventory Baseline'!AQ37*0.5</f>
        <v>0</v>
      </c>
      <c r="AR37">
        <f>'Inventory Baseline'!AR37*0.5</f>
        <v>0</v>
      </c>
      <c r="AS37">
        <f>'Inventory Baseline'!AS37*0.5</f>
        <v>0</v>
      </c>
      <c r="AU37">
        <f>'Inventory Baseline'!AU37*0.5</f>
        <v>0</v>
      </c>
      <c r="AV37">
        <f>'Inventory Baseline'!AV37*0.5</f>
        <v>0</v>
      </c>
      <c r="AW37">
        <f>'Inventory Baseline'!AW37*0.5</f>
        <v>0</v>
      </c>
      <c r="AX37">
        <f>'Inventory Baseline'!AX37*0.5</f>
        <v>0</v>
      </c>
      <c r="AY37">
        <f t="shared" si="1"/>
        <v>0</v>
      </c>
      <c r="AZ37">
        <f t="shared" si="1"/>
        <v>0</v>
      </c>
      <c r="BA37">
        <f t="shared" si="1"/>
        <v>0</v>
      </c>
      <c r="BB37">
        <f t="shared" si="1"/>
        <v>0</v>
      </c>
    </row>
    <row r="38" spans="1:56" x14ac:dyDescent="0.35">
      <c r="A38">
        <v>36</v>
      </c>
      <c r="B38">
        <f>'Inventory Baseline'!B38*0.5</f>
        <v>0</v>
      </c>
      <c r="C38">
        <f>'Inventory Baseline'!C38*0.5</f>
        <v>0</v>
      </c>
      <c r="D38">
        <f>'Inventory Baseline'!D38*0.5</f>
        <v>0</v>
      </c>
      <c r="E38">
        <f>'Inventory Baseline'!E38*0.5</f>
        <v>0</v>
      </c>
      <c r="G38">
        <f>'Inventory Baseline'!G38*0.5</f>
        <v>0</v>
      </c>
      <c r="H38">
        <f>'Inventory Baseline'!H38*0.5</f>
        <v>0</v>
      </c>
      <c r="I38">
        <f>'Inventory Baseline'!I38*0.5</f>
        <v>0</v>
      </c>
      <c r="J38">
        <f>'Inventory Baseline'!J38*0.5</f>
        <v>0</v>
      </c>
      <c r="L38">
        <f>'Inventory Baseline'!L38*0.5</f>
        <v>0</v>
      </c>
      <c r="M38">
        <f>'Inventory Baseline'!M38*0.5</f>
        <v>0</v>
      </c>
      <c r="N38">
        <f>'Inventory Baseline'!N38*0.5</f>
        <v>0</v>
      </c>
      <c r="O38">
        <f>'Inventory Baseline'!O38*0.5</f>
        <v>0</v>
      </c>
      <c r="Q38">
        <f>'Inventory Baseline'!Q38*0.5</f>
        <v>0</v>
      </c>
      <c r="R38">
        <f>'Inventory Baseline'!R38*0.5</f>
        <v>0</v>
      </c>
      <c r="S38">
        <f>'Inventory Baseline'!S38*0.5</f>
        <v>0</v>
      </c>
      <c r="T38">
        <f>'Inventory Baseline'!T38*0.5</f>
        <v>0</v>
      </c>
      <c r="V38">
        <f>'Inventory Baseline'!V38*0.5</f>
        <v>0</v>
      </c>
      <c r="W38">
        <f>'Inventory Baseline'!W38*0.5</f>
        <v>0</v>
      </c>
      <c r="X38">
        <f>'Inventory Baseline'!X38*0.5</f>
        <v>0</v>
      </c>
      <c r="Y38">
        <f>'Inventory Baseline'!Y38*0.5</f>
        <v>0</v>
      </c>
      <c r="AA38">
        <f>'Inventory Baseline'!AA38*0.5</f>
        <v>0</v>
      </c>
      <c r="AB38">
        <f>'Inventory Baseline'!AB38*0.5</f>
        <v>0</v>
      </c>
      <c r="AC38">
        <f>'Inventory Baseline'!AC38*0.5</f>
        <v>0</v>
      </c>
      <c r="AD38">
        <f>'Inventory Baseline'!AD38*0.5</f>
        <v>0</v>
      </c>
      <c r="AF38">
        <f>'Inventory Baseline'!AF38*0.5</f>
        <v>0</v>
      </c>
      <c r="AG38">
        <f>'Inventory Baseline'!AG38*0.5</f>
        <v>0</v>
      </c>
      <c r="AH38">
        <f>'Inventory Baseline'!AH38*0.5</f>
        <v>0</v>
      </c>
      <c r="AI38">
        <f>'Inventory Baseline'!AI38*0.5</f>
        <v>0</v>
      </c>
      <c r="AK38">
        <f>'Inventory Baseline'!AK38*0.5</f>
        <v>0</v>
      </c>
      <c r="AL38">
        <f>'Inventory Baseline'!AL38*0.5</f>
        <v>0</v>
      </c>
      <c r="AM38">
        <f>'Inventory Baseline'!AM38*0.5</f>
        <v>0</v>
      </c>
      <c r="AN38">
        <f>'Inventory Baseline'!AN38*0.5</f>
        <v>0</v>
      </c>
      <c r="AP38">
        <f>'Inventory Baseline'!AP38*0.5</f>
        <v>0</v>
      </c>
      <c r="AQ38">
        <f>'Inventory Baseline'!AQ38*0.5</f>
        <v>0</v>
      </c>
      <c r="AR38">
        <f>'Inventory Baseline'!AR38*0.5</f>
        <v>0</v>
      </c>
      <c r="AS38">
        <f>'Inventory Baseline'!AS38*0.5</f>
        <v>0</v>
      </c>
      <c r="AU38">
        <f>'Inventory Baseline'!AU38*0.5</f>
        <v>0</v>
      </c>
      <c r="AV38">
        <f>'Inventory Baseline'!AV38*0.5</f>
        <v>0</v>
      </c>
      <c r="AW38">
        <f>'Inventory Baseline'!AW38*0.5</f>
        <v>0</v>
      </c>
      <c r="AX38">
        <f>'Inventory Baseline'!AX38*0.5</f>
        <v>0</v>
      </c>
      <c r="AY38">
        <f t="shared" si="1"/>
        <v>0</v>
      </c>
      <c r="AZ38">
        <f t="shared" si="1"/>
        <v>0</v>
      </c>
      <c r="BA38">
        <f t="shared" si="1"/>
        <v>0</v>
      </c>
      <c r="BB38">
        <f t="shared" si="1"/>
        <v>0</v>
      </c>
    </row>
    <row r="40" spans="1:56" x14ac:dyDescent="0.35">
      <c r="A40" t="s">
        <v>9</v>
      </c>
      <c r="B40">
        <f>SUM(B2:B38)</f>
        <v>181</v>
      </c>
      <c r="C40">
        <f t="shared" ref="C40:E40" si="2">SUM(C2:C38)</f>
        <v>296.5</v>
      </c>
      <c r="D40">
        <f t="shared" si="2"/>
        <v>52.5</v>
      </c>
      <c r="E40">
        <f t="shared" si="2"/>
        <v>98</v>
      </c>
      <c r="G40">
        <f>SUM(G2:G38)</f>
        <v>181</v>
      </c>
      <c r="H40">
        <f t="shared" ref="H40:J40" si="3">SUM(H2:H38)</f>
        <v>296.5</v>
      </c>
      <c r="I40">
        <f t="shared" si="3"/>
        <v>52.5</v>
      </c>
      <c r="J40">
        <f t="shared" si="3"/>
        <v>98</v>
      </c>
      <c r="L40">
        <f>SUM(L2:L38)</f>
        <v>181</v>
      </c>
      <c r="M40">
        <f t="shared" ref="M40:O40" si="4">SUM(M2:M38)</f>
        <v>296.5</v>
      </c>
      <c r="N40">
        <f t="shared" si="4"/>
        <v>52.5</v>
      </c>
      <c r="O40">
        <f t="shared" si="4"/>
        <v>98</v>
      </c>
      <c r="Q40">
        <f>SUM(Q2:Q38)</f>
        <v>181</v>
      </c>
      <c r="R40">
        <f t="shared" ref="R40:T40" si="5">SUM(R2:R38)</f>
        <v>296.5</v>
      </c>
      <c r="S40">
        <f t="shared" si="5"/>
        <v>52.5</v>
      </c>
      <c r="T40">
        <f t="shared" si="5"/>
        <v>98</v>
      </c>
      <c r="V40">
        <f>SUM(V2:V38)</f>
        <v>181</v>
      </c>
      <c r="W40">
        <f t="shared" ref="W40:Y40" si="6">SUM(W2:W38)</f>
        <v>296.5</v>
      </c>
      <c r="X40">
        <f t="shared" si="6"/>
        <v>52.5</v>
      </c>
      <c r="Y40">
        <f t="shared" si="6"/>
        <v>98</v>
      </c>
      <c r="AA40">
        <f>SUM(AA2:AA38)</f>
        <v>181</v>
      </c>
      <c r="AB40">
        <f t="shared" ref="AB40:AD40" si="7">SUM(AB2:AB38)</f>
        <v>296.5</v>
      </c>
      <c r="AC40">
        <f t="shared" si="7"/>
        <v>52.5</v>
      </c>
      <c r="AD40">
        <f t="shared" si="7"/>
        <v>98</v>
      </c>
      <c r="AF40">
        <f>SUM(AF2:AF38)</f>
        <v>181</v>
      </c>
      <c r="AG40">
        <f t="shared" ref="AG40:AI40" si="8">SUM(AG2:AG38)</f>
        <v>296.5</v>
      </c>
      <c r="AH40">
        <f t="shared" si="8"/>
        <v>52.5</v>
      </c>
      <c r="AI40">
        <f t="shared" si="8"/>
        <v>98</v>
      </c>
      <c r="AK40">
        <f>SUM(AK2:AK38)</f>
        <v>181</v>
      </c>
      <c r="AL40">
        <f t="shared" ref="AL40:AN40" si="9">SUM(AL2:AL38)</f>
        <v>296.5</v>
      </c>
      <c r="AM40">
        <f t="shared" si="9"/>
        <v>52.5</v>
      </c>
      <c r="AN40">
        <f t="shared" si="9"/>
        <v>98</v>
      </c>
      <c r="AP40">
        <f>SUM(AP2:AP38)</f>
        <v>181</v>
      </c>
      <c r="AQ40">
        <f t="shared" ref="AQ40:AS40" si="10">SUM(AQ2:AQ38)</f>
        <v>296.5</v>
      </c>
      <c r="AR40">
        <f t="shared" si="10"/>
        <v>52.5</v>
      </c>
      <c r="AS40">
        <f t="shared" si="10"/>
        <v>98</v>
      </c>
      <c r="AU40">
        <f>SUM(AU2:AU38)</f>
        <v>181</v>
      </c>
      <c r="AV40">
        <f t="shared" ref="AV40:AX40" si="11">SUM(AV2:AV38)</f>
        <v>296.5</v>
      </c>
      <c r="AW40">
        <f t="shared" si="11"/>
        <v>52.5</v>
      </c>
      <c r="AX40">
        <f t="shared" si="11"/>
        <v>98</v>
      </c>
      <c r="AY40" s="5"/>
      <c r="AZ40" s="5"/>
      <c r="BA40">
        <f>SUM(BA2:BA38)</f>
        <v>52.5</v>
      </c>
      <c r="BB40">
        <f t="shared" ref="BB40:BD40" si="12">SUM(BB2:BB38)</f>
        <v>98</v>
      </c>
      <c r="BC40">
        <f t="shared" si="12"/>
        <v>0</v>
      </c>
      <c r="BD40">
        <f t="shared" si="12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6220-1C1F-44AE-BAFF-30FA4E2EC278}">
  <dimension ref="A1:BD40"/>
  <sheetViews>
    <sheetView workbookViewId="0">
      <selection activeCell="B40" sqref="B40:E40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0" max="51" width="8.7265625" style="5"/>
  </cols>
  <sheetData>
    <row r="1" spans="1:55" x14ac:dyDescent="0.35">
      <c r="A1" t="s">
        <v>19</v>
      </c>
      <c r="B1" t="s">
        <v>47</v>
      </c>
      <c r="C1" t="s">
        <v>48</v>
      </c>
      <c r="D1" t="s">
        <v>49</v>
      </c>
      <c r="E1" t="s">
        <v>50</v>
      </c>
      <c r="F1" s="5">
        <v>1</v>
      </c>
      <c r="G1" t="s">
        <v>47</v>
      </c>
      <c r="H1" t="s">
        <v>48</v>
      </c>
      <c r="I1" t="s">
        <v>49</v>
      </c>
      <c r="J1" t="s">
        <v>50</v>
      </c>
      <c r="K1" s="5">
        <v>2</v>
      </c>
      <c r="L1" t="s">
        <v>47</v>
      </c>
      <c r="M1" t="s">
        <v>48</v>
      </c>
      <c r="N1" t="s">
        <v>49</v>
      </c>
      <c r="O1" t="s">
        <v>50</v>
      </c>
      <c r="P1" s="5">
        <v>3</v>
      </c>
      <c r="Q1" t="s">
        <v>47</v>
      </c>
      <c r="R1" t="s">
        <v>48</v>
      </c>
      <c r="S1" t="s">
        <v>49</v>
      </c>
      <c r="T1" t="s">
        <v>50</v>
      </c>
      <c r="U1" s="5">
        <v>4</v>
      </c>
      <c r="V1" t="s">
        <v>47</v>
      </c>
      <c r="W1" t="s">
        <v>48</v>
      </c>
      <c r="X1" t="s">
        <v>49</v>
      </c>
      <c r="Y1" t="s">
        <v>50</v>
      </c>
      <c r="Z1" s="5">
        <v>5</v>
      </c>
      <c r="AA1" t="s">
        <v>47</v>
      </c>
      <c r="AB1" t="s">
        <v>48</v>
      </c>
      <c r="AC1" t="s">
        <v>49</v>
      </c>
      <c r="AD1" t="s">
        <v>50</v>
      </c>
      <c r="AE1" s="5">
        <v>6</v>
      </c>
      <c r="AF1" t="s">
        <v>47</v>
      </c>
      <c r="AG1" t="s">
        <v>48</v>
      </c>
      <c r="AH1" t="s">
        <v>49</v>
      </c>
      <c r="AI1" t="s">
        <v>50</v>
      </c>
      <c r="AJ1" s="5">
        <v>7</v>
      </c>
      <c r="AK1" t="s">
        <v>47</v>
      </c>
      <c r="AL1" t="s">
        <v>48</v>
      </c>
      <c r="AM1" t="s">
        <v>49</v>
      </c>
      <c r="AN1" t="s">
        <v>50</v>
      </c>
      <c r="AO1" s="5">
        <v>8</v>
      </c>
      <c r="AP1" t="s">
        <v>47</v>
      </c>
      <c r="AQ1" t="s">
        <v>48</v>
      </c>
      <c r="AR1" t="s">
        <v>49</v>
      </c>
      <c r="AS1" t="s">
        <v>50</v>
      </c>
      <c r="AT1" s="5">
        <v>9</v>
      </c>
      <c r="AU1" t="s">
        <v>47</v>
      </c>
      <c r="AV1" t="s">
        <v>48</v>
      </c>
      <c r="AW1" t="s">
        <v>49</v>
      </c>
      <c r="AX1" s="5" t="s">
        <v>50</v>
      </c>
      <c r="AY1" s="5">
        <v>10</v>
      </c>
      <c r="AZ1" t="s">
        <v>109</v>
      </c>
      <c r="BA1" t="s">
        <v>110</v>
      </c>
      <c r="BB1" t="s">
        <v>111</v>
      </c>
      <c r="BC1" t="s">
        <v>112</v>
      </c>
    </row>
    <row r="2" spans="1:55" x14ac:dyDescent="0.35">
      <c r="A2">
        <v>0</v>
      </c>
      <c r="B2">
        <v>0</v>
      </c>
      <c r="C2">
        <v>0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L2">
        <v>0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V2">
        <v>0</v>
      </c>
      <c r="W2">
        <v>0</v>
      </c>
      <c r="X2">
        <v>0</v>
      </c>
      <c r="Y2">
        <v>0</v>
      </c>
      <c r="AA2">
        <v>0</v>
      </c>
      <c r="AB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K2">
        <v>0</v>
      </c>
      <c r="AL2">
        <v>0</v>
      </c>
      <c r="AM2">
        <v>0</v>
      </c>
      <c r="AN2">
        <v>0</v>
      </c>
      <c r="AP2">
        <v>0</v>
      </c>
      <c r="AQ2">
        <v>0</v>
      </c>
      <c r="AR2">
        <v>0</v>
      </c>
      <c r="AS2">
        <v>0</v>
      </c>
      <c r="AU2">
        <v>0</v>
      </c>
      <c r="AV2">
        <v>0</v>
      </c>
      <c r="AW2">
        <v>0</v>
      </c>
      <c r="AX2">
        <v>0</v>
      </c>
      <c r="AZ2">
        <f>AVERAGE(B2,G2,L2,Q2,V2,AA2,AF2,AK2,AP2,AU2)</f>
        <v>0</v>
      </c>
      <c r="BA2">
        <f t="shared" ref="BA2:BC17" si="0">AVERAGE(C2,H2,M2,R2,W2,AB2,AG2,AL2,AQ2,AV2)</f>
        <v>0</v>
      </c>
      <c r="BB2">
        <f t="shared" si="0"/>
        <v>0</v>
      </c>
      <c r="BC2">
        <f t="shared" si="0"/>
        <v>0</v>
      </c>
    </row>
    <row r="3" spans="1:55" x14ac:dyDescent="0.35">
      <c r="A3">
        <v>1</v>
      </c>
      <c r="B3">
        <f>'Backlog Baseline'!B3*1</f>
        <v>0</v>
      </c>
      <c r="C3">
        <f>'Backlog Baseline'!C3*1</f>
        <v>0</v>
      </c>
      <c r="D3">
        <f>'Backlog Baseline'!D3*1</f>
        <v>0</v>
      </c>
      <c r="E3">
        <f>'Backlog Baseline'!E3*1</f>
        <v>0</v>
      </c>
      <c r="G3">
        <f>'Backlog Baseline'!G3*1</f>
        <v>0</v>
      </c>
      <c r="H3">
        <f>'Backlog Baseline'!H3*1</f>
        <v>0</v>
      </c>
      <c r="I3">
        <f>'Backlog Baseline'!I3*1</f>
        <v>0</v>
      </c>
      <c r="J3">
        <f>'Backlog Baseline'!J3*1</f>
        <v>0</v>
      </c>
      <c r="L3">
        <f>'Backlog Baseline'!L3*1</f>
        <v>0</v>
      </c>
      <c r="M3">
        <f>'Backlog Baseline'!M3*1</f>
        <v>0</v>
      </c>
      <c r="N3">
        <f>'Backlog Baseline'!N3*1</f>
        <v>0</v>
      </c>
      <c r="O3">
        <f>'Backlog Baseline'!O3*1</f>
        <v>0</v>
      </c>
      <c r="Q3">
        <f>'Backlog Baseline'!Q3*1</f>
        <v>0</v>
      </c>
      <c r="R3">
        <f>'Backlog Baseline'!R3*1</f>
        <v>0</v>
      </c>
      <c r="S3">
        <f>'Backlog Baseline'!S3*1</f>
        <v>0</v>
      </c>
      <c r="T3">
        <f>'Backlog Baseline'!T3*1</f>
        <v>0</v>
      </c>
      <c r="V3">
        <f>'Backlog Baseline'!V3*1</f>
        <v>0</v>
      </c>
      <c r="W3">
        <f>'Backlog Baseline'!W3*1</f>
        <v>0</v>
      </c>
      <c r="X3">
        <f>'Backlog Baseline'!X3*1</f>
        <v>0</v>
      </c>
      <c r="Y3">
        <f>'Backlog Baseline'!Y3*1</f>
        <v>0</v>
      </c>
      <c r="AA3">
        <f>'Backlog Baseline'!AA3*1</f>
        <v>0</v>
      </c>
      <c r="AB3">
        <f>'Backlog Baseline'!AB3*1</f>
        <v>0</v>
      </c>
      <c r="AC3">
        <f>'Backlog Baseline'!AC3*1</f>
        <v>0</v>
      </c>
      <c r="AD3">
        <f>'Backlog Baseline'!AD3*1</f>
        <v>0</v>
      </c>
      <c r="AF3">
        <f>'Backlog Baseline'!AF3*1</f>
        <v>0</v>
      </c>
      <c r="AG3">
        <f>'Backlog Baseline'!AG3*1</f>
        <v>0</v>
      </c>
      <c r="AH3">
        <f>'Backlog Baseline'!AH3*1</f>
        <v>0</v>
      </c>
      <c r="AI3">
        <f>'Backlog Baseline'!AI3*1</f>
        <v>0</v>
      </c>
      <c r="AK3">
        <f>'Backlog Baseline'!AK3*1</f>
        <v>0</v>
      </c>
      <c r="AL3">
        <f>'Backlog Baseline'!AL3*1</f>
        <v>0</v>
      </c>
      <c r="AM3">
        <f>'Backlog Baseline'!AM3*1</f>
        <v>0</v>
      </c>
      <c r="AN3">
        <f>'Backlog Baseline'!AN3*1</f>
        <v>0</v>
      </c>
      <c r="AP3">
        <f>'Backlog Baseline'!AP3*1</f>
        <v>0</v>
      </c>
      <c r="AQ3">
        <f>'Backlog Baseline'!AQ3*1</f>
        <v>0</v>
      </c>
      <c r="AR3">
        <f>'Backlog Baseline'!AR3*1</f>
        <v>0</v>
      </c>
      <c r="AS3">
        <f>'Backlog Baseline'!AS3*1</f>
        <v>0</v>
      </c>
      <c r="AU3">
        <f>'Backlog Baseline'!AU3*1</f>
        <v>0</v>
      </c>
      <c r="AV3">
        <f>'Backlog Baseline'!AV3*1</f>
        <v>0</v>
      </c>
      <c r="AW3">
        <f>'Backlog Baseline'!AW3*1</f>
        <v>0</v>
      </c>
      <c r="AX3">
        <f>'Backlog Baseline'!AX3*1</f>
        <v>0</v>
      </c>
      <c r="AZ3">
        <f t="shared" ref="AZ3:BC38" si="1">AVERAGE(B3,G3,L3,Q3,V3,AA3,AF3,AK3,AP3,AU3)</f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35">
      <c r="A4">
        <v>2</v>
      </c>
      <c r="B4">
        <f>'Backlog Baseline'!B4*1</f>
        <v>0</v>
      </c>
      <c r="C4">
        <f>'Backlog Baseline'!C4*1</f>
        <v>0</v>
      </c>
      <c r="D4">
        <f>'Backlog Baseline'!D4*1</f>
        <v>0</v>
      </c>
      <c r="E4">
        <f>'Backlog Baseline'!E4*1</f>
        <v>0</v>
      </c>
      <c r="G4">
        <f>'Backlog Baseline'!G4*1</f>
        <v>0</v>
      </c>
      <c r="H4">
        <f>'Backlog Baseline'!H4*1</f>
        <v>0</v>
      </c>
      <c r="I4">
        <f>'Backlog Baseline'!I4*1</f>
        <v>0</v>
      </c>
      <c r="J4">
        <f>'Backlog Baseline'!J4*1</f>
        <v>0</v>
      </c>
      <c r="L4">
        <f>'Backlog Baseline'!L4*1</f>
        <v>0</v>
      </c>
      <c r="M4">
        <f>'Backlog Baseline'!M4*1</f>
        <v>0</v>
      </c>
      <c r="N4">
        <f>'Backlog Baseline'!N4*1</f>
        <v>0</v>
      </c>
      <c r="O4">
        <f>'Backlog Baseline'!O4*1</f>
        <v>0</v>
      </c>
      <c r="Q4">
        <f>'Backlog Baseline'!Q4*1</f>
        <v>0</v>
      </c>
      <c r="R4">
        <f>'Backlog Baseline'!R4*1</f>
        <v>0</v>
      </c>
      <c r="S4">
        <f>'Backlog Baseline'!S4*1</f>
        <v>0</v>
      </c>
      <c r="T4">
        <f>'Backlog Baseline'!T4*1</f>
        <v>0</v>
      </c>
      <c r="V4">
        <f>'Backlog Baseline'!V4*1</f>
        <v>0</v>
      </c>
      <c r="W4">
        <f>'Backlog Baseline'!W4*1</f>
        <v>0</v>
      </c>
      <c r="X4">
        <f>'Backlog Baseline'!X4*1</f>
        <v>0</v>
      </c>
      <c r="Y4">
        <f>'Backlog Baseline'!Y4*1</f>
        <v>0</v>
      </c>
      <c r="AA4">
        <f>'Backlog Baseline'!AA4*1</f>
        <v>0</v>
      </c>
      <c r="AB4">
        <f>'Backlog Baseline'!AB4*1</f>
        <v>0</v>
      </c>
      <c r="AC4">
        <f>'Backlog Baseline'!AC4*1</f>
        <v>0</v>
      </c>
      <c r="AD4">
        <f>'Backlog Baseline'!AD4*1</f>
        <v>0</v>
      </c>
      <c r="AF4">
        <f>'Backlog Baseline'!AF4*1</f>
        <v>0</v>
      </c>
      <c r="AG4">
        <f>'Backlog Baseline'!AG4*1</f>
        <v>0</v>
      </c>
      <c r="AH4">
        <f>'Backlog Baseline'!AH4*1</f>
        <v>0</v>
      </c>
      <c r="AI4">
        <f>'Backlog Baseline'!AI4*1</f>
        <v>0</v>
      </c>
      <c r="AK4">
        <f>'Backlog Baseline'!AK4*1</f>
        <v>0</v>
      </c>
      <c r="AL4">
        <f>'Backlog Baseline'!AL4*1</f>
        <v>0</v>
      </c>
      <c r="AM4">
        <f>'Backlog Baseline'!AM4*1</f>
        <v>0</v>
      </c>
      <c r="AN4">
        <f>'Backlog Baseline'!AN4*1</f>
        <v>0</v>
      </c>
      <c r="AP4">
        <f>'Backlog Baseline'!AP4*1</f>
        <v>0</v>
      </c>
      <c r="AQ4">
        <f>'Backlog Baseline'!AQ4*1</f>
        <v>0</v>
      </c>
      <c r="AR4">
        <f>'Backlog Baseline'!AR4*1</f>
        <v>0</v>
      </c>
      <c r="AS4">
        <f>'Backlog Baseline'!AS4*1</f>
        <v>0</v>
      </c>
      <c r="AU4">
        <f>'Backlog Baseline'!AU4*1</f>
        <v>0</v>
      </c>
      <c r="AV4">
        <f>'Backlog Baseline'!AV4*1</f>
        <v>0</v>
      </c>
      <c r="AW4">
        <f>'Backlog Baseline'!AW4*1</f>
        <v>0</v>
      </c>
      <c r="AX4">
        <f>'Backlog Baseline'!AX4*1</f>
        <v>0</v>
      </c>
      <c r="AZ4">
        <f t="shared" si="1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35">
      <c r="A5">
        <v>3</v>
      </c>
      <c r="B5">
        <f>'Backlog Baseline'!B5*1</f>
        <v>0</v>
      </c>
      <c r="C5">
        <f>'Backlog Baseline'!C5*1</f>
        <v>0</v>
      </c>
      <c r="D5">
        <f>'Backlog Baseline'!D5*1</f>
        <v>0</v>
      </c>
      <c r="E5">
        <f>'Backlog Baseline'!E5*1</f>
        <v>0</v>
      </c>
      <c r="G5">
        <f>'Backlog Baseline'!G5*1</f>
        <v>0</v>
      </c>
      <c r="H5">
        <f>'Backlog Baseline'!H5*1</f>
        <v>0</v>
      </c>
      <c r="I5">
        <f>'Backlog Baseline'!I5*1</f>
        <v>0</v>
      </c>
      <c r="J5">
        <f>'Backlog Baseline'!J5*1</f>
        <v>0</v>
      </c>
      <c r="L5">
        <f>'Backlog Baseline'!L5*1</f>
        <v>0</v>
      </c>
      <c r="M5">
        <f>'Backlog Baseline'!M5*1</f>
        <v>0</v>
      </c>
      <c r="N5">
        <f>'Backlog Baseline'!N5*1</f>
        <v>0</v>
      </c>
      <c r="O5">
        <f>'Backlog Baseline'!O5*1</f>
        <v>0</v>
      </c>
      <c r="Q5">
        <f>'Backlog Baseline'!Q5*1</f>
        <v>0</v>
      </c>
      <c r="R5">
        <f>'Backlog Baseline'!R5*1</f>
        <v>0</v>
      </c>
      <c r="S5">
        <f>'Backlog Baseline'!S5*1</f>
        <v>0</v>
      </c>
      <c r="T5">
        <f>'Backlog Baseline'!T5*1</f>
        <v>0</v>
      </c>
      <c r="V5">
        <f>'Backlog Baseline'!V5*1</f>
        <v>0</v>
      </c>
      <c r="W5">
        <f>'Backlog Baseline'!W5*1</f>
        <v>0</v>
      </c>
      <c r="X5">
        <f>'Backlog Baseline'!X5*1</f>
        <v>0</v>
      </c>
      <c r="Y5">
        <f>'Backlog Baseline'!Y5*1</f>
        <v>0</v>
      </c>
      <c r="AA5">
        <f>'Backlog Baseline'!AA5*1</f>
        <v>0</v>
      </c>
      <c r="AB5">
        <f>'Backlog Baseline'!AB5*1</f>
        <v>0</v>
      </c>
      <c r="AC5">
        <f>'Backlog Baseline'!AC5*1</f>
        <v>0</v>
      </c>
      <c r="AD5">
        <f>'Backlog Baseline'!AD5*1</f>
        <v>0</v>
      </c>
      <c r="AF5">
        <f>'Backlog Baseline'!AF5*1</f>
        <v>0</v>
      </c>
      <c r="AG5">
        <f>'Backlog Baseline'!AG5*1</f>
        <v>0</v>
      </c>
      <c r="AH5">
        <f>'Backlog Baseline'!AH5*1</f>
        <v>0</v>
      </c>
      <c r="AI5">
        <f>'Backlog Baseline'!AI5*1</f>
        <v>0</v>
      </c>
      <c r="AK5">
        <f>'Backlog Baseline'!AK5*1</f>
        <v>0</v>
      </c>
      <c r="AL5">
        <f>'Backlog Baseline'!AL5*1</f>
        <v>0</v>
      </c>
      <c r="AM5">
        <f>'Backlog Baseline'!AM5*1</f>
        <v>0</v>
      </c>
      <c r="AN5">
        <f>'Backlog Baseline'!AN5*1</f>
        <v>0</v>
      </c>
      <c r="AP5">
        <f>'Backlog Baseline'!AP5*1</f>
        <v>0</v>
      </c>
      <c r="AQ5">
        <f>'Backlog Baseline'!AQ5*1</f>
        <v>0</v>
      </c>
      <c r="AR5">
        <f>'Backlog Baseline'!AR5*1</f>
        <v>0</v>
      </c>
      <c r="AS5">
        <f>'Backlog Baseline'!AS5*1</f>
        <v>0</v>
      </c>
      <c r="AU5">
        <f>'Backlog Baseline'!AU5*1</f>
        <v>0</v>
      </c>
      <c r="AV5">
        <f>'Backlog Baseline'!AV5*1</f>
        <v>0</v>
      </c>
      <c r="AW5">
        <f>'Backlog Baseline'!AW5*1</f>
        <v>0</v>
      </c>
      <c r="AX5">
        <f>'Backlog Baseline'!AX5*1</f>
        <v>0</v>
      </c>
      <c r="AZ5">
        <f t="shared" si="1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35">
      <c r="A6">
        <v>4</v>
      </c>
      <c r="B6">
        <f>'Backlog Baseline'!B6*1</f>
        <v>0</v>
      </c>
      <c r="C6">
        <f>'Backlog Baseline'!C6*1</f>
        <v>0</v>
      </c>
      <c r="D6">
        <f>'Backlog Baseline'!D6*1</f>
        <v>0</v>
      </c>
      <c r="E6">
        <f>'Backlog Baseline'!E6*1</f>
        <v>0</v>
      </c>
      <c r="G6">
        <f>'Backlog Baseline'!G6*1</f>
        <v>0</v>
      </c>
      <c r="H6">
        <f>'Backlog Baseline'!H6*1</f>
        <v>0</v>
      </c>
      <c r="I6">
        <f>'Backlog Baseline'!I6*1</f>
        <v>0</v>
      </c>
      <c r="J6">
        <f>'Backlog Baseline'!J6*1</f>
        <v>0</v>
      </c>
      <c r="L6">
        <f>'Backlog Baseline'!L6*1</f>
        <v>0</v>
      </c>
      <c r="M6">
        <f>'Backlog Baseline'!M6*1</f>
        <v>0</v>
      </c>
      <c r="N6">
        <f>'Backlog Baseline'!N6*1</f>
        <v>0</v>
      </c>
      <c r="O6">
        <f>'Backlog Baseline'!O6*1</f>
        <v>0</v>
      </c>
      <c r="Q6">
        <f>'Backlog Baseline'!Q6*1</f>
        <v>0</v>
      </c>
      <c r="R6">
        <f>'Backlog Baseline'!R6*1</f>
        <v>0</v>
      </c>
      <c r="S6">
        <f>'Backlog Baseline'!S6*1</f>
        <v>0</v>
      </c>
      <c r="T6">
        <f>'Backlog Baseline'!T6*1</f>
        <v>0</v>
      </c>
      <c r="V6">
        <f>'Backlog Baseline'!V6*1</f>
        <v>0</v>
      </c>
      <c r="W6">
        <f>'Backlog Baseline'!W6*1</f>
        <v>0</v>
      </c>
      <c r="X6">
        <f>'Backlog Baseline'!X6*1</f>
        <v>0</v>
      </c>
      <c r="Y6">
        <f>'Backlog Baseline'!Y6*1</f>
        <v>0</v>
      </c>
      <c r="AA6">
        <f>'Backlog Baseline'!AA6*1</f>
        <v>0</v>
      </c>
      <c r="AB6">
        <f>'Backlog Baseline'!AB6*1</f>
        <v>0</v>
      </c>
      <c r="AC6">
        <f>'Backlog Baseline'!AC6*1</f>
        <v>0</v>
      </c>
      <c r="AD6">
        <f>'Backlog Baseline'!AD6*1</f>
        <v>0</v>
      </c>
      <c r="AF6">
        <f>'Backlog Baseline'!AF6*1</f>
        <v>0</v>
      </c>
      <c r="AG6">
        <f>'Backlog Baseline'!AG6*1</f>
        <v>0</v>
      </c>
      <c r="AH6">
        <f>'Backlog Baseline'!AH6*1</f>
        <v>0</v>
      </c>
      <c r="AI6">
        <f>'Backlog Baseline'!AI6*1</f>
        <v>0</v>
      </c>
      <c r="AK6">
        <f>'Backlog Baseline'!AK6*1</f>
        <v>0</v>
      </c>
      <c r="AL6">
        <f>'Backlog Baseline'!AL6*1</f>
        <v>0</v>
      </c>
      <c r="AM6">
        <f>'Backlog Baseline'!AM6*1</f>
        <v>0</v>
      </c>
      <c r="AN6">
        <f>'Backlog Baseline'!AN6*1</f>
        <v>0</v>
      </c>
      <c r="AP6">
        <f>'Backlog Baseline'!AP6*1</f>
        <v>0</v>
      </c>
      <c r="AQ6">
        <f>'Backlog Baseline'!AQ6*1</f>
        <v>0</v>
      </c>
      <c r="AR6">
        <f>'Backlog Baseline'!AR6*1</f>
        <v>0</v>
      </c>
      <c r="AS6">
        <f>'Backlog Baseline'!AS6*1</f>
        <v>0</v>
      </c>
      <c r="AU6">
        <f>'Backlog Baseline'!AU6*1</f>
        <v>0</v>
      </c>
      <c r="AV6">
        <f>'Backlog Baseline'!AV6*1</f>
        <v>0</v>
      </c>
      <c r="AW6">
        <f>'Backlog Baseline'!AW6*1</f>
        <v>0</v>
      </c>
      <c r="AX6">
        <f>'Backlog Baseline'!AX6*1</f>
        <v>0</v>
      </c>
      <c r="AZ6">
        <f t="shared" si="1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35">
      <c r="A7">
        <v>5</v>
      </c>
      <c r="B7">
        <f>'Backlog Baseline'!B7*1</f>
        <v>0</v>
      </c>
      <c r="C7">
        <f>'Backlog Baseline'!C7*1</f>
        <v>0</v>
      </c>
      <c r="D7">
        <f>'Backlog Baseline'!D7*1</f>
        <v>0</v>
      </c>
      <c r="E7">
        <f>'Backlog Baseline'!E7*1</f>
        <v>0</v>
      </c>
      <c r="G7">
        <f>'Backlog Baseline'!G7*1</f>
        <v>0</v>
      </c>
      <c r="H7">
        <f>'Backlog Baseline'!H7*1</f>
        <v>0</v>
      </c>
      <c r="I7">
        <f>'Backlog Baseline'!I7*1</f>
        <v>0</v>
      </c>
      <c r="J7">
        <f>'Backlog Baseline'!J7*1</f>
        <v>0</v>
      </c>
      <c r="L7">
        <f>'Backlog Baseline'!L7*1</f>
        <v>0</v>
      </c>
      <c r="M7">
        <f>'Backlog Baseline'!M7*1</f>
        <v>0</v>
      </c>
      <c r="N7">
        <f>'Backlog Baseline'!N7*1</f>
        <v>0</v>
      </c>
      <c r="O7">
        <f>'Backlog Baseline'!O7*1</f>
        <v>0</v>
      </c>
      <c r="Q7">
        <f>'Backlog Baseline'!Q7*1</f>
        <v>0</v>
      </c>
      <c r="R7">
        <f>'Backlog Baseline'!R7*1</f>
        <v>0</v>
      </c>
      <c r="S7">
        <f>'Backlog Baseline'!S7*1</f>
        <v>0</v>
      </c>
      <c r="T7">
        <f>'Backlog Baseline'!T7*1</f>
        <v>0</v>
      </c>
      <c r="V7">
        <f>'Backlog Baseline'!V7*1</f>
        <v>0</v>
      </c>
      <c r="W7">
        <f>'Backlog Baseline'!W7*1</f>
        <v>0</v>
      </c>
      <c r="X7">
        <f>'Backlog Baseline'!X7*1</f>
        <v>0</v>
      </c>
      <c r="Y7">
        <f>'Backlog Baseline'!Y7*1</f>
        <v>0</v>
      </c>
      <c r="AA7">
        <f>'Backlog Baseline'!AA7*1</f>
        <v>0</v>
      </c>
      <c r="AB7">
        <f>'Backlog Baseline'!AB7*1</f>
        <v>0</v>
      </c>
      <c r="AC7">
        <f>'Backlog Baseline'!AC7*1</f>
        <v>0</v>
      </c>
      <c r="AD7">
        <f>'Backlog Baseline'!AD7*1</f>
        <v>0</v>
      </c>
      <c r="AF7">
        <f>'Backlog Baseline'!AF7*1</f>
        <v>0</v>
      </c>
      <c r="AG7">
        <f>'Backlog Baseline'!AG7*1</f>
        <v>0</v>
      </c>
      <c r="AH7">
        <f>'Backlog Baseline'!AH7*1</f>
        <v>0</v>
      </c>
      <c r="AI7">
        <f>'Backlog Baseline'!AI7*1</f>
        <v>0</v>
      </c>
      <c r="AK7">
        <f>'Backlog Baseline'!AK7*1</f>
        <v>0</v>
      </c>
      <c r="AL7">
        <f>'Backlog Baseline'!AL7*1</f>
        <v>0</v>
      </c>
      <c r="AM7">
        <f>'Backlog Baseline'!AM7*1</f>
        <v>0</v>
      </c>
      <c r="AN7">
        <f>'Backlog Baseline'!AN7*1</f>
        <v>0</v>
      </c>
      <c r="AP7">
        <f>'Backlog Baseline'!AP7*1</f>
        <v>0</v>
      </c>
      <c r="AQ7">
        <f>'Backlog Baseline'!AQ7*1</f>
        <v>0</v>
      </c>
      <c r="AR7">
        <f>'Backlog Baseline'!AR7*1</f>
        <v>0</v>
      </c>
      <c r="AS7">
        <f>'Backlog Baseline'!AS7*1</f>
        <v>0</v>
      </c>
      <c r="AU7">
        <f>'Backlog Baseline'!AU7*1</f>
        <v>0</v>
      </c>
      <c r="AV7">
        <f>'Backlog Baseline'!AV7*1</f>
        <v>0</v>
      </c>
      <c r="AW7">
        <f>'Backlog Baseline'!AW7*1</f>
        <v>0</v>
      </c>
      <c r="AX7">
        <f>'Backlog Baseline'!AX7*1</f>
        <v>0</v>
      </c>
      <c r="AZ7">
        <f t="shared" si="1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35">
      <c r="A8">
        <v>6</v>
      </c>
      <c r="B8">
        <f>'Backlog Baseline'!B8*1</f>
        <v>0</v>
      </c>
      <c r="C8">
        <f>'Backlog Baseline'!C8*1</f>
        <v>0</v>
      </c>
      <c r="D8">
        <f>'Backlog Baseline'!D8*1</f>
        <v>0</v>
      </c>
      <c r="E8">
        <f>'Backlog Baseline'!E8*1</f>
        <v>0</v>
      </c>
      <c r="G8">
        <f>'Backlog Baseline'!G8*1</f>
        <v>0</v>
      </c>
      <c r="H8">
        <f>'Backlog Baseline'!H8*1</f>
        <v>0</v>
      </c>
      <c r="I8">
        <f>'Backlog Baseline'!I8*1</f>
        <v>0</v>
      </c>
      <c r="J8">
        <f>'Backlog Baseline'!J8*1</f>
        <v>0</v>
      </c>
      <c r="L8">
        <f>'Backlog Baseline'!L8*1</f>
        <v>0</v>
      </c>
      <c r="M8">
        <f>'Backlog Baseline'!M8*1</f>
        <v>0</v>
      </c>
      <c r="N8">
        <f>'Backlog Baseline'!N8*1</f>
        <v>0</v>
      </c>
      <c r="O8">
        <f>'Backlog Baseline'!O8*1</f>
        <v>0</v>
      </c>
      <c r="Q8">
        <f>'Backlog Baseline'!Q8*1</f>
        <v>0</v>
      </c>
      <c r="R8">
        <f>'Backlog Baseline'!R8*1</f>
        <v>0</v>
      </c>
      <c r="S8">
        <f>'Backlog Baseline'!S8*1</f>
        <v>0</v>
      </c>
      <c r="T8">
        <f>'Backlog Baseline'!T8*1</f>
        <v>0</v>
      </c>
      <c r="V8">
        <f>'Backlog Baseline'!V8*1</f>
        <v>0</v>
      </c>
      <c r="W8">
        <f>'Backlog Baseline'!W8*1</f>
        <v>0</v>
      </c>
      <c r="X8">
        <f>'Backlog Baseline'!X8*1</f>
        <v>0</v>
      </c>
      <c r="Y8">
        <f>'Backlog Baseline'!Y8*1</f>
        <v>0</v>
      </c>
      <c r="AA8">
        <f>'Backlog Baseline'!AA8*1</f>
        <v>0</v>
      </c>
      <c r="AB8">
        <f>'Backlog Baseline'!AB8*1</f>
        <v>0</v>
      </c>
      <c r="AC8">
        <f>'Backlog Baseline'!AC8*1</f>
        <v>0</v>
      </c>
      <c r="AD8">
        <f>'Backlog Baseline'!AD8*1</f>
        <v>0</v>
      </c>
      <c r="AF8">
        <f>'Backlog Baseline'!AF8*1</f>
        <v>0</v>
      </c>
      <c r="AG8">
        <f>'Backlog Baseline'!AG8*1</f>
        <v>0</v>
      </c>
      <c r="AH8">
        <f>'Backlog Baseline'!AH8*1</f>
        <v>0</v>
      </c>
      <c r="AI8">
        <f>'Backlog Baseline'!AI8*1</f>
        <v>0</v>
      </c>
      <c r="AK8">
        <f>'Backlog Baseline'!AK8*1</f>
        <v>0</v>
      </c>
      <c r="AL8">
        <f>'Backlog Baseline'!AL8*1</f>
        <v>0</v>
      </c>
      <c r="AM8">
        <f>'Backlog Baseline'!AM8*1</f>
        <v>0</v>
      </c>
      <c r="AN8">
        <f>'Backlog Baseline'!AN8*1</f>
        <v>0</v>
      </c>
      <c r="AP8">
        <f>'Backlog Baseline'!AP8*1</f>
        <v>0</v>
      </c>
      <c r="AQ8">
        <f>'Backlog Baseline'!AQ8*1</f>
        <v>0</v>
      </c>
      <c r="AR8">
        <f>'Backlog Baseline'!AR8*1</f>
        <v>0</v>
      </c>
      <c r="AS8">
        <f>'Backlog Baseline'!AS8*1</f>
        <v>0</v>
      </c>
      <c r="AU8">
        <f>'Backlog Baseline'!AU8*1</f>
        <v>0</v>
      </c>
      <c r="AV8">
        <f>'Backlog Baseline'!AV8*1</f>
        <v>0</v>
      </c>
      <c r="AW8">
        <f>'Backlog Baseline'!AW8*1</f>
        <v>0</v>
      </c>
      <c r="AX8">
        <f>'Backlog Baseline'!AX8*1</f>
        <v>0</v>
      </c>
      <c r="AZ8">
        <f t="shared" si="1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35">
      <c r="A9">
        <v>7</v>
      </c>
      <c r="B9">
        <f>'Backlog Baseline'!B9*1</f>
        <v>0</v>
      </c>
      <c r="C9">
        <f>'Backlog Baseline'!C9*1</f>
        <v>0</v>
      </c>
      <c r="D9">
        <f>'Backlog Baseline'!D9*1</f>
        <v>0</v>
      </c>
      <c r="E9">
        <f>'Backlog Baseline'!E9*1</f>
        <v>0</v>
      </c>
      <c r="G9">
        <f>'Backlog Baseline'!G9*1</f>
        <v>0</v>
      </c>
      <c r="H9">
        <f>'Backlog Baseline'!H9*1</f>
        <v>0</v>
      </c>
      <c r="I9">
        <f>'Backlog Baseline'!I9*1</f>
        <v>0</v>
      </c>
      <c r="J9">
        <f>'Backlog Baseline'!J9*1</f>
        <v>0</v>
      </c>
      <c r="L9">
        <f>'Backlog Baseline'!L9*1</f>
        <v>0</v>
      </c>
      <c r="M9">
        <f>'Backlog Baseline'!M9*1</f>
        <v>0</v>
      </c>
      <c r="N9">
        <f>'Backlog Baseline'!N9*1</f>
        <v>0</v>
      </c>
      <c r="O9">
        <f>'Backlog Baseline'!O9*1</f>
        <v>0</v>
      </c>
      <c r="Q9">
        <f>'Backlog Baseline'!Q9*1</f>
        <v>0</v>
      </c>
      <c r="R9">
        <f>'Backlog Baseline'!R9*1</f>
        <v>0</v>
      </c>
      <c r="S9">
        <f>'Backlog Baseline'!S9*1</f>
        <v>0</v>
      </c>
      <c r="T9">
        <f>'Backlog Baseline'!T9*1</f>
        <v>0</v>
      </c>
      <c r="V9">
        <f>'Backlog Baseline'!V9*1</f>
        <v>0</v>
      </c>
      <c r="W9">
        <f>'Backlog Baseline'!W9*1</f>
        <v>0</v>
      </c>
      <c r="X9">
        <f>'Backlog Baseline'!X9*1</f>
        <v>0</v>
      </c>
      <c r="Y9">
        <f>'Backlog Baseline'!Y9*1</f>
        <v>0</v>
      </c>
      <c r="AA9">
        <f>'Backlog Baseline'!AA9*1</f>
        <v>0</v>
      </c>
      <c r="AB9">
        <f>'Backlog Baseline'!AB9*1</f>
        <v>0</v>
      </c>
      <c r="AC9">
        <f>'Backlog Baseline'!AC9*1</f>
        <v>0</v>
      </c>
      <c r="AD9">
        <f>'Backlog Baseline'!AD9*1</f>
        <v>0</v>
      </c>
      <c r="AF9">
        <f>'Backlog Baseline'!AF9*1</f>
        <v>0</v>
      </c>
      <c r="AG9">
        <f>'Backlog Baseline'!AG9*1</f>
        <v>0</v>
      </c>
      <c r="AH9">
        <f>'Backlog Baseline'!AH9*1</f>
        <v>0</v>
      </c>
      <c r="AI9">
        <f>'Backlog Baseline'!AI9*1</f>
        <v>0</v>
      </c>
      <c r="AK9">
        <f>'Backlog Baseline'!AK9*1</f>
        <v>0</v>
      </c>
      <c r="AL9">
        <f>'Backlog Baseline'!AL9*1</f>
        <v>0</v>
      </c>
      <c r="AM9">
        <f>'Backlog Baseline'!AM9*1</f>
        <v>0</v>
      </c>
      <c r="AN9">
        <f>'Backlog Baseline'!AN9*1</f>
        <v>0</v>
      </c>
      <c r="AP9">
        <f>'Backlog Baseline'!AP9*1</f>
        <v>0</v>
      </c>
      <c r="AQ9">
        <f>'Backlog Baseline'!AQ9*1</f>
        <v>0</v>
      </c>
      <c r="AR9">
        <f>'Backlog Baseline'!AR9*1</f>
        <v>0</v>
      </c>
      <c r="AS9">
        <f>'Backlog Baseline'!AS9*1</f>
        <v>0</v>
      </c>
      <c r="AU9">
        <f>'Backlog Baseline'!AU9*1</f>
        <v>0</v>
      </c>
      <c r="AV9">
        <f>'Backlog Baseline'!AV9*1</f>
        <v>0</v>
      </c>
      <c r="AW9">
        <f>'Backlog Baseline'!AW9*1</f>
        <v>0</v>
      </c>
      <c r="AX9">
        <f>'Backlog Baseline'!AX9*1</f>
        <v>0</v>
      </c>
      <c r="AZ9">
        <f t="shared" si="1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35">
      <c r="A10">
        <v>8</v>
      </c>
      <c r="B10">
        <f>'Backlog Baseline'!B10*1</f>
        <v>0</v>
      </c>
      <c r="C10">
        <f>'Backlog Baseline'!C10*1</f>
        <v>0</v>
      </c>
      <c r="D10">
        <f>'Backlog Baseline'!D10*1</f>
        <v>4</v>
      </c>
      <c r="E10">
        <f>'Backlog Baseline'!E10*1</f>
        <v>0</v>
      </c>
      <c r="G10">
        <f>'Backlog Baseline'!G10*1</f>
        <v>0</v>
      </c>
      <c r="H10">
        <f>'Backlog Baseline'!H10*1</f>
        <v>0</v>
      </c>
      <c r="I10">
        <f>'Backlog Baseline'!I10*1</f>
        <v>4</v>
      </c>
      <c r="J10">
        <f>'Backlog Baseline'!J10*1</f>
        <v>0</v>
      </c>
      <c r="L10">
        <f>'Backlog Baseline'!L10*1</f>
        <v>0</v>
      </c>
      <c r="M10">
        <f>'Backlog Baseline'!M10*1</f>
        <v>0</v>
      </c>
      <c r="N10">
        <f>'Backlog Baseline'!N10*1</f>
        <v>4</v>
      </c>
      <c r="O10">
        <f>'Backlog Baseline'!O10*1</f>
        <v>0</v>
      </c>
      <c r="Q10">
        <f>'Backlog Baseline'!Q10*1</f>
        <v>0</v>
      </c>
      <c r="R10">
        <f>'Backlog Baseline'!R10*1</f>
        <v>0</v>
      </c>
      <c r="S10">
        <f>'Backlog Baseline'!S10*1</f>
        <v>4</v>
      </c>
      <c r="T10">
        <f>'Backlog Baseline'!T10*1</f>
        <v>0</v>
      </c>
      <c r="V10">
        <f>'Backlog Baseline'!V10*1</f>
        <v>0</v>
      </c>
      <c r="W10">
        <f>'Backlog Baseline'!W10*1</f>
        <v>0</v>
      </c>
      <c r="X10">
        <f>'Backlog Baseline'!X10*1</f>
        <v>4</v>
      </c>
      <c r="Y10">
        <f>'Backlog Baseline'!Y10*1</f>
        <v>0</v>
      </c>
      <c r="AA10">
        <f>'Backlog Baseline'!AA10*1</f>
        <v>0</v>
      </c>
      <c r="AB10">
        <f>'Backlog Baseline'!AB10*1</f>
        <v>0</v>
      </c>
      <c r="AC10">
        <f>'Backlog Baseline'!AC10*1</f>
        <v>4</v>
      </c>
      <c r="AD10">
        <f>'Backlog Baseline'!AD10*1</f>
        <v>0</v>
      </c>
      <c r="AF10">
        <f>'Backlog Baseline'!AF10*1</f>
        <v>0</v>
      </c>
      <c r="AG10">
        <f>'Backlog Baseline'!AG10*1</f>
        <v>0</v>
      </c>
      <c r="AH10">
        <f>'Backlog Baseline'!AH10*1</f>
        <v>4</v>
      </c>
      <c r="AI10">
        <f>'Backlog Baseline'!AI10*1</f>
        <v>0</v>
      </c>
      <c r="AK10">
        <f>'Backlog Baseline'!AK10*1</f>
        <v>0</v>
      </c>
      <c r="AL10">
        <f>'Backlog Baseline'!AL10*1</f>
        <v>0</v>
      </c>
      <c r="AM10">
        <f>'Backlog Baseline'!AM10*1</f>
        <v>4</v>
      </c>
      <c r="AN10">
        <f>'Backlog Baseline'!AN10*1</f>
        <v>0</v>
      </c>
      <c r="AP10">
        <f>'Backlog Baseline'!AP10*1</f>
        <v>0</v>
      </c>
      <c r="AQ10">
        <f>'Backlog Baseline'!AQ10*1</f>
        <v>0</v>
      </c>
      <c r="AR10">
        <f>'Backlog Baseline'!AR10*1</f>
        <v>4</v>
      </c>
      <c r="AS10">
        <f>'Backlog Baseline'!AS10*1</f>
        <v>0</v>
      </c>
      <c r="AU10">
        <f>'Backlog Baseline'!AU10*1</f>
        <v>0</v>
      </c>
      <c r="AV10">
        <f>'Backlog Baseline'!AV10*1</f>
        <v>0</v>
      </c>
      <c r="AW10">
        <f>'Backlog Baseline'!AW10*1</f>
        <v>4</v>
      </c>
      <c r="AX10">
        <f>'Backlog Baseline'!AX10*1</f>
        <v>0</v>
      </c>
      <c r="AZ10">
        <f t="shared" si="1"/>
        <v>0</v>
      </c>
      <c r="BA10">
        <f t="shared" si="0"/>
        <v>0</v>
      </c>
      <c r="BB10">
        <f t="shared" si="0"/>
        <v>4</v>
      </c>
      <c r="BC10">
        <f t="shared" si="0"/>
        <v>0</v>
      </c>
    </row>
    <row r="11" spans="1:55" x14ac:dyDescent="0.35">
      <c r="A11">
        <v>9</v>
      </c>
      <c r="B11">
        <f>'Backlog Baseline'!B11*1</f>
        <v>0</v>
      </c>
      <c r="C11">
        <f>'Backlog Baseline'!C11*1</f>
        <v>0</v>
      </c>
      <c r="D11">
        <f>'Backlog Baseline'!D11*1</f>
        <v>8</v>
      </c>
      <c r="E11">
        <f>'Backlog Baseline'!E11*1</f>
        <v>1</v>
      </c>
      <c r="G11">
        <f>'Backlog Baseline'!G11*1</f>
        <v>0</v>
      </c>
      <c r="H11">
        <f>'Backlog Baseline'!H11*1</f>
        <v>0</v>
      </c>
      <c r="I11">
        <f>'Backlog Baseline'!I11*1</f>
        <v>8</v>
      </c>
      <c r="J11">
        <f>'Backlog Baseline'!J11*1</f>
        <v>1</v>
      </c>
      <c r="L11">
        <f>'Backlog Baseline'!L11*1</f>
        <v>0</v>
      </c>
      <c r="M11">
        <f>'Backlog Baseline'!M11*1</f>
        <v>0</v>
      </c>
      <c r="N11">
        <f>'Backlog Baseline'!N11*1</f>
        <v>8</v>
      </c>
      <c r="O11">
        <f>'Backlog Baseline'!O11*1</f>
        <v>1</v>
      </c>
      <c r="Q11">
        <f>'Backlog Baseline'!Q11*1</f>
        <v>0</v>
      </c>
      <c r="R11">
        <f>'Backlog Baseline'!R11*1</f>
        <v>0</v>
      </c>
      <c r="S11">
        <f>'Backlog Baseline'!S11*1</f>
        <v>8</v>
      </c>
      <c r="T11">
        <f>'Backlog Baseline'!T11*1</f>
        <v>1</v>
      </c>
      <c r="V11">
        <f>'Backlog Baseline'!V11*1</f>
        <v>0</v>
      </c>
      <c r="W11">
        <f>'Backlog Baseline'!W11*1</f>
        <v>0</v>
      </c>
      <c r="X11">
        <f>'Backlog Baseline'!X11*1</f>
        <v>8</v>
      </c>
      <c r="Y11">
        <f>'Backlog Baseline'!Y11*1</f>
        <v>1</v>
      </c>
      <c r="AA11">
        <f>'Backlog Baseline'!AA11*1</f>
        <v>0</v>
      </c>
      <c r="AB11">
        <f>'Backlog Baseline'!AB11*1</f>
        <v>0</v>
      </c>
      <c r="AC11">
        <f>'Backlog Baseline'!AC11*1</f>
        <v>8</v>
      </c>
      <c r="AD11">
        <f>'Backlog Baseline'!AD11*1</f>
        <v>1</v>
      </c>
      <c r="AF11">
        <f>'Backlog Baseline'!AF11*1</f>
        <v>0</v>
      </c>
      <c r="AG11">
        <f>'Backlog Baseline'!AG11*1</f>
        <v>0</v>
      </c>
      <c r="AH11">
        <f>'Backlog Baseline'!AH11*1</f>
        <v>8</v>
      </c>
      <c r="AI11">
        <f>'Backlog Baseline'!AI11*1</f>
        <v>1</v>
      </c>
      <c r="AK11">
        <f>'Backlog Baseline'!AK11*1</f>
        <v>0</v>
      </c>
      <c r="AL11">
        <f>'Backlog Baseline'!AL11*1</f>
        <v>0</v>
      </c>
      <c r="AM11">
        <f>'Backlog Baseline'!AM11*1</f>
        <v>8</v>
      </c>
      <c r="AN11">
        <f>'Backlog Baseline'!AN11*1</f>
        <v>1</v>
      </c>
      <c r="AP11">
        <f>'Backlog Baseline'!AP11*1</f>
        <v>0</v>
      </c>
      <c r="AQ11">
        <f>'Backlog Baseline'!AQ11*1</f>
        <v>0</v>
      </c>
      <c r="AR11">
        <f>'Backlog Baseline'!AR11*1</f>
        <v>8</v>
      </c>
      <c r="AS11">
        <f>'Backlog Baseline'!AS11*1</f>
        <v>1</v>
      </c>
      <c r="AU11">
        <f>'Backlog Baseline'!AU11*1</f>
        <v>0</v>
      </c>
      <c r="AV11">
        <f>'Backlog Baseline'!AV11*1</f>
        <v>0</v>
      </c>
      <c r="AW11">
        <f>'Backlog Baseline'!AW11*1</f>
        <v>8</v>
      </c>
      <c r="AX11">
        <f>'Backlog Baseline'!AX11*1</f>
        <v>1</v>
      </c>
      <c r="AZ11">
        <f t="shared" si="1"/>
        <v>0</v>
      </c>
      <c r="BA11">
        <f t="shared" si="0"/>
        <v>0</v>
      </c>
      <c r="BB11">
        <f t="shared" si="0"/>
        <v>8</v>
      </c>
      <c r="BC11">
        <f t="shared" si="0"/>
        <v>1</v>
      </c>
    </row>
    <row r="12" spans="1:55" x14ac:dyDescent="0.35">
      <c r="A12">
        <v>10</v>
      </c>
      <c r="B12">
        <f>'Backlog Baseline'!B12*1</f>
        <v>0</v>
      </c>
      <c r="C12">
        <f>'Backlog Baseline'!C12*1</f>
        <v>0</v>
      </c>
      <c r="D12">
        <f>'Backlog Baseline'!D12*1</f>
        <v>8</v>
      </c>
      <c r="E12">
        <f>'Backlog Baseline'!E12*1</f>
        <v>11</v>
      </c>
      <c r="G12">
        <f>'Backlog Baseline'!G12*1</f>
        <v>0</v>
      </c>
      <c r="H12">
        <f>'Backlog Baseline'!H12*1</f>
        <v>0</v>
      </c>
      <c r="I12">
        <f>'Backlog Baseline'!I12*1</f>
        <v>8</v>
      </c>
      <c r="J12">
        <f>'Backlog Baseline'!J12*1</f>
        <v>11</v>
      </c>
      <c r="L12">
        <f>'Backlog Baseline'!L12*1</f>
        <v>0</v>
      </c>
      <c r="M12">
        <f>'Backlog Baseline'!M12*1</f>
        <v>0</v>
      </c>
      <c r="N12">
        <f>'Backlog Baseline'!N12*1</f>
        <v>8</v>
      </c>
      <c r="O12">
        <f>'Backlog Baseline'!O12*1</f>
        <v>11</v>
      </c>
      <c r="Q12">
        <f>'Backlog Baseline'!Q12*1</f>
        <v>0</v>
      </c>
      <c r="R12">
        <f>'Backlog Baseline'!R12*1</f>
        <v>0</v>
      </c>
      <c r="S12">
        <f>'Backlog Baseline'!S12*1</f>
        <v>8</v>
      </c>
      <c r="T12">
        <f>'Backlog Baseline'!T12*1</f>
        <v>11</v>
      </c>
      <c r="V12">
        <f>'Backlog Baseline'!V12*1</f>
        <v>0</v>
      </c>
      <c r="W12">
        <f>'Backlog Baseline'!W12*1</f>
        <v>0</v>
      </c>
      <c r="X12">
        <f>'Backlog Baseline'!X12*1</f>
        <v>8</v>
      </c>
      <c r="Y12">
        <f>'Backlog Baseline'!Y12*1</f>
        <v>11</v>
      </c>
      <c r="AA12">
        <f>'Backlog Baseline'!AA12*1</f>
        <v>0</v>
      </c>
      <c r="AB12">
        <f>'Backlog Baseline'!AB12*1</f>
        <v>0</v>
      </c>
      <c r="AC12">
        <f>'Backlog Baseline'!AC12*1</f>
        <v>8</v>
      </c>
      <c r="AD12">
        <f>'Backlog Baseline'!AD12*1</f>
        <v>11</v>
      </c>
      <c r="AF12">
        <f>'Backlog Baseline'!AF12*1</f>
        <v>0</v>
      </c>
      <c r="AG12">
        <f>'Backlog Baseline'!AG12*1</f>
        <v>0</v>
      </c>
      <c r="AH12">
        <f>'Backlog Baseline'!AH12*1</f>
        <v>8</v>
      </c>
      <c r="AI12">
        <f>'Backlog Baseline'!AI12*1</f>
        <v>11</v>
      </c>
      <c r="AK12">
        <f>'Backlog Baseline'!AK12*1</f>
        <v>0</v>
      </c>
      <c r="AL12">
        <f>'Backlog Baseline'!AL12*1</f>
        <v>0</v>
      </c>
      <c r="AM12">
        <f>'Backlog Baseline'!AM12*1</f>
        <v>8</v>
      </c>
      <c r="AN12">
        <f>'Backlog Baseline'!AN12*1</f>
        <v>11</v>
      </c>
      <c r="AP12">
        <f>'Backlog Baseline'!AP12*1</f>
        <v>0</v>
      </c>
      <c r="AQ12">
        <f>'Backlog Baseline'!AQ12*1</f>
        <v>0</v>
      </c>
      <c r="AR12">
        <f>'Backlog Baseline'!AR12*1</f>
        <v>8</v>
      </c>
      <c r="AS12">
        <f>'Backlog Baseline'!AS12*1</f>
        <v>11</v>
      </c>
      <c r="AU12">
        <f>'Backlog Baseline'!AU12*1</f>
        <v>0</v>
      </c>
      <c r="AV12">
        <f>'Backlog Baseline'!AV12*1</f>
        <v>0</v>
      </c>
      <c r="AW12">
        <f>'Backlog Baseline'!AW12*1</f>
        <v>8</v>
      </c>
      <c r="AX12">
        <f>'Backlog Baseline'!AX12*1</f>
        <v>11</v>
      </c>
      <c r="AZ12">
        <f t="shared" si="1"/>
        <v>0</v>
      </c>
      <c r="BA12">
        <f t="shared" si="0"/>
        <v>0</v>
      </c>
      <c r="BB12">
        <f t="shared" si="0"/>
        <v>8</v>
      </c>
      <c r="BC12">
        <f t="shared" si="0"/>
        <v>11</v>
      </c>
    </row>
    <row r="13" spans="1:55" x14ac:dyDescent="0.35">
      <c r="A13">
        <v>11</v>
      </c>
      <c r="B13">
        <f>'Backlog Baseline'!B13*1</f>
        <v>1</v>
      </c>
      <c r="C13">
        <f>'Backlog Baseline'!C13*1</f>
        <v>0</v>
      </c>
      <c r="D13">
        <f>'Backlog Baseline'!D13*1</f>
        <v>8</v>
      </c>
      <c r="E13">
        <f>'Backlog Baseline'!E13*1</f>
        <v>20</v>
      </c>
      <c r="G13">
        <f>'Backlog Baseline'!G13*1</f>
        <v>1</v>
      </c>
      <c r="H13">
        <f>'Backlog Baseline'!H13*1</f>
        <v>0</v>
      </c>
      <c r="I13">
        <f>'Backlog Baseline'!I13*1</f>
        <v>8</v>
      </c>
      <c r="J13">
        <f>'Backlog Baseline'!J13*1</f>
        <v>20</v>
      </c>
      <c r="L13">
        <f>'Backlog Baseline'!L13*1</f>
        <v>1</v>
      </c>
      <c r="M13">
        <f>'Backlog Baseline'!M13*1</f>
        <v>0</v>
      </c>
      <c r="N13">
        <f>'Backlog Baseline'!N13*1</f>
        <v>8</v>
      </c>
      <c r="O13">
        <f>'Backlog Baseline'!O13*1</f>
        <v>20</v>
      </c>
      <c r="Q13">
        <f>'Backlog Baseline'!Q13*1</f>
        <v>1</v>
      </c>
      <c r="R13">
        <f>'Backlog Baseline'!R13*1</f>
        <v>0</v>
      </c>
      <c r="S13">
        <f>'Backlog Baseline'!S13*1</f>
        <v>8</v>
      </c>
      <c r="T13">
        <f>'Backlog Baseline'!T13*1</f>
        <v>20</v>
      </c>
      <c r="V13">
        <f>'Backlog Baseline'!V13*1</f>
        <v>1</v>
      </c>
      <c r="W13">
        <f>'Backlog Baseline'!W13*1</f>
        <v>0</v>
      </c>
      <c r="X13">
        <f>'Backlog Baseline'!X13*1</f>
        <v>8</v>
      </c>
      <c r="Y13">
        <f>'Backlog Baseline'!Y13*1</f>
        <v>20</v>
      </c>
      <c r="AA13">
        <f>'Backlog Baseline'!AA13*1</f>
        <v>1</v>
      </c>
      <c r="AB13">
        <f>'Backlog Baseline'!AB13*1</f>
        <v>0</v>
      </c>
      <c r="AC13">
        <f>'Backlog Baseline'!AC13*1</f>
        <v>8</v>
      </c>
      <c r="AD13">
        <f>'Backlog Baseline'!AD13*1</f>
        <v>20</v>
      </c>
      <c r="AF13">
        <f>'Backlog Baseline'!AF13*1</f>
        <v>1</v>
      </c>
      <c r="AG13">
        <f>'Backlog Baseline'!AG13*1</f>
        <v>0</v>
      </c>
      <c r="AH13">
        <f>'Backlog Baseline'!AH13*1</f>
        <v>8</v>
      </c>
      <c r="AI13">
        <f>'Backlog Baseline'!AI13*1</f>
        <v>20</v>
      </c>
      <c r="AK13">
        <f>'Backlog Baseline'!AK13*1</f>
        <v>1</v>
      </c>
      <c r="AL13">
        <f>'Backlog Baseline'!AL13*1</f>
        <v>0</v>
      </c>
      <c r="AM13">
        <f>'Backlog Baseline'!AM13*1</f>
        <v>8</v>
      </c>
      <c r="AN13">
        <f>'Backlog Baseline'!AN13*1</f>
        <v>20</v>
      </c>
      <c r="AP13">
        <f>'Backlog Baseline'!AP13*1</f>
        <v>1</v>
      </c>
      <c r="AQ13">
        <f>'Backlog Baseline'!AQ13*1</f>
        <v>0</v>
      </c>
      <c r="AR13">
        <f>'Backlog Baseline'!AR13*1</f>
        <v>8</v>
      </c>
      <c r="AS13">
        <f>'Backlog Baseline'!AS13*1</f>
        <v>20</v>
      </c>
      <c r="AU13">
        <f>'Backlog Baseline'!AU13*1</f>
        <v>1</v>
      </c>
      <c r="AV13">
        <f>'Backlog Baseline'!AV13*1</f>
        <v>0</v>
      </c>
      <c r="AW13">
        <f>'Backlog Baseline'!AW13*1</f>
        <v>8</v>
      </c>
      <c r="AX13">
        <f>'Backlog Baseline'!AX13*1</f>
        <v>20</v>
      </c>
      <c r="AZ13">
        <f t="shared" si="1"/>
        <v>1</v>
      </c>
      <c r="BA13">
        <f t="shared" si="0"/>
        <v>0</v>
      </c>
      <c r="BB13">
        <f t="shared" si="0"/>
        <v>8</v>
      </c>
      <c r="BC13">
        <f t="shared" si="0"/>
        <v>20</v>
      </c>
    </row>
    <row r="14" spans="1:55" x14ac:dyDescent="0.35">
      <c r="A14">
        <v>12</v>
      </c>
      <c r="B14">
        <f>'Backlog Baseline'!B14*1</f>
        <v>16</v>
      </c>
      <c r="C14">
        <f>'Backlog Baseline'!C14*1</f>
        <v>0</v>
      </c>
      <c r="D14">
        <f>'Backlog Baseline'!D14*1</f>
        <v>16</v>
      </c>
      <c r="E14">
        <f>'Backlog Baseline'!E14*1</f>
        <v>22</v>
      </c>
      <c r="G14">
        <f>'Backlog Baseline'!G14*1</f>
        <v>16</v>
      </c>
      <c r="H14">
        <f>'Backlog Baseline'!H14*1</f>
        <v>0</v>
      </c>
      <c r="I14">
        <f>'Backlog Baseline'!I14*1</f>
        <v>16</v>
      </c>
      <c r="J14">
        <f>'Backlog Baseline'!J14*1</f>
        <v>22</v>
      </c>
      <c r="L14">
        <f>'Backlog Baseline'!L14*1</f>
        <v>16</v>
      </c>
      <c r="M14">
        <f>'Backlog Baseline'!M14*1</f>
        <v>0</v>
      </c>
      <c r="N14">
        <f>'Backlog Baseline'!N14*1</f>
        <v>16</v>
      </c>
      <c r="O14">
        <f>'Backlog Baseline'!O14*1</f>
        <v>22</v>
      </c>
      <c r="Q14">
        <f>'Backlog Baseline'!Q14*1</f>
        <v>16</v>
      </c>
      <c r="R14">
        <f>'Backlog Baseline'!R14*1</f>
        <v>0</v>
      </c>
      <c r="S14">
        <f>'Backlog Baseline'!S14*1</f>
        <v>16</v>
      </c>
      <c r="T14">
        <f>'Backlog Baseline'!T14*1</f>
        <v>22</v>
      </c>
      <c r="V14">
        <f>'Backlog Baseline'!V14*1</f>
        <v>16</v>
      </c>
      <c r="W14">
        <f>'Backlog Baseline'!W14*1</f>
        <v>0</v>
      </c>
      <c r="X14">
        <f>'Backlog Baseline'!X14*1</f>
        <v>16</v>
      </c>
      <c r="Y14">
        <f>'Backlog Baseline'!Y14*1</f>
        <v>22</v>
      </c>
      <c r="AA14">
        <f>'Backlog Baseline'!AA14*1</f>
        <v>16</v>
      </c>
      <c r="AB14">
        <f>'Backlog Baseline'!AB14*1</f>
        <v>0</v>
      </c>
      <c r="AC14">
        <f>'Backlog Baseline'!AC14*1</f>
        <v>16</v>
      </c>
      <c r="AD14">
        <f>'Backlog Baseline'!AD14*1</f>
        <v>22</v>
      </c>
      <c r="AF14">
        <f>'Backlog Baseline'!AF14*1</f>
        <v>16</v>
      </c>
      <c r="AG14">
        <f>'Backlog Baseline'!AG14*1</f>
        <v>0</v>
      </c>
      <c r="AH14">
        <f>'Backlog Baseline'!AH14*1</f>
        <v>16</v>
      </c>
      <c r="AI14">
        <f>'Backlog Baseline'!AI14*1</f>
        <v>22</v>
      </c>
      <c r="AK14">
        <f>'Backlog Baseline'!AK14*1</f>
        <v>16</v>
      </c>
      <c r="AL14">
        <f>'Backlog Baseline'!AL14*1</f>
        <v>0</v>
      </c>
      <c r="AM14">
        <f>'Backlog Baseline'!AM14*1</f>
        <v>16</v>
      </c>
      <c r="AN14">
        <f>'Backlog Baseline'!AN14*1</f>
        <v>22</v>
      </c>
      <c r="AP14">
        <f>'Backlog Baseline'!AP14*1</f>
        <v>16</v>
      </c>
      <c r="AQ14">
        <f>'Backlog Baseline'!AQ14*1</f>
        <v>0</v>
      </c>
      <c r="AR14">
        <f>'Backlog Baseline'!AR14*1</f>
        <v>16</v>
      </c>
      <c r="AS14">
        <f>'Backlog Baseline'!AS14*1</f>
        <v>22</v>
      </c>
      <c r="AU14">
        <f>'Backlog Baseline'!AU14*1</f>
        <v>16</v>
      </c>
      <c r="AV14">
        <f>'Backlog Baseline'!AV14*1</f>
        <v>0</v>
      </c>
      <c r="AW14">
        <f>'Backlog Baseline'!AW14*1</f>
        <v>16</v>
      </c>
      <c r="AX14">
        <f>'Backlog Baseline'!AX14*1</f>
        <v>22</v>
      </c>
      <c r="AZ14">
        <f t="shared" si="1"/>
        <v>16</v>
      </c>
      <c r="BA14">
        <f t="shared" si="0"/>
        <v>0</v>
      </c>
      <c r="BB14">
        <f t="shared" si="0"/>
        <v>16</v>
      </c>
      <c r="BC14">
        <f t="shared" si="0"/>
        <v>22</v>
      </c>
    </row>
    <row r="15" spans="1:55" x14ac:dyDescent="0.35">
      <c r="A15">
        <v>13</v>
      </c>
      <c r="B15">
        <f>'Backlog Baseline'!B15*1</f>
        <v>32</v>
      </c>
      <c r="C15">
        <f>'Backlog Baseline'!C15*1</f>
        <v>2</v>
      </c>
      <c r="D15">
        <f>'Backlog Baseline'!D15*1</f>
        <v>23</v>
      </c>
      <c r="E15">
        <f>'Backlog Baseline'!E15*1</f>
        <v>20</v>
      </c>
      <c r="G15">
        <f>'Backlog Baseline'!G15*1</f>
        <v>32</v>
      </c>
      <c r="H15">
        <f>'Backlog Baseline'!H15*1</f>
        <v>2</v>
      </c>
      <c r="I15">
        <f>'Backlog Baseline'!I15*1</f>
        <v>23</v>
      </c>
      <c r="J15">
        <f>'Backlog Baseline'!J15*1</f>
        <v>20</v>
      </c>
      <c r="L15">
        <f>'Backlog Baseline'!L15*1</f>
        <v>32</v>
      </c>
      <c r="M15">
        <f>'Backlog Baseline'!M15*1</f>
        <v>2</v>
      </c>
      <c r="N15">
        <f>'Backlog Baseline'!N15*1</f>
        <v>23</v>
      </c>
      <c r="O15">
        <f>'Backlog Baseline'!O15*1</f>
        <v>20</v>
      </c>
      <c r="Q15">
        <f>'Backlog Baseline'!Q15*1</f>
        <v>32</v>
      </c>
      <c r="R15">
        <f>'Backlog Baseline'!R15*1</f>
        <v>2</v>
      </c>
      <c r="S15">
        <f>'Backlog Baseline'!S15*1</f>
        <v>23</v>
      </c>
      <c r="T15">
        <f>'Backlog Baseline'!T15*1</f>
        <v>20</v>
      </c>
      <c r="V15">
        <f>'Backlog Baseline'!V15*1</f>
        <v>32</v>
      </c>
      <c r="W15">
        <f>'Backlog Baseline'!W15*1</f>
        <v>2</v>
      </c>
      <c r="X15">
        <f>'Backlog Baseline'!X15*1</f>
        <v>23</v>
      </c>
      <c r="Y15">
        <f>'Backlog Baseline'!Y15*1</f>
        <v>20</v>
      </c>
      <c r="AA15">
        <f>'Backlog Baseline'!AA15*1</f>
        <v>32</v>
      </c>
      <c r="AB15">
        <f>'Backlog Baseline'!AB15*1</f>
        <v>2</v>
      </c>
      <c r="AC15">
        <f>'Backlog Baseline'!AC15*1</f>
        <v>23</v>
      </c>
      <c r="AD15">
        <f>'Backlog Baseline'!AD15*1</f>
        <v>20</v>
      </c>
      <c r="AF15">
        <f>'Backlog Baseline'!AF15*1</f>
        <v>32</v>
      </c>
      <c r="AG15">
        <f>'Backlog Baseline'!AG15*1</f>
        <v>2</v>
      </c>
      <c r="AH15">
        <f>'Backlog Baseline'!AH15*1</f>
        <v>23</v>
      </c>
      <c r="AI15">
        <f>'Backlog Baseline'!AI15*1</f>
        <v>20</v>
      </c>
      <c r="AK15">
        <f>'Backlog Baseline'!AK15*1</f>
        <v>32</v>
      </c>
      <c r="AL15">
        <f>'Backlog Baseline'!AL15*1</f>
        <v>2</v>
      </c>
      <c r="AM15">
        <f>'Backlog Baseline'!AM15*1</f>
        <v>23</v>
      </c>
      <c r="AN15">
        <f>'Backlog Baseline'!AN15*1</f>
        <v>20</v>
      </c>
      <c r="AP15">
        <f>'Backlog Baseline'!AP15*1</f>
        <v>32</v>
      </c>
      <c r="AQ15">
        <f>'Backlog Baseline'!AQ15*1</f>
        <v>2</v>
      </c>
      <c r="AR15">
        <f>'Backlog Baseline'!AR15*1</f>
        <v>23</v>
      </c>
      <c r="AS15">
        <f>'Backlog Baseline'!AS15*1</f>
        <v>20</v>
      </c>
      <c r="AU15">
        <f>'Backlog Baseline'!AU15*1</f>
        <v>32</v>
      </c>
      <c r="AV15">
        <f>'Backlog Baseline'!AV15*1</f>
        <v>2</v>
      </c>
      <c r="AW15">
        <f>'Backlog Baseline'!AW15*1</f>
        <v>23</v>
      </c>
      <c r="AX15">
        <f>'Backlog Baseline'!AX15*1</f>
        <v>20</v>
      </c>
      <c r="AZ15">
        <f t="shared" si="1"/>
        <v>32</v>
      </c>
      <c r="BA15">
        <f t="shared" si="0"/>
        <v>2</v>
      </c>
      <c r="BB15">
        <f t="shared" si="0"/>
        <v>23</v>
      </c>
      <c r="BC15">
        <f t="shared" si="0"/>
        <v>20</v>
      </c>
    </row>
    <row r="16" spans="1:55" x14ac:dyDescent="0.35">
      <c r="A16">
        <v>14</v>
      </c>
      <c r="B16">
        <f>'Backlog Baseline'!B16*1</f>
        <v>43</v>
      </c>
      <c r="C16">
        <f>'Backlog Baseline'!C16*1</f>
        <v>25</v>
      </c>
      <c r="D16">
        <f>'Backlog Baseline'!D16*1</f>
        <v>23</v>
      </c>
      <c r="E16">
        <f>'Backlog Baseline'!E16*1</f>
        <v>29</v>
      </c>
      <c r="G16">
        <f>'Backlog Baseline'!G16*1</f>
        <v>43</v>
      </c>
      <c r="H16">
        <f>'Backlog Baseline'!H16*1</f>
        <v>25</v>
      </c>
      <c r="I16">
        <f>'Backlog Baseline'!I16*1</f>
        <v>23</v>
      </c>
      <c r="J16">
        <f>'Backlog Baseline'!J16*1</f>
        <v>29</v>
      </c>
      <c r="L16">
        <f>'Backlog Baseline'!L16*1</f>
        <v>43</v>
      </c>
      <c r="M16">
        <f>'Backlog Baseline'!M16*1</f>
        <v>25</v>
      </c>
      <c r="N16">
        <f>'Backlog Baseline'!N16*1</f>
        <v>23</v>
      </c>
      <c r="O16">
        <f>'Backlog Baseline'!O16*1</f>
        <v>29</v>
      </c>
      <c r="Q16">
        <f>'Backlog Baseline'!Q16*1</f>
        <v>43</v>
      </c>
      <c r="R16">
        <f>'Backlog Baseline'!R16*1</f>
        <v>25</v>
      </c>
      <c r="S16">
        <f>'Backlog Baseline'!S16*1</f>
        <v>23</v>
      </c>
      <c r="T16">
        <f>'Backlog Baseline'!T16*1</f>
        <v>29</v>
      </c>
      <c r="V16">
        <f>'Backlog Baseline'!V16*1</f>
        <v>43</v>
      </c>
      <c r="W16">
        <f>'Backlog Baseline'!W16*1</f>
        <v>25</v>
      </c>
      <c r="X16">
        <f>'Backlog Baseline'!X16*1</f>
        <v>23</v>
      </c>
      <c r="Y16">
        <f>'Backlog Baseline'!Y16*1</f>
        <v>29</v>
      </c>
      <c r="AA16">
        <f>'Backlog Baseline'!AA16*1</f>
        <v>43</v>
      </c>
      <c r="AB16">
        <f>'Backlog Baseline'!AB16*1</f>
        <v>25</v>
      </c>
      <c r="AC16">
        <f>'Backlog Baseline'!AC16*1</f>
        <v>23</v>
      </c>
      <c r="AD16">
        <f>'Backlog Baseline'!AD16*1</f>
        <v>29</v>
      </c>
      <c r="AF16">
        <f>'Backlog Baseline'!AF16*1</f>
        <v>43</v>
      </c>
      <c r="AG16">
        <f>'Backlog Baseline'!AG16*1</f>
        <v>25</v>
      </c>
      <c r="AH16">
        <f>'Backlog Baseline'!AH16*1</f>
        <v>23</v>
      </c>
      <c r="AI16">
        <f>'Backlog Baseline'!AI16*1</f>
        <v>29</v>
      </c>
      <c r="AK16">
        <f>'Backlog Baseline'!AK16*1</f>
        <v>43</v>
      </c>
      <c r="AL16">
        <f>'Backlog Baseline'!AL16*1</f>
        <v>25</v>
      </c>
      <c r="AM16">
        <f>'Backlog Baseline'!AM16*1</f>
        <v>23</v>
      </c>
      <c r="AN16">
        <f>'Backlog Baseline'!AN16*1</f>
        <v>29</v>
      </c>
      <c r="AP16">
        <f>'Backlog Baseline'!AP16*1</f>
        <v>43</v>
      </c>
      <c r="AQ16">
        <f>'Backlog Baseline'!AQ16*1</f>
        <v>25</v>
      </c>
      <c r="AR16">
        <f>'Backlog Baseline'!AR16*1</f>
        <v>23</v>
      </c>
      <c r="AS16">
        <f>'Backlog Baseline'!AS16*1</f>
        <v>29</v>
      </c>
      <c r="AU16">
        <f>'Backlog Baseline'!AU16*1</f>
        <v>43</v>
      </c>
      <c r="AV16">
        <f>'Backlog Baseline'!AV16*1</f>
        <v>25</v>
      </c>
      <c r="AW16">
        <f>'Backlog Baseline'!AW16*1</f>
        <v>23</v>
      </c>
      <c r="AX16">
        <f>'Backlog Baseline'!AX16*1</f>
        <v>29</v>
      </c>
      <c r="AZ16">
        <f t="shared" si="1"/>
        <v>43</v>
      </c>
      <c r="BA16">
        <f t="shared" si="0"/>
        <v>25</v>
      </c>
      <c r="BB16">
        <f t="shared" si="0"/>
        <v>23</v>
      </c>
      <c r="BC16">
        <f t="shared" si="0"/>
        <v>29</v>
      </c>
    </row>
    <row r="17" spans="1:55" x14ac:dyDescent="0.35">
      <c r="A17">
        <v>15</v>
      </c>
      <c r="B17">
        <f>'Backlog Baseline'!B17*1</f>
        <v>42</v>
      </c>
      <c r="C17">
        <f>'Backlog Baseline'!C17*1</f>
        <v>52</v>
      </c>
      <c r="D17">
        <f>'Backlog Baseline'!D17*1</f>
        <v>20</v>
      </c>
      <c r="E17">
        <f>'Backlog Baseline'!E17*1</f>
        <v>39</v>
      </c>
      <c r="G17">
        <f>'Backlog Baseline'!G17*1</f>
        <v>42</v>
      </c>
      <c r="H17">
        <f>'Backlog Baseline'!H17*1</f>
        <v>52</v>
      </c>
      <c r="I17">
        <f>'Backlog Baseline'!I17*1</f>
        <v>20</v>
      </c>
      <c r="J17">
        <f>'Backlog Baseline'!J17*1</f>
        <v>39</v>
      </c>
      <c r="L17">
        <f>'Backlog Baseline'!L17*1</f>
        <v>42</v>
      </c>
      <c r="M17">
        <f>'Backlog Baseline'!M17*1</f>
        <v>52</v>
      </c>
      <c r="N17">
        <f>'Backlog Baseline'!N17*1</f>
        <v>20</v>
      </c>
      <c r="O17">
        <f>'Backlog Baseline'!O17*1</f>
        <v>39</v>
      </c>
      <c r="Q17">
        <f>'Backlog Baseline'!Q17*1</f>
        <v>42</v>
      </c>
      <c r="R17">
        <f>'Backlog Baseline'!R17*1</f>
        <v>52</v>
      </c>
      <c r="S17">
        <f>'Backlog Baseline'!S17*1</f>
        <v>20</v>
      </c>
      <c r="T17">
        <f>'Backlog Baseline'!T17*1</f>
        <v>39</v>
      </c>
      <c r="V17">
        <f>'Backlog Baseline'!V17*1</f>
        <v>42</v>
      </c>
      <c r="W17">
        <f>'Backlog Baseline'!W17*1</f>
        <v>52</v>
      </c>
      <c r="X17">
        <f>'Backlog Baseline'!X17*1</f>
        <v>20</v>
      </c>
      <c r="Y17">
        <f>'Backlog Baseline'!Y17*1</f>
        <v>39</v>
      </c>
      <c r="AA17">
        <f>'Backlog Baseline'!AA17*1</f>
        <v>42</v>
      </c>
      <c r="AB17">
        <f>'Backlog Baseline'!AB17*1</f>
        <v>52</v>
      </c>
      <c r="AC17">
        <f>'Backlog Baseline'!AC17*1</f>
        <v>20</v>
      </c>
      <c r="AD17">
        <f>'Backlog Baseline'!AD17*1</f>
        <v>39</v>
      </c>
      <c r="AF17">
        <f>'Backlog Baseline'!AF17*1</f>
        <v>42</v>
      </c>
      <c r="AG17">
        <f>'Backlog Baseline'!AG17*1</f>
        <v>52</v>
      </c>
      <c r="AH17">
        <f>'Backlog Baseline'!AH17*1</f>
        <v>20</v>
      </c>
      <c r="AI17">
        <f>'Backlog Baseline'!AI17*1</f>
        <v>39</v>
      </c>
      <c r="AK17">
        <f>'Backlog Baseline'!AK17*1</f>
        <v>42</v>
      </c>
      <c r="AL17">
        <f>'Backlog Baseline'!AL17*1</f>
        <v>52</v>
      </c>
      <c r="AM17">
        <f>'Backlog Baseline'!AM17*1</f>
        <v>20</v>
      </c>
      <c r="AN17">
        <f>'Backlog Baseline'!AN17*1</f>
        <v>39</v>
      </c>
      <c r="AP17">
        <f>'Backlog Baseline'!AP17*1</f>
        <v>42</v>
      </c>
      <c r="AQ17">
        <f>'Backlog Baseline'!AQ17*1</f>
        <v>52</v>
      </c>
      <c r="AR17">
        <f>'Backlog Baseline'!AR17*1</f>
        <v>20</v>
      </c>
      <c r="AS17">
        <f>'Backlog Baseline'!AS17*1</f>
        <v>39</v>
      </c>
      <c r="AU17">
        <f>'Backlog Baseline'!AU17*1</f>
        <v>42</v>
      </c>
      <c r="AV17">
        <f>'Backlog Baseline'!AV17*1</f>
        <v>52</v>
      </c>
      <c r="AW17">
        <f>'Backlog Baseline'!AW17*1</f>
        <v>20</v>
      </c>
      <c r="AX17">
        <f>'Backlog Baseline'!AX17*1</f>
        <v>39</v>
      </c>
      <c r="AZ17">
        <f t="shared" si="1"/>
        <v>42</v>
      </c>
      <c r="BA17">
        <f t="shared" si="0"/>
        <v>52</v>
      </c>
      <c r="BB17">
        <f t="shared" si="0"/>
        <v>20</v>
      </c>
      <c r="BC17">
        <f t="shared" si="0"/>
        <v>39</v>
      </c>
    </row>
    <row r="18" spans="1:55" x14ac:dyDescent="0.35">
      <c r="A18">
        <v>16</v>
      </c>
      <c r="B18">
        <f>'Backlog Baseline'!B18*1</f>
        <v>53</v>
      </c>
      <c r="C18">
        <f>'Backlog Baseline'!C18*1</f>
        <v>63</v>
      </c>
      <c r="D18">
        <f>'Backlog Baseline'!D18*1</f>
        <v>28</v>
      </c>
      <c r="E18">
        <f>'Backlog Baseline'!E18*1</f>
        <v>45</v>
      </c>
      <c r="G18">
        <f>'Backlog Baseline'!G18*1</f>
        <v>53</v>
      </c>
      <c r="H18">
        <f>'Backlog Baseline'!H18*1</f>
        <v>63</v>
      </c>
      <c r="I18">
        <f>'Backlog Baseline'!I18*1</f>
        <v>28</v>
      </c>
      <c r="J18">
        <f>'Backlog Baseline'!J18*1</f>
        <v>45</v>
      </c>
      <c r="L18">
        <f>'Backlog Baseline'!L18*1</f>
        <v>53</v>
      </c>
      <c r="M18">
        <f>'Backlog Baseline'!M18*1</f>
        <v>63</v>
      </c>
      <c r="N18">
        <f>'Backlog Baseline'!N18*1</f>
        <v>28</v>
      </c>
      <c r="O18">
        <f>'Backlog Baseline'!O18*1</f>
        <v>45</v>
      </c>
      <c r="Q18">
        <f>'Backlog Baseline'!Q18*1</f>
        <v>53</v>
      </c>
      <c r="R18">
        <f>'Backlog Baseline'!R18*1</f>
        <v>63</v>
      </c>
      <c r="S18">
        <f>'Backlog Baseline'!S18*1</f>
        <v>28</v>
      </c>
      <c r="T18">
        <f>'Backlog Baseline'!T18*1</f>
        <v>45</v>
      </c>
      <c r="V18">
        <f>'Backlog Baseline'!V18*1</f>
        <v>53</v>
      </c>
      <c r="W18">
        <f>'Backlog Baseline'!W18*1</f>
        <v>63</v>
      </c>
      <c r="X18">
        <f>'Backlog Baseline'!X18*1</f>
        <v>28</v>
      </c>
      <c r="Y18">
        <f>'Backlog Baseline'!Y18*1</f>
        <v>45</v>
      </c>
      <c r="AA18">
        <f>'Backlog Baseline'!AA18*1</f>
        <v>53</v>
      </c>
      <c r="AB18">
        <f>'Backlog Baseline'!AB18*1</f>
        <v>63</v>
      </c>
      <c r="AC18">
        <f>'Backlog Baseline'!AC18*1</f>
        <v>28</v>
      </c>
      <c r="AD18">
        <f>'Backlog Baseline'!AD18*1</f>
        <v>45</v>
      </c>
      <c r="AF18">
        <f>'Backlog Baseline'!AF18*1</f>
        <v>53</v>
      </c>
      <c r="AG18">
        <f>'Backlog Baseline'!AG18*1</f>
        <v>63</v>
      </c>
      <c r="AH18">
        <f>'Backlog Baseline'!AH18*1</f>
        <v>28</v>
      </c>
      <c r="AI18">
        <f>'Backlog Baseline'!AI18*1</f>
        <v>45</v>
      </c>
      <c r="AK18">
        <f>'Backlog Baseline'!AK18*1</f>
        <v>53</v>
      </c>
      <c r="AL18">
        <f>'Backlog Baseline'!AL18*1</f>
        <v>63</v>
      </c>
      <c r="AM18">
        <f>'Backlog Baseline'!AM18*1</f>
        <v>28</v>
      </c>
      <c r="AN18">
        <f>'Backlog Baseline'!AN18*1</f>
        <v>45</v>
      </c>
      <c r="AP18">
        <f>'Backlog Baseline'!AP18*1</f>
        <v>53</v>
      </c>
      <c r="AQ18">
        <f>'Backlog Baseline'!AQ18*1</f>
        <v>63</v>
      </c>
      <c r="AR18">
        <f>'Backlog Baseline'!AR18*1</f>
        <v>28</v>
      </c>
      <c r="AS18">
        <f>'Backlog Baseline'!AS18*1</f>
        <v>45</v>
      </c>
      <c r="AU18">
        <f>'Backlog Baseline'!AU18*1</f>
        <v>53</v>
      </c>
      <c r="AV18">
        <f>'Backlog Baseline'!AV18*1</f>
        <v>63</v>
      </c>
      <c r="AW18">
        <f>'Backlog Baseline'!AW18*1</f>
        <v>28</v>
      </c>
      <c r="AX18">
        <f>'Backlog Baseline'!AX18*1</f>
        <v>45</v>
      </c>
      <c r="AZ18">
        <f t="shared" si="1"/>
        <v>53</v>
      </c>
      <c r="BA18">
        <f t="shared" si="1"/>
        <v>63</v>
      </c>
      <c r="BB18">
        <f t="shared" si="1"/>
        <v>28</v>
      </c>
      <c r="BC18">
        <f t="shared" si="1"/>
        <v>45</v>
      </c>
    </row>
    <row r="19" spans="1:55" x14ac:dyDescent="0.35">
      <c r="A19">
        <v>17</v>
      </c>
      <c r="B19">
        <f>'Backlog Baseline'!B19*1</f>
        <v>66</v>
      </c>
      <c r="C19">
        <f>'Backlog Baseline'!C19*1</f>
        <v>51</v>
      </c>
      <c r="D19">
        <f>'Backlog Baseline'!D19*1</f>
        <v>36</v>
      </c>
      <c r="E19">
        <f>'Backlog Baseline'!E19*1</f>
        <v>40</v>
      </c>
      <c r="G19">
        <f>'Backlog Baseline'!G19*1</f>
        <v>66</v>
      </c>
      <c r="H19">
        <f>'Backlog Baseline'!H19*1</f>
        <v>51</v>
      </c>
      <c r="I19">
        <f>'Backlog Baseline'!I19*1</f>
        <v>36</v>
      </c>
      <c r="J19">
        <f>'Backlog Baseline'!J19*1</f>
        <v>40</v>
      </c>
      <c r="L19">
        <f>'Backlog Baseline'!L19*1</f>
        <v>66</v>
      </c>
      <c r="M19">
        <f>'Backlog Baseline'!M19*1</f>
        <v>51</v>
      </c>
      <c r="N19">
        <f>'Backlog Baseline'!N19*1</f>
        <v>36</v>
      </c>
      <c r="O19">
        <f>'Backlog Baseline'!O19*1</f>
        <v>40</v>
      </c>
      <c r="Q19">
        <f>'Backlog Baseline'!Q19*1</f>
        <v>66</v>
      </c>
      <c r="R19">
        <f>'Backlog Baseline'!R19*1</f>
        <v>51</v>
      </c>
      <c r="S19">
        <f>'Backlog Baseline'!S19*1</f>
        <v>36</v>
      </c>
      <c r="T19">
        <f>'Backlog Baseline'!T19*1</f>
        <v>40</v>
      </c>
      <c r="V19">
        <f>'Backlog Baseline'!V19*1</f>
        <v>66</v>
      </c>
      <c r="W19">
        <f>'Backlog Baseline'!W19*1</f>
        <v>51</v>
      </c>
      <c r="X19">
        <f>'Backlog Baseline'!X19*1</f>
        <v>36</v>
      </c>
      <c r="Y19">
        <f>'Backlog Baseline'!Y19*1</f>
        <v>40</v>
      </c>
      <c r="AA19">
        <f>'Backlog Baseline'!AA19*1</f>
        <v>66</v>
      </c>
      <c r="AB19">
        <f>'Backlog Baseline'!AB19*1</f>
        <v>51</v>
      </c>
      <c r="AC19">
        <f>'Backlog Baseline'!AC19*1</f>
        <v>36</v>
      </c>
      <c r="AD19">
        <f>'Backlog Baseline'!AD19*1</f>
        <v>40</v>
      </c>
      <c r="AF19">
        <f>'Backlog Baseline'!AF19*1</f>
        <v>66</v>
      </c>
      <c r="AG19">
        <f>'Backlog Baseline'!AG19*1</f>
        <v>51</v>
      </c>
      <c r="AH19">
        <f>'Backlog Baseline'!AH19*1</f>
        <v>36</v>
      </c>
      <c r="AI19">
        <f>'Backlog Baseline'!AI19*1</f>
        <v>40</v>
      </c>
      <c r="AK19">
        <f>'Backlog Baseline'!AK19*1</f>
        <v>66</v>
      </c>
      <c r="AL19">
        <f>'Backlog Baseline'!AL19*1</f>
        <v>51</v>
      </c>
      <c r="AM19">
        <f>'Backlog Baseline'!AM19*1</f>
        <v>36</v>
      </c>
      <c r="AN19">
        <f>'Backlog Baseline'!AN19*1</f>
        <v>40</v>
      </c>
      <c r="AP19">
        <f>'Backlog Baseline'!AP19*1</f>
        <v>66</v>
      </c>
      <c r="AQ19">
        <f>'Backlog Baseline'!AQ19*1</f>
        <v>51</v>
      </c>
      <c r="AR19">
        <f>'Backlog Baseline'!AR19*1</f>
        <v>36</v>
      </c>
      <c r="AS19">
        <f>'Backlog Baseline'!AS19*1</f>
        <v>40</v>
      </c>
      <c r="AU19">
        <f>'Backlog Baseline'!AU19*1</f>
        <v>66</v>
      </c>
      <c r="AV19">
        <f>'Backlog Baseline'!AV19*1</f>
        <v>51</v>
      </c>
      <c r="AW19">
        <f>'Backlog Baseline'!AW19*1</f>
        <v>36</v>
      </c>
      <c r="AX19">
        <f>'Backlog Baseline'!AX19*1</f>
        <v>40</v>
      </c>
      <c r="AZ19">
        <f t="shared" si="1"/>
        <v>66</v>
      </c>
      <c r="BA19">
        <f t="shared" si="1"/>
        <v>51</v>
      </c>
      <c r="BB19">
        <f t="shared" si="1"/>
        <v>36</v>
      </c>
      <c r="BC19">
        <f t="shared" si="1"/>
        <v>40</v>
      </c>
    </row>
    <row r="20" spans="1:55" x14ac:dyDescent="0.35">
      <c r="A20">
        <v>18</v>
      </c>
      <c r="B20">
        <f>'Backlog Baseline'!B20*1</f>
        <v>64</v>
      </c>
      <c r="C20">
        <f>'Backlog Baseline'!C20*1</f>
        <v>24</v>
      </c>
      <c r="D20">
        <f>'Backlog Baseline'!D20*1</f>
        <v>41</v>
      </c>
      <c r="E20">
        <f>'Backlog Baseline'!E20*1</f>
        <v>49</v>
      </c>
      <c r="G20">
        <f>'Backlog Baseline'!G20*1</f>
        <v>64</v>
      </c>
      <c r="H20">
        <f>'Backlog Baseline'!H20*1</f>
        <v>24</v>
      </c>
      <c r="I20">
        <f>'Backlog Baseline'!I20*1</f>
        <v>41</v>
      </c>
      <c r="J20">
        <f>'Backlog Baseline'!J20*1</f>
        <v>49</v>
      </c>
      <c r="L20">
        <f>'Backlog Baseline'!L20*1</f>
        <v>64</v>
      </c>
      <c r="M20">
        <f>'Backlog Baseline'!M20*1</f>
        <v>24</v>
      </c>
      <c r="N20">
        <f>'Backlog Baseline'!N20*1</f>
        <v>41</v>
      </c>
      <c r="O20">
        <f>'Backlog Baseline'!O20*1</f>
        <v>49</v>
      </c>
      <c r="Q20">
        <f>'Backlog Baseline'!Q20*1</f>
        <v>64</v>
      </c>
      <c r="R20">
        <f>'Backlog Baseline'!R20*1</f>
        <v>24</v>
      </c>
      <c r="S20">
        <f>'Backlog Baseline'!S20*1</f>
        <v>41</v>
      </c>
      <c r="T20">
        <f>'Backlog Baseline'!T20*1</f>
        <v>49</v>
      </c>
      <c r="V20">
        <f>'Backlog Baseline'!V20*1</f>
        <v>64</v>
      </c>
      <c r="W20">
        <f>'Backlog Baseline'!W20*1</f>
        <v>24</v>
      </c>
      <c r="X20">
        <f>'Backlog Baseline'!X20*1</f>
        <v>41</v>
      </c>
      <c r="Y20">
        <f>'Backlog Baseline'!Y20*1</f>
        <v>49</v>
      </c>
      <c r="AA20">
        <f>'Backlog Baseline'!AA20*1</f>
        <v>64</v>
      </c>
      <c r="AB20">
        <f>'Backlog Baseline'!AB20*1</f>
        <v>24</v>
      </c>
      <c r="AC20">
        <f>'Backlog Baseline'!AC20*1</f>
        <v>41</v>
      </c>
      <c r="AD20">
        <f>'Backlog Baseline'!AD20*1</f>
        <v>49</v>
      </c>
      <c r="AF20">
        <f>'Backlog Baseline'!AF20*1</f>
        <v>64</v>
      </c>
      <c r="AG20">
        <f>'Backlog Baseline'!AG20*1</f>
        <v>24</v>
      </c>
      <c r="AH20">
        <f>'Backlog Baseline'!AH20*1</f>
        <v>41</v>
      </c>
      <c r="AI20">
        <f>'Backlog Baseline'!AI20*1</f>
        <v>49</v>
      </c>
      <c r="AK20">
        <f>'Backlog Baseline'!AK20*1</f>
        <v>64</v>
      </c>
      <c r="AL20">
        <f>'Backlog Baseline'!AL20*1</f>
        <v>24</v>
      </c>
      <c r="AM20">
        <f>'Backlog Baseline'!AM20*1</f>
        <v>41</v>
      </c>
      <c r="AN20">
        <f>'Backlog Baseline'!AN20*1</f>
        <v>49</v>
      </c>
      <c r="AP20">
        <f>'Backlog Baseline'!AP20*1</f>
        <v>64</v>
      </c>
      <c r="AQ20">
        <f>'Backlog Baseline'!AQ20*1</f>
        <v>24</v>
      </c>
      <c r="AR20">
        <f>'Backlog Baseline'!AR20*1</f>
        <v>41</v>
      </c>
      <c r="AS20">
        <f>'Backlog Baseline'!AS20*1</f>
        <v>49</v>
      </c>
      <c r="AU20">
        <f>'Backlog Baseline'!AU20*1</f>
        <v>64</v>
      </c>
      <c r="AV20">
        <f>'Backlog Baseline'!AV20*1</f>
        <v>24</v>
      </c>
      <c r="AW20">
        <f>'Backlog Baseline'!AW20*1</f>
        <v>41</v>
      </c>
      <c r="AX20">
        <f>'Backlog Baseline'!AX20*1</f>
        <v>49</v>
      </c>
      <c r="AZ20">
        <f t="shared" si="1"/>
        <v>64</v>
      </c>
      <c r="BA20">
        <f t="shared" si="1"/>
        <v>24</v>
      </c>
      <c r="BB20">
        <f t="shared" si="1"/>
        <v>41</v>
      </c>
      <c r="BC20">
        <f t="shared" si="1"/>
        <v>49</v>
      </c>
    </row>
    <row r="21" spans="1:55" x14ac:dyDescent="0.35">
      <c r="A21">
        <v>19</v>
      </c>
      <c r="B21">
        <f>'Backlog Baseline'!B21*1</f>
        <v>41</v>
      </c>
      <c r="C21">
        <f>'Backlog Baseline'!C21*1</f>
        <v>0</v>
      </c>
      <c r="D21">
        <f>'Backlog Baseline'!D21*1</f>
        <v>36</v>
      </c>
      <c r="E21">
        <f>'Backlog Baseline'!E21*1</f>
        <v>59</v>
      </c>
      <c r="G21">
        <f>'Backlog Baseline'!G21*1</f>
        <v>41</v>
      </c>
      <c r="H21">
        <f>'Backlog Baseline'!H21*1</f>
        <v>0</v>
      </c>
      <c r="I21">
        <f>'Backlog Baseline'!I21*1</f>
        <v>36</v>
      </c>
      <c r="J21">
        <f>'Backlog Baseline'!J21*1</f>
        <v>59</v>
      </c>
      <c r="L21">
        <f>'Backlog Baseline'!L21*1</f>
        <v>41</v>
      </c>
      <c r="M21">
        <f>'Backlog Baseline'!M21*1</f>
        <v>0</v>
      </c>
      <c r="N21">
        <f>'Backlog Baseline'!N21*1</f>
        <v>36</v>
      </c>
      <c r="O21">
        <f>'Backlog Baseline'!O21*1</f>
        <v>59</v>
      </c>
      <c r="Q21">
        <f>'Backlog Baseline'!Q21*1</f>
        <v>41</v>
      </c>
      <c r="R21">
        <f>'Backlog Baseline'!R21*1</f>
        <v>0</v>
      </c>
      <c r="S21">
        <f>'Backlog Baseline'!S21*1</f>
        <v>36</v>
      </c>
      <c r="T21">
        <f>'Backlog Baseline'!T21*1</f>
        <v>59</v>
      </c>
      <c r="V21">
        <f>'Backlog Baseline'!V21*1</f>
        <v>41</v>
      </c>
      <c r="W21">
        <f>'Backlog Baseline'!W21*1</f>
        <v>0</v>
      </c>
      <c r="X21">
        <f>'Backlog Baseline'!X21*1</f>
        <v>36</v>
      </c>
      <c r="Y21">
        <f>'Backlog Baseline'!Y21*1</f>
        <v>59</v>
      </c>
      <c r="AA21">
        <f>'Backlog Baseline'!AA21*1</f>
        <v>41</v>
      </c>
      <c r="AB21">
        <f>'Backlog Baseline'!AB21*1</f>
        <v>0</v>
      </c>
      <c r="AC21">
        <f>'Backlog Baseline'!AC21*1</f>
        <v>36</v>
      </c>
      <c r="AD21">
        <f>'Backlog Baseline'!AD21*1</f>
        <v>59</v>
      </c>
      <c r="AF21">
        <f>'Backlog Baseline'!AF21*1</f>
        <v>41</v>
      </c>
      <c r="AG21">
        <f>'Backlog Baseline'!AG21*1</f>
        <v>0</v>
      </c>
      <c r="AH21">
        <f>'Backlog Baseline'!AH21*1</f>
        <v>36</v>
      </c>
      <c r="AI21">
        <f>'Backlog Baseline'!AI21*1</f>
        <v>59</v>
      </c>
      <c r="AK21">
        <f>'Backlog Baseline'!AK21*1</f>
        <v>41</v>
      </c>
      <c r="AL21">
        <f>'Backlog Baseline'!AL21*1</f>
        <v>0</v>
      </c>
      <c r="AM21">
        <f>'Backlog Baseline'!AM21*1</f>
        <v>36</v>
      </c>
      <c r="AN21">
        <f>'Backlog Baseline'!AN21*1</f>
        <v>59</v>
      </c>
      <c r="AP21">
        <f>'Backlog Baseline'!AP21*1</f>
        <v>41</v>
      </c>
      <c r="AQ21">
        <f>'Backlog Baseline'!AQ21*1</f>
        <v>0</v>
      </c>
      <c r="AR21">
        <f>'Backlog Baseline'!AR21*1</f>
        <v>36</v>
      </c>
      <c r="AS21">
        <f>'Backlog Baseline'!AS21*1</f>
        <v>59</v>
      </c>
      <c r="AU21">
        <f>'Backlog Baseline'!AU21*1</f>
        <v>41</v>
      </c>
      <c r="AV21">
        <f>'Backlog Baseline'!AV21*1</f>
        <v>0</v>
      </c>
      <c r="AW21">
        <f>'Backlog Baseline'!AW21*1</f>
        <v>36</v>
      </c>
      <c r="AX21">
        <f>'Backlog Baseline'!AX21*1</f>
        <v>59</v>
      </c>
      <c r="AZ21">
        <f t="shared" si="1"/>
        <v>41</v>
      </c>
      <c r="BA21">
        <f t="shared" si="1"/>
        <v>0</v>
      </c>
      <c r="BB21">
        <f t="shared" si="1"/>
        <v>36</v>
      </c>
      <c r="BC21">
        <f t="shared" si="1"/>
        <v>59</v>
      </c>
    </row>
    <row r="22" spans="1:55" x14ac:dyDescent="0.35">
      <c r="A22">
        <v>20</v>
      </c>
      <c r="B22">
        <f>'Backlog Baseline'!B22*1</f>
        <v>9</v>
      </c>
      <c r="C22">
        <f>'Backlog Baseline'!C22*1</f>
        <v>0</v>
      </c>
      <c r="D22">
        <f>'Backlog Baseline'!D22*1</f>
        <v>44</v>
      </c>
      <c r="E22">
        <f>'Backlog Baseline'!E22*1</f>
        <v>55</v>
      </c>
      <c r="G22">
        <f>'Backlog Baseline'!G22*1</f>
        <v>9</v>
      </c>
      <c r="H22">
        <f>'Backlog Baseline'!H22*1</f>
        <v>0</v>
      </c>
      <c r="I22">
        <f>'Backlog Baseline'!I22*1</f>
        <v>44</v>
      </c>
      <c r="J22">
        <f>'Backlog Baseline'!J22*1</f>
        <v>55</v>
      </c>
      <c r="L22">
        <f>'Backlog Baseline'!L22*1</f>
        <v>9</v>
      </c>
      <c r="M22">
        <f>'Backlog Baseline'!M22*1</f>
        <v>0</v>
      </c>
      <c r="N22">
        <f>'Backlog Baseline'!N22*1</f>
        <v>44</v>
      </c>
      <c r="O22">
        <f>'Backlog Baseline'!O22*1</f>
        <v>55</v>
      </c>
      <c r="Q22">
        <f>'Backlog Baseline'!Q22*1</f>
        <v>9</v>
      </c>
      <c r="R22">
        <f>'Backlog Baseline'!R22*1</f>
        <v>0</v>
      </c>
      <c r="S22">
        <f>'Backlog Baseline'!S22*1</f>
        <v>44</v>
      </c>
      <c r="T22">
        <f>'Backlog Baseline'!T22*1</f>
        <v>55</v>
      </c>
      <c r="V22">
        <f>'Backlog Baseline'!V22*1</f>
        <v>9</v>
      </c>
      <c r="W22">
        <f>'Backlog Baseline'!W22*1</f>
        <v>0</v>
      </c>
      <c r="X22">
        <f>'Backlog Baseline'!X22*1</f>
        <v>44</v>
      </c>
      <c r="Y22">
        <f>'Backlog Baseline'!Y22*1</f>
        <v>55</v>
      </c>
      <c r="AA22">
        <f>'Backlog Baseline'!AA22*1</f>
        <v>9</v>
      </c>
      <c r="AB22">
        <f>'Backlog Baseline'!AB22*1</f>
        <v>0</v>
      </c>
      <c r="AC22">
        <f>'Backlog Baseline'!AC22*1</f>
        <v>44</v>
      </c>
      <c r="AD22">
        <f>'Backlog Baseline'!AD22*1</f>
        <v>55</v>
      </c>
      <c r="AF22">
        <f>'Backlog Baseline'!AF22*1</f>
        <v>9</v>
      </c>
      <c r="AG22">
        <f>'Backlog Baseline'!AG22*1</f>
        <v>0</v>
      </c>
      <c r="AH22">
        <f>'Backlog Baseline'!AH22*1</f>
        <v>44</v>
      </c>
      <c r="AI22">
        <f>'Backlog Baseline'!AI22*1</f>
        <v>55</v>
      </c>
      <c r="AK22">
        <f>'Backlog Baseline'!AK22*1</f>
        <v>9</v>
      </c>
      <c r="AL22">
        <f>'Backlog Baseline'!AL22*1</f>
        <v>0</v>
      </c>
      <c r="AM22">
        <f>'Backlog Baseline'!AM22*1</f>
        <v>44</v>
      </c>
      <c r="AN22">
        <f>'Backlog Baseline'!AN22*1</f>
        <v>55</v>
      </c>
      <c r="AP22">
        <f>'Backlog Baseline'!AP22*1</f>
        <v>9</v>
      </c>
      <c r="AQ22">
        <f>'Backlog Baseline'!AQ22*1</f>
        <v>0</v>
      </c>
      <c r="AR22">
        <f>'Backlog Baseline'!AR22*1</f>
        <v>44</v>
      </c>
      <c r="AS22">
        <f>'Backlog Baseline'!AS22*1</f>
        <v>55</v>
      </c>
      <c r="AU22">
        <f>'Backlog Baseline'!AU22*1</f>
        <v>9</v>
      </c>
      <c r="AV22">
        <f>'Backlog Baseline'!AV22*1</f>
        <v>0</v>
      </c>
      <c r="AW22">
        <f>'Backlog Baseline'!AW22*1</f>
        <v>44</v>
      </c>
      <c r="AX22">
        <f>'Backlog Baseline'!AX22*1</f>
        <v>55</v>
      </c>
      <c r="AZ22">
        <f t="shared" si="1"/>
        <v>9</v>
      </c>
      <c r="BA22">
        <f t="shared" si="1"/>
        <v>0</v>
      </c>
      <c r="BB22">
        <f t="shared" si="1"/>
        <v>44</v>
      </c>
      <c r="BC22">
        <f t="shared" si="1"/>
        <v>55</v>
      </c>
    </row>
    <row r="23" spans="1:55" x14ac:dyDescent="0.35">
      <c r="A23">
        <v>21</v>
      </c>
      <c r="B23">
        <f>'Backlog Baseline'!B23*1</f>
        <v>0</v>
      </c>
      <c r="C23">
        <f>'Backlog Baseline'!C23*1</f>
        <v>0</v>
      </c>
      <c r="D23">
        <f>'Backlog Baseline'!D23*1</f>
        <v>52</v>
      </c>
      <c r="E23">
        <f>'Backlog Baseline'!E23*1</f>
        <v>32</v>
      </c>
      <c r="G23">
        <f>'Backlog Baseline'!G23*1</f>
        <v>0</v>
      </c>
      <c r="H23">
        <f>'Backlog Baseline'!H23*1</f>
        <v>0</v>
      </c>
      <c r="I23">
        <f>'Backlog Baseline'!I23*1</f>
        <v>52</v>
      </c>
      <c r="J23">
        <f>'Backlog Baseline'!J23*1</f>
        <v>32</v>
      </c>
      <c r="L23">
        <f>'Backlog Baseline'!L23*1</f>
        <v>0</v>
      </c>
      <c r="M23">
        <f>'Backlog Baseline'!M23*1</f>
        <v>0</v>
      </c>
      <c r="N23">
        <f>'Backlog Baseline'!N23*1</f>
        <v>52</v>
      </c>
      <c r="O23">
        <f>'Backlog Baseline'!O23*1</f>
        <v>32</v>
      </c>
      <c r="Q23">
        <f>'Backlog Baseline'!Q23*1</f>
        <v>0</v>
      </c>
      <c r="R23">
        <f>'Backlog Baseline'!R23*1</f>
        <v>0</v>
      </c>
      <c r="S23">
        <f>'Backlog Baseline'!S23*1</f>
        <v>52</v>
      </c>
      <c r="T23">
        <f>'Backlog Baseline'!T23*1</f>
        <v>32</v>
      </c>
      <c r="V23">
        <f>'Backlog Baseline'!V23*1</f>
        <v>0</v>
      </c>
      <c r="W23">
        <f>'Backlog Baseline'!W23*1</f>
        <v>0</v>
      </c>
      <c r="X23">
        <f>'Backlog Baseline'!X23*1</f>
        <v>52</v>
      </c>
      <c r="Y23">
        <f>'Backlog Baseline'!Y23*1</f>
        <v>32</v>
      </c>
      <c r="AA23">
        <f>'Backlog Baseline'!AA23*1</f>
        <v>0</v>
      </c>
      <c r="AB23">
        <f>'Backlog Baseline'!AB23*1</f>
        <v>0</v>
      </c>
      <c r="AC23">
        <f>'Backlog Baseline'!AC23*1</f>
        <v>52</v>
      </c>
      <c r="AD23">
        <f>'Backlog Baseline'!AD23*1</f>
        <v>32</v>
      </c>
      <c r="AF23">
        <f>'Backlog Baseline'!AF23*1</f>
        <v>0</v>
      </c>
      <c r="AG23">
        <f>'Backlog Baseline'!AG23*1</f>
        <v>0</v>
      </c>
      <c r="AH23">
        <f>'Backlog Baseline'!AH23*1</f>
        <v>52</v>
      </c>
      <c r="AI23">
        <f>'Backlog Baseline'!AI23*1</f>
        <v>32</v>
      </c>
      <c r="AK23">
        <f>'Backlog Baseline'!AK23*1</f>
        <v>0</v>
      </c>
      <c r="AL23">
        <f>'Backlog Baseline'!AL23*1</f>
        <v>0</v>
      </c>
      <c r="AM23">
        <f>'Backlog Baseline'!AM23*1</f>
        <v>52</v>
      </c>
      <c r="AN23">
        <f>'Backlog Baseline'!AN23*1</f>
        <v>32</v>
      </c>
      <c r="AP23">
        <f>'Backlog Baseline'!AP23*1</f>
        <v>0</v>
      </c>
      <c r="AQ23">
        <f>'Backlog Baseline'!AQ23*1</f>
        <v>0</v>
      </c>
      <c r="AR23">
        <f>'Backlog Baseline'!AR23*1</f>
        <v>52</v>
      </c>
      <c r="AS23">
        <f>'Backlog Baseline'!AS23*1</f>
        <v>32</v>
      </c>
      <c r="AU23">
        <f>'Backlog Baseline'!AU23*1</f>
        <v>0</v>
      </c>
      <c r="AV23">
        <f>'Backlog Baseline'!AV23*1</f>
        <v>0</v>
      </c>
      <c r="AW23">
        <f>'Backlog Baseline'!AW23*1</f>
        <v>52</v>
      </c>
      <c r="AX23">
        <f>'Backlog Baseline'!AX23*1</f>
        <v>32</v>
      </c>
      <c r="AZ23">
        <f t="shared" si="1"/>
        <v>0</v>
      </c>
      <c r="BA23">
        <f t="shared" si="1"/>
        <v>0</v>
      </c>
      <c r="BB23">
        <f t="shared" si="1"/>
        <v>52</v>
      </c>
      <c r="BC23">
        <f t="shared" si="1"/>
        <v>32</v>
      </c>
    </row>
    <row r="24" spans="1:55" x14ac:dyDescent="0.35">
      <c r="A24">
        <v>22</v>
      </c>
      <c r="B24">
        <f>'Backlog Baseline'!B24*1</f>
        <v>0</v>
      </c>
      <c r="C24">
        <f>'Backlog Baseline'!C24*1</f>
        <v>0</v>
      </c>
      <c r="D24">
        <f>'Backlog Baseline'!D24*1</f>
        <v>47</v>
      </c>
      <c r="E24">
        <f>'Backlog Baseline'!E24*1</f>
        <v>0</v>
      </c>
      <c r="G24">
        <f>'Backlog Baseline'!G24*1</f>
        <v>0</v>
      </c>
      <c r="H24">
        <f>'Backlog Baseline'!H24*1</f>
        <v>0</v>
      </c>
      <c r="I24">
        <f>'Backlog Baseline'!I24*1</f>
        <v>47</v>
      </c>
      <c r="J24">
        <f>'Backlog Baseline'!J24*1</f>
        <v>0</v>
      </c>
      <c r="L24">
        <f>'Backlog Baseline'!L24*1</f>
        <v>0</v>
      </c>
      <c r="M24">
        <f>'Backlog Baseline'!M24*1</f>
        <v>0</v>
      </c>
      <c r="N24">
        <f>'Backlog Baseline'!N24*1</f>
        <v>47</v>
      </c>
      <c r="O24">
        <f>'Backlog Baseline'!O24*1</f>
        <v>0</v>
      </c>
      <c r="Q24">
        <f>'Backlog Baseline'!Q24*1</f>
        <v>0</v>
      </c>
      <c r="R24">
        <f>'Backlog Baseline'!R24*1</f>
        <v>0</v>
      </c>
      <c r="S24">
        <f>'Backlog Baseline'!S24*1</f>
        <v>47</v>
      </c>
      <c r="T24">
        <f>'Backlog Baseline'!T24*1</f>
        <v>0</v>
      </c>
      <c r="V24">
        <f>'Backlog Baseline'!V24*1</f>
        <v>0</v>
      </c>
      <c r="W24">
        <f>'Backlog Baseline'!W24*1</f>
        <v>0</v>
      </c>
      <c r="X24">
        <f>'Backlog Baseline'!X24*1</f>
        <v>47</v>
      </c>
      <c r="Y24">
        <f>'Backlog Baseline'!Y24*1</f>
        <v>0</v>
      </c>
      <c r="AA24">
        <f>'Backlog Baseline'!AA24*1</f>
        <v>0</v>
      </c>
      <c r="AB24">
        <f>'Backlog Baseline'!AB24*1</f>
        <v>0</v>
      </c>
      <c r="AC24">
        <f>'Backlog Baseline'!AC24*1</f>
        <v>47</v>
      </c>
      <c r="AD24">
        <f>'Backlog Baseline'!AD24*1</f>
        <v>0</v>
      </c>
      <c r="AF24">
        <f>'Backlog Baseline'!AF24*1</f>
        <v>0</v>
      </c>
      <c r="AG24">
        <f>'Backlog Baseline'!AG24*1</f>
        <v>0</v>
      </c>
      <c r="AH24">
        <f>'Backlog Baseline'!AH24*1</f>
        <v>47</v>
      </c>
      <c r="AI24">
        <f>'Backlog Baseline'!AI24*1</f>
        <v>0</v>
      </c>
      <c r="AK24">
        <f>'Backlog Baseline'!AK24*1</f>
        <v>0</v>
      </c>
      <c r="AL24">
        <f>'Backlog Baseline'!AL24*1</f>
        <v>0</v>
      </c>
      <c r="AM24">
        <f>'Backlog Baseline'!AM24*1</f>
        <v>47</v>
      </c>
      <c r="AN24">
        <f>'Backlog Baseline'!AN24*1</f>
        <v>0</v>
      </c>
      <c r="AP24">
        <f>'Backlog Baseline'!AP24*1</f>
        <v>0</v>
      </c>
      <c r="AQ24">
        <f>'Backlog Baseline'!AQ24*1</f>
        <v>0</v>
      </c>
      <c r="AR24">
        <f>'Backlog Baseline'!AR24*1</f>
        <v>47</v>
      </c>
      <c r="AS24">
        <f>'Backlog Baseline'!AS24*1</f>
        <v>0</v>
      </c>
      <c r="AU24">
        <f>'Backlog Baseline'!AU24*1</f>
        <v>0</v>
      </c>
      <c r="AV24">
        <f>'Backlog Baseline'!AV24*1</f>
        <v>0</v>
      </c>
      <c r="AW24">
        <f>'Backlog Baseline'!AW24*1</f>
        <v>47</v>
      </c>
      <c r="AX24">
        <f>'Backlog Baseline'!AX24*1</f>
        <v>0</v>
      </c>
      <c r="AZ24">
        <f t="shared" si="1"/>
        <v>0</v>
      </c>
      <c r="BA24">
        <f t="shared" si="1"/>
        <v>0</v>
      </c>
      <c r="BB24">
        <f t="shared" si="1"/>
        <v>47</v>
      </c>
      <c r="BC24">
        <f t="shared" si="1"/>
        <v>0</v>
      </c>
    </row>
    <row r="25" spans="1:55" x14ac:dyDescent="0.35">
      <c r="A25">
        <v>23</v>
      </c>
      <c r="B25">
        <f>'Backlog Baseline'!B25*1</f>
        <v>0</v>
      </c>
      <c r="C25">
        <f>'Backlog Baseline'!C25*1</f>
        <v>0</v>
      </c>
      <c r="D25">
        <f>'Backlog Baseline'!D25*1</f>
        <v>24</v>
      </c>
      <c r="E25">
        <f>'Backlog Baseline'!E25*1</f>
        <v>0</v>
      </c>
      <c r="G25">
        <f>'Backlog Baseline'!G25*1</f>
        <v>0</v>
      </c>
      <c r="H25">
        <f>'Backlog Baseline'!H25*1</f>
        <v>0</v>
      </c>
      <c r="I25">
        <f>'Backlog Baseline'!I25*1</f>
        <v>24</v>
      </c>
      <c r="J25">
        <f>'Backlog Baseline'!J25*1</f>
        <v>0</v>
      </c>
      <c r="L25">
        <f>'Backlog Baseline'!L25*1</f>
        <v>0</v>
      </c>
      <c r="M25">
        <f>'Backlog Baseline'!M25*1</f>
        <v>0</v>
      </c>
      <c r="N25">
        <f>'Backlog Baseline'!N25*1</f>
        <v>24</v>
      </c>
      <c r="O25">
        <f>'Backlog Baseline'!O25*1</f>
        <v>0</v>
      </c>
      <c r="Q25">
        <f>'Backlog Baseline'!Q25*1</f>
        <v>0</v>
      </c>
      <c r="R25">
        <f>'Backlog Baseline'!R25*1</f>
        <v>0</v>
      </c>
      <c r="S25">
        <f>'Backlog Baseline'!S25*1</f>
        <v>24</v>
      </c>
      <c r="T25">
        <f>'Backlog Baseline'!T25*1</f>
        <v>0</v>
      </c>
      <c r="V25">
        <f>'Backlog Baseline'!V25*1</f>
        <v>0</v>
      </c>
      <c r="W25">
        <f>'Backlog Baseline'!W25*1</f>
        <v>0</v>
      </c>
      <c r="X25">
        <f>'Backlog Baseline'!X25*1</f>
        <v>24</v>
      </c>
      <c r="Y25">
        <f>'Backlog Baseline'!Y25*1</f>
        <v>0</v>
      </c>
      <c r="AA25">
        <f>'Backlog Baseline'!AA25*1</f>
        <v>0</v>
      </c>
      <c r="AB25">
        <f>'Backlog Baseline'!AB25*1</f>
        <v>0</v>
      </c>
      <c r="AC25">
        <f>'Backlog Baseline'!AC25*1</f>
        <v>24</v>
      </c>
      <c r="AD25">
        <f>'Backlog Baseline'!AD25*1</f>
        <v>0</v>
      </c>
      <c r="AF25">
        <f>'Backlog Baseline'!AF25*1</f>
        <v>0</v>
      </c>
      <c r="AG25">
        <f>'Backlog Baseline'!AG25*1</f>
        <v>0</v>
      </c>
      <c r="AH25">
        <f>'Backlog Baseline'!AH25*1</f>
        <v>24</v>
      </c>
      <c r="AI25">
        <f>'Backlog Baseline'!AI25*1</f>
        <v>0</v>
      </c>
      <c r="AK25">
        <f>'Backlog Baseline'!AK25*1</f>
        <v>0</v>
      </c>
      <c r="AL25">
        <f>'Backlog Baseline'!AL25*1</f>
        <v>0</v>
      </c>
      <c r="AM25">
        <f>'Backlog Baseline'!AM25*1</f>
        <v>24</v>
      </c>
      <c r="AN25">
        <f>'Backlog Baseline'!AN25*1</f>
        <v>0</v>
      </c>
      <c r="AP25">
        <f>'Backlog Baseline'!AP25*1</f>
        <v>0</v>
      </c>
      <c r="AQ25">
        <f>'Backlog Baseline'!AQ25*1</f>
        <v>0</v>
      </c>
      <c r="AR25">
        <f>'Backlog Baseline'!AR25*1</f>
        <v>24</v>
      </c>
      <c r="AS25">
        <f>'Backlog Baseline'!AS25*1</f>
        <v>0</v>
      </c>
      <c r="AU25">
        <f>'Backlog Baseline'!AU25*1</f>
        <v>0</v>
      </c>
      <c r="AV25">
        <f>'Backlog Baseline'!AV25*1</f>
        <v>0</v>
      </c>
      <c r="AW25">
        <f>'Backlog Baseline'!AW25*1</f>
        <v>24</v>
      </c>
      <c r="AX25">
        <f>'Backlog Baseline'!AX25*1</f>
        <v>0</v>
      </c>
      <c r="AZ25">
        <f t="shared" si="1"/>
        <v>0</v>
      </c>
      <c r="BA25">
        <f t="shared" si="1"/>
        <v>0</v>
      </c>
      <c r="BB25">
        <f t="shared" si="1"/>
        <v>24</v>
      </c>
      <c r="BC25">
        <f t="shared" si="1"/>
        <v>0</v>
      </c>
    </row>
    <row r="26" spans="1:55" x14ac:dyDescent="0.35">
      <c r="A26">
        <v>24</v>
      </c>
      <c r="B26">
        <f>'Backlog Baseline'!B26*1</f>
        <v>0</v>
      </c>
      <c r="C26">
        <f>'Backlog Baseline'!C26*1</f>
        <v>0</v>
      </c>
      <c r="D26">
        <f>'Backlog Baseline'!D26*1</f>
        <v>0</v>
      </c>
      <c r="E26">
        <f>'Backlog Baseline'!E26*1</f>
        <v>0</v>
      </c>
      <c r="G26">
        <f>'Backlog Baseline'!G26*1</f>
        <v>0</v>
      </c>
      <c r="H26">
        <f>'Backlog Baseline'!H26*1</f>
        <v>0</v>
      </c>
      <c r="I26">
        <f>'Backlog Baseline'!I26*1</f>
        <v>0</v>
      </c>
      <c r="J26">
        <f>'Backlog Baseline'!J26*1</f>
        <v>0</v>
      </c>
      <c r="L26">
        <f>'Backlog Baseline'!L26*1</f>
        <v>0</v>
      </c>
      <c r="M26">
        <f>'Backlog Baseline'!M26*1</f>
        <v>0</v>
      </c>
      <c r="N26">
        <f>'Backlog Baseline'!N26*1</f>
        <v>0</v>
      </c>
      <c r="O26">
        <f>'Backlog Baseline'!O26*1</f>
        <v>0</v>
      </c>
      <c r="Q26">
        <f>'Backlog Baseline'!Q26*1</f>
        <v>0</v>
      </c>
      <c r="R26">
        <f>'Backlog Baseline'!R26*1</f>
        <v>0</v>
      </c>
      <c r="S26">
        <f>'Backlog Baseline'!S26*1</f>
        <v>0</v>
      </c>
      <c r="T26">
        <f>'Backlog Baseline'!T26*1</f>
        <v>0</v>
      </c>
      <c r="V26">
        <f>'Backlog Baseline'!V26*1</f>
        <v>0</v>
      </c>
      <c r="W26">
        <f>'Backlog Baseline'!W26*1</f>
        <v>0</v>
      </c>
      <c r="X26">
        <f>'Backlog Baseline'!X26*1</f>
        <v>0</v>
      </c>
      <c r="Y26">
        <f>'Backlog Baseline'!Y26*1</f>
        <v>0</v>
      </c>
      <c r="AA26">
        <f>'Backlog Baseline'!AA26*1</f>
        <v>0</v>
      </c>
      <c r="AB26">
        <f>'Backlog Baseline'!AB26*1</f>
        <v>0</v>
      </c>
      <c r="AC26">
        <f>'Backlog Baseline'!AC26*1</f>
        <v>0</v>
      </c>
      <c r="AD26">
        <f>'Backlog Baseline'!AD26*1</f>
        <v>0</v>
      </c>
      <c r="AF26">
        <f>'Backlog Baseline'!AF26*1</f>
        <v>0</v>
      </c>
      <c r="AG26">
        <f>'Backlog Baseline'!AG26*1</f>
        <v>0</v>
      </c>
      <c r="AH26">
        <f>'Backlog Baseline'!AH26*1</f>
        <v>0</v>
      </c>
      <c r="AI26">
        <f>'Backlog Baseline'!AI26*1</f>
        <v>0</v>
      </c>
      <c r="AK26">
        <f>'Backlog Baseline'!AK26*1</f>
        <v>0</v>
      </c>
      <c r="AL26">
        <f>'Backlog Baseline'!AL26*1</f>
        <v>0</v>
      </c>
      <c r="AM26">
        <f>'Backlog Baseline'!AM26*1</f>
        <v>0</v>
      </c>
      <c r="AN26">
        <f>'Backlog Baseline'!AN26*1</f>
        <v>0</v>
      </c>
      <c r="AP26">
        <f>'Backlog Baseline'!AP26*1</f>
        <v>0</v>
      </c>
      <c r="AQ26">
        <f>'Backlog Baseline'!AQ26*1</f>
        <v>0</v>
      </c>
      <c r="AR26">
        <f>'Backlog Baseline'!AR26*1</f>
        <v>0</v>
      </c>
      <c r="AS26">
        <f>'Backlog Baseline'!AS26*1</f>
        <v>0</v>
      </c>
      <c r="AU26">
        <f>'Backlog Baseline'!AU26*1</f>
        <v>0</v>
      </c>
      <c r="AV26">
        <f>'Backlog Baseline'!AV26*1</f>
        <v>0</v>
      </c>
      <c r="AW26">
        <f>'Backlog Baseline'!AW26*1</f>
        <v>0</v>
      </c>
      <c r="AX26">
        <f>'Backlog Baseline'!AX26*1</f>
        <v>0</v>
      </c>
      <c r="AZ26">
        <f t="shared" si="1"/>
        <v>0</v>
      </c>
      <c r="BA26">
        <f t="shared" si="1"/>
        <v>0</v>
      </c>
      <c r="BB26">
        <f t="shared" si="1"/>
        <v>0</v>
      </c>
      <c r="BC26">
        <f t="shared" si="1"/>
        <v>0</v>
      </c>
    </row>
    <row r="27" spans="1:55" x14ac:dyDescent="0.35">
      <c r="A27">
        <v>25</v>
      </c>
      <c r="B27">
        <f>'Backlog Baseline'!B27*1</f>
        <v>0</v>
      </c>
      <c r="C27">
        <f>'Backlog Baseline'!C27*1</f>
        <v>0</v>
      </c>
      <c r="D27">
        <f>'Backlog Baseline'!D27*1</f>
        <v>0</v>
      </c>
      <c r="E27">
        <f>'Backlog Baseline'!E27*1</f>
        <v>0</v>
      </c>
      <c r="G27">
        <f>'Backlog Baseline'!G27*1</f>
        <v>0</v>
      </c>
      <c r="H27">
        <f>'Backlog Baseline'!H27*1</f>
        <v>0</v>
      </c>
      <c r="I27">
        <f>'Backlog Baseline'!I27*1</f>
        <v>0</v>
      </c>
      <c r="J27">
        <f>'Backlog Baseline'!J27*1</f>
        <v>0</v>
      </c>
      <c r="L27">
        <f>'Backlog Baseline'!L27*1</f>
        <v>0</v>
      </c>
      <c r="M27">
        <f>'Backlog Baseline'!M27*1</f>
        <v>0</v>
      </c>
      <c r="N27">
        <f>'Backlog Baseline'!N27*1</f>
        <v>0</v>
      </c>
      <c r="O27">
        <f>'Backlog Baseline'!O27*1</f>
        <v>0</v>
      </c>
      <c r="Q27">
        <f>'Backlog Baseline'!Q27*1</f>
        <v>0</v>
      </c>
      <c r="R27">
        <f>'Backlog Baseline'!R27*1</f>
        <v>0</v>
      </c>
      <c r="S27">
        <f>'Backlog Baseline'!S27*1</f>
        <v>0</v>
      </c>
      <c r="T27">
        <f>'Backlog Baseline'!T27*1</f>
        <v>0</v>
      </c>
      <c r="V27">
        <f>'Backlog Baseline'!V27*1</f>
        <v>0</v>
      </c>
      <c r="W27">
        <f>'Backlog Baseline'!W27*1</f>
        <v>0</v>
      </c>
      <c r="X27">
        <f>'Backlog Baseline'!X27*1</f>
        <v>0</v>
      </c>
      <c r="Y27">
        <f>'Backlog Baseline'!Y27*1</f>
        <v>0</v>
      </c>
      <c r="AA27">
        <f>'Backlog Baseline'!AA27*1</f>
        <v>0</v>
      </c>
      <c r="AB27">
        <f>'Backlog Baseline'!AB27*1</f>
        <v>0</v>
      </c>
      <c r="AC27">
        <f>'Backlog Baseline'!AC27*1</f>
        <v>0</v>
      </c>
      <c r="AD27">
        <f>'Backlog Baseline'!AD27*1</f>
        <v>0</v>
      </c>
      <c r="AF27">
        <f>'Backlog Baseline'!AF27*1</f>
        <v>0</v>
      </c>
      <c r="AG27">
        <f>'Backlog Baseline'!AG27*1</f>
        <v>0</v>
      </c>
      <c r="AH27">
        <f>'Backlog Baseline'!AH27*1</f>
        <v>0</v>
      </c>
      <c r="AI27">
        <f>'Backlog Baseline'!AI27*1</f>
        <v>0</v>
      </c>
      <c r="AK27">
        <f>'Backlog Baseline'!AK27*1</f>
        <v>0</v>
      </c>
      <c r="AL27">
        <f>'Backlog Baseline'!AL27*1</f>
        <v>0</v>
      </c>
      <c r="AM27">
        <f>'Backlog Baseline'!AM27*1</f>
        <v>0</v>
      </c>
      <c r="AN27">
        <f>'Backlog Baseline'!AN27*1</f>
        <v>0</v>
      </c>
      <c r="AP27">
        <f>'Backlog Baseline'!AP27*1</f>
        <v>0</v>
      </c>
      <c r="AQ27">
        <f>'Backlog Baseline'!AQ27*1</f>
        <v>0</v>
      </c>
      <c r="AR27">
        <f>'Backlog Baseline'!AR27*1</f>
        <v>0</v>
      </c>
      <c r="AS27">
        <f>'Backlog Baseline'!AS27*1</f>
        <v>0</v>
      </c>
      <c r="AU27">
        <f>'Backlog Baseline'!AU27*1</f>
        <v>0</v>
      </c>
      <c r="AV27">
        <f>'Backlog Baseline'!AV27*1</f>
        <v>0</v>
      </c>
      <c r="AW27">
        <f>'Backlog Baseline'!AW27*1</f>
        <v>0</v>
      </c>
      <c r="AX27">
        <f>'Backlog Baseline'!AX27*1</f>
        <v>0</v>
      </c>
      <c r="AZ27">
        <f t="shared" si="1"/>
        <v>0</v>
      </c>
      <c r="BA27">
        <f t="shared" si="1"/>
        <v>0</v>
      </c>
      <c r="BB27">
        <f t="shared" si="1"/>
        <v>0</v>
      </c>
      <c r="BC27">
        <f t="shared" si="1"/>
        <v>0</v>
      </c>
    </row>
    <row r="28" spans="1:55" x14ac:dyDescent="0.35">
      <c r="A28">
        <v>26</v>
      </c>
      <c r="B28">
        <f>'Backlog Baseline'!B28*1</f>
        <v>0</v>
      </c>
      <c r="C28">
        <f>'Backlog Baseline'!C28*1</f>
        <v>0</v>
      </c>
      <c r="D28">
        <f>'Backlog Baseline'!D28*1</f>
        <v>0</v>
      </c>
      <c r="E28">
        <f>'Backlog Baseline'!E28*1</f>
        <v>0</v>
      </c>
      <c r="G28">
        <f>'Backlog Baseline'!G28*1</f>
        <v>0</v>
      </c>
      <c r="H28">
        <f>'Backlog Baseline'!H28*1</f>
        <v>0</v>
      </c>
      <c r="I28">
        <f>'Backlog Baseline'!I28*1</f>
        <v>0</v>
      </c>
      <c r="J28">
        <f>'Backlog Baseline'!J28*1</f>
        <v>0</v>
      </c>
      <c r="L28">
        <f>'Backlog Baseline'!L28*1</f>
        <v>0</v>
      </c>
      <c r="M28">
        <f>'Backlog Baseline'!M28*1</f>
        <v>0</v>
      </c>
      <c r="N28">
        <f>'Backlog Baseline'!N28*1</f>
        <v>0</v>
      </c>
      <c r="O28">
        <f>'Backlog Baseline'!O28*1</f>
        <v>0</v>
      </c>
      <c r="Q28">
        <f>'Backlog Baseline'!Q28*1</f>
        <v>0</v>
      </c>
      <c r="R28">
        <f>'Backlog Baseline'!R28*1</f>
        <v>0</v>
      </c>
      <c r="S28">
        <f>'Backlog Baseline'!S28*1</f>
        <v>0</v>
      </c>
      <c r="T28">
        <f>'Backlog Baseline'!T28*1</f>
        <v>0</v>
      </c>
      <c r="V28">
        <f>'Backlog Baseline'!V28*1</f>
        <v>0</v>
      </c>
      <c r="W28">
        <f>'Backlog Baseline'!W28*1</f>
        <v>0</v>
      </c>
      <c r="X28">
        <f>'Backlog Baseline'!X28*1</f>
        <v>0</v>
      </c>
      <c r="Y28">
        <f>'Backlog Baseline'!Y28*1</f>
        <v>0</v>
      </c>
      <c r="AA28">
        <f>'Backlog Baseline'!AA28*1</f>
        <v>0</v>
      </c>
      <c r="AB28">
        <f>'Backlog Baseline'!AB28*1</f>
        <v>0</v>
      </c>
      <c r="AC28">
        <f>'Backlog Baseline'!AC28*1</f>
        <v>0</v>
      </c>
      <c r="AD28">
        <f>'Backlog Baseline'!AD28*1</f>
        <v>0</v>
      </c>
      <c r="AF28">
        <f>'Backlog Baseline'!AF28*1</f>
        <v>0</v>
      </c>
      <c r="AG28">
        <f>'Backlog Baseline'!AG28*1</f>
        <v>0</v>
      </c>
      <c r="AH28">
        <f>'Backlog Baseline'!AH28*1</f>
        <v>0</v>
      </c>
      <c r="AI28">
        <f>'Backlog Baseline'!AI28*1</f>
        <v>0</v>
      </c>
      <c r="AK28">
        <f>'Backlog Baseline'!AK28*1</f>
        <v>0</v>
      </c>
      <c r="AL28">
        <f>'Backlog Baseline'!AL28*1</f>
        <v>0</v>
      </c>
      <c r="AM28">
        <f>'Backlog Baseline'!AM28*1</f>
        <v>0</v>
      </c>
      <c r="AN28">
        <f>'Backlog Baseline'!AN28*1</f>
        <v>0</v>
      </c>
      <c r="AP28">
        <f>'Backlog Baseline'!AP28*1</f>
        <v>0</v>
      </c>
      <c r="AQ28">
        <f>'Backlog Baseline'!AQ28*1</f>
        <v>0</v>
      </c>
      <c r="AR28">
        <f>'Backlog Baseline'!AR28*1</f>
        <v>0</v>
      </c>
      <c r="AS28">
        <f>'Backlog Baseline'!AS28*1</f>
        <v>0</v>
      </c>
      <c r="AU28">
        <f>'Backlog Baseline'!AU28*1</f>
        <v>0</v>
      </c>
      <c r="AV28">
        <f>'Backlog Baseline'!AV28*1</f>
        <v>0</v>
      </c>
      <c r="AW28">
        <f>'Backlog Baseline'!AW28*1</f>
        <v>0</v>
      </c>
      <c r="AX28">
        <f>'Backlog Baseline'!AX28*1</f>
        <v>0</v>
      </c>
      <c r="AZ28">
        <f t="shared" si="1"/>
        <v>0</v>
      </c>
      <c r="BA28">
        <f t="shared" si="1"/>
        <v>0</v>
      </c>
      <c r="BB28">
        <f t="shared" si="1"/>
        <v>0</v>
      </c>
      <c r="BC28">
        <f t="shared" si="1"/>
        <v>0</v>
      </c>
    </row>
    <row r="29" spans="1:55" x14ac:dyDescent="0.35">
      <c r="A29">
        <v>27</v>
      </c>
      <c r="B29">
        <f>'Backlog Baseline'!B29*1</f>
        <v>0</v>
      </c>
      <c r="C29">
        <f>'Backlog Baseline'!C29*1</f>
        <v>0</v>
      </c>
      <c r="D29">
        <f>'Backlog Baseline'!D29*1</f>
        <v>0</v>
      </c>
      <c r="E29">
        <f>'Backlog Baseline'!E29*1</f>
        <v>0</v>
      </c>
      <c r="G29">
        <f>'Backlog Baseline'!G29*1</f>
        <v>0</v>
      </c>
      <c r="H29">
        <f>'Backlog Baseline'!H29*1</f>
        <v>0</v>
      </c>
      <c r="I29">
        <f>'Backlog Baseline'!I29*1</f>
        <v>0</v>
      </c>
      <c r="J29">
        <f>'Backlog Baseline'!J29*1</f>
        <v>0</v>
      </c>
      <c r="L29">
        <f>'Backlog Baseline'!L29*1</f>
        <v>0</v>
      </c>
      <c r="M29">
        <f>'Backlog Baseline'!M29*1</f>
        <v>0</v>
      </c>
      <c r="N29">
        <f>'Backlog Baseline'!N29*1</f>
        <v>0</v>
      </c>
      <c r="O29">
        <f>'Backlog Baseline'!O29*1</f>
        <v>0</v>
      </c>
      <c r="Q29">
        <f>'Backlog Baseline'!Q29*1</f>
        <v>0</v>
      </c>
      <c r="R29">
        <f>'Backlog Baseline'!R29*1</f>
        <v>0</v>
      </c>
      <c r="S29">
        <f>'Backlog Baseline'!S29*1</f>
        <v>0</v>
      </c>
      <c r="T29">
        <f>'Backlog Baseline'!T29*1</f>
        <v>0</v>
      </c>
      <c r="V29">
        <f>'Backlog Baseline'!V29*1</f>
        <v>0</v>
      </c>
      <c r="W29">
        <f>'Backlog Baseline'!W29*1</f>
        <v>0</v>
      </c>
      <c r="X29">
        <f>'Backlog Baseline'!X29*1</f>
        <v>0</v>
      </c>
      <c r="Y29">
        <f>'Backlog Baseline'!Y29*1</f>
        <v>0</v>
      </c>
      <c r="AA29">
        <f>'Backlog Baseline'!AA29*1</f>
        <v>0</v>
      </c>
      <c r="AB29">
        <f>'Backlog Baseline'!AB29*1</f>
        <v>0</v>
      </c>
      <c r="AC29">
        <f>'Backlog Baseline'!AC29*1</f>
        <v>0</v>
      </c>
      <c r="AD29">
        <f>'Backlog Baseline'!AD29*1</f>
        <v>0</v>
      </c>
      <c r="AF29">
        <f>'Backlog Baseline'!AF29*1</f>
        <v>0</v>
      </c>
      <c r="AG29">
        <f>'Backlog Baseline'!AG29*1</f>
        <v>0</v>
      </c>
      <c r="AH29">
        <f>'Backlog Baseline'!AH29*1</f>
        <v>0</v>
      </c>
      <c r="AI29">
        <f>'Backlog Baseline'!AI29*1</f>
        <v>0</v>
      </c>
      <c r="AK29">
        <f>'Backlog Baseline'!AK29*1</f>
        <v>0</v>
      </c>
      <c r="AL29">
        <f>'Backlog Baseline'!AL29*1</f>
        <v>0</v>
      </c>
      <c r="AM29">
        <f>'Backlog Baseline'!AM29*1</f>
        <v>0</v>
      </c>
      <c r="AN29">
        <f>'Backlog Baseline'!AN29*1</f>
        <v>0</v>
      </c>
      <c r="AP29">
        <f>'Backlog Baseline'!AP29*1</f>
        <v>0</v>
      </c>
      <c r="AQ29">
        <f>'Backlog Baseline'!AQ29*1</f>
        <v>0</v>
      </c>
      <c r="AR29">
        <f>'Backlog Baseline'!AR29*1</f>
        <v>0</v>
      </c>
      <c r="AS29">
        <f>'Backlog Baseline'!AS29*1</f>
        <v>0</v>
      </c>
      <c r="AU29">
        <f>'Backlog Baseline'!AU29*1</f>
        <v>0</v>
      </c>
      <c r="AV29">
        <f>'Backlog Baseline'!AV29*1</f>
        <v>0</v>
      </c>
      <c r="AW29">
        <f>'Backlog Baseline'!AW29*1</f>
        <v>0</v>
      </c>
      <c r="AX29">
        <f>'Backlog Baseline'!AX29*1</f>
        <v>0</v>
      </c>
      <c r="AZ29">
        <f t="shared" si="1"/>
        <v>0</v>
      </c>
      <c r="BA29">
        <f t="shared" si="1"/>
        <v>0</v>
      </c>
      <c r="BB29">
        <f t="shared" si="1"/>
        <v>0</v>
      </c>
      <c r="BC29">
        <f t="shared" si="1"/>
        <v>0</v>
      </c>
    </row>
    <row r="30" spans="1:55" x14ac:dyDescent="0.35">
      <c r="A30">
        <v>28</v>
      </c>
      <c r="B30">
        <f>'Backlog Baseline'!B30*1</f>
        <v>0</v>
      </c>
      <c r="C30">
        <f>'Backlog Baseline'!C30*1</f>
        <v>0</v>
      </c>
      <c r="D30">
        <f>'Backlog Baseline'!D30*1</f>
        <v>0</v>
      </c>
      <c r="E30">
        <f>'Backlog Baseline'!E30*1</f>
        <v>0</v>
      </c>
      <c r="G30">
        <f>'Backlog Baseline'!G30*1</f>
        <v>0</v>
      </c>
      <c r="H30">
        <f>'Backlog Baseline'!H30*1</f>
        <v>0</v>
      </c>
      <c r="I30">
        <f>'Backlog Baseline'!I30*1</f>
        <v>0</v>
      </c>
      <c r="J30">
        <f>'Backlog Baseline'!J30*1</f>
        <v>0</v>
      </c>
      <c r="L30">
        <f>'Backlog Baseline'!L30*1</f>
        <v>0</v>
      </c>
      <c r="M30">
        <f>'Backlog Baseline'!M30*1</f>
        <v>0</v>
      </c>
      <c r="N30">
        <f>'Backlog Baseline'!N30*1</f>
        <v>0</v>
      </c>
      <c r="O30">
        <f>'Backlog Baseline'!O30*1</f>
        <v>0</v>
      </c>
      <c r="Q30">
        <f>'Backlog Baseline'!Q30*1</f>
        <v>0</v>
      </c>
      <c r="R30">
        <f>'Backlog Baseline'!R30*1</f>
        <v>0</v>
      </c>
      <c r="S30">
        <f>'Backlog Baseline'!S30*1</f>
        <v>0</v>
      </c>
      <c r="T30">
        <f>'Backlog Baseline'!T30*1</f>
        <v>0</v>
      </c>
      <c r="V30">
        <f>'Backlog Baseline'!V30*1</f>
        <v>0</v>
      </c>
      <c r="W30">
        <f>'Backlog Baseline'!W30*1</f>
        <v>0</v>
      </c>
      <c r="X30">
        <f>'Backlog Baseline'!X30*1</f>
        <v>0</v>
      </c>
      <c r="Y30">
        <f>'Backlog Baseline'!Y30*1</f>
        <v>0</v>
      </c>
      <c r="AA30">
        <f>'Backlog Baseline'!AA30*1</f>
        <v>0</v>
      </c>
      <c r="AB30">
        <f>'Backlog Baseline'!AB30*1</f>
        <v>0</v>
      </c>
      <c r="AC30">
        <f>'Backlog Baseline'!AC30*1</f>
        <v>0</v>
      </c>
      <c r="AD30">
        <f>'Backlog Baseline'!AD30*1</f>
        <v>0</v>
      </c>
      <c r="AF30">
        <f>'Backlog Baseline'!AF30*1</f>
        <v>0</v>
      </c>
      <c r="AG30">
        <f>'Backlog Baseline'!AG30*1</f>
        <v>0</v>
      </c>
      <c r="AH30">
        <f>'Backlog Baseline'!AH30*1</f>
        <v>0</v>
      </c>
      <c r="AI30">
        <f>'Backlog Baseline'!AI30*1</f>
        <v>0</v>
      </c>
      <c r="AK30">
        <f>'Backlog Baseline'!AK30*1</f>
        <v>0</v>
      </c>
      <c r="AL30">
        <f>'Backlog Baseline'!AL30*1</f>
        <v>0</v>
      </c>
      <c r="AM30">
        <f>'Backlog Baseline'!AM30*1</f>
        <v>0</v>
      </c>
      <c r="AN30">
        <f>'Backlog Baseline'!AN30*1</f>
        <v>0</v>
      </c>
      <c r="AP30">
        <f>'Backlog Baseline'!AP30*1</f>
        <v>0</v>
      </c>
      <c r="AQ30">
        <f>'Backlog Baseline'!AQ30*1</f>
        <v>0</v>
      </c>
      <c r="AR30">
        <f>'Backlog Baseline'!AR30*1</f>
        <v>0</v>
      </c>
      <c r="AS30">
        <f>'Backlog Baseline'!AS30*1</f>
        <v>0</v>
      </c>
      <c r="AU30">
        <f>'Backlog Baseline'!AU30*1</f>
        <v>0</v>
      </c>
      <c r="AV30">
        <f>'Backlog Baseline'!AV30*1</f>
        <v>0</v>
      </c>
      <c r="AW30">
        <f>'Backlog Baseline'!AW30*1</f>
        <v>0</v>
      </c>
      <c r="AX30">
        <f>'Backlog Baseline'!AX30*1</f>
        <v>0</v>
      </c>
      <c r="AZ30">
        <f t="shared" si="1"/>
        <v>0</v>
      </c>
      <c r="BA30">
        <f t="shared" si="1"/>
        <v>0</v>
      </c>
      <c r="BB30">
        <f t="shared" si="1"/>
        <v>0</v>
      </c>
      <c r="BC30">
        <f t="shared" si="1"/>
        <v>0</v>
      </c>
    </row>
    <row r="31" spans="1:55" x14ac:dyDescent="0.35">
      <c r="A31">
        <v>29</v>
      </c>
      <c r="B31">
        <f>'Backlog Baseline'!B31*1</f>
        <v>0</v>
      </c>
      <c r="C31">
        <f>'Backlog Baseline'!C31*1</f>
        <v>0</v>
      </c>
      <c r="D31">
        <f>'Backlog Baseline'!D31*1</f>
        <v>0</v>
      </c>
      <c r="E31">
        <f>'Backlog Baseline'!E31*1</f>
        <v>0</v>
      </c>
      <c r="G31">
        <f>'Backlog Baseline'!G31*1</f>
        <v>0</v>
      </c>
      <c r="H31">
        <f>'Backlog Baseline'!H31*1</f>
        <v>0</v>
      </c>
      <c r="I31">
        <f>'Backlog Baseline'!I31*1</f>
        <v>0</v>
      </c>
      <c r="J31">
        <f>'Backlog Baseline'!J31*1</f>
        <v>0</v>
      </c>
      <c r="L31">
        <f>'Backlog Baseline'!L31*1</f>
        <v>0</v>
      </c>
      <c r="M31">
        <f>'Backlog Baseline'!M31*1</f>
        <v>0</v>
      </c>
      <c r="N31">
        <f>'Backlog Baseline'!N31*1</f>
        <v>0</v>
      </c>
      <c r="O31">
        <f>'Backlog Baseline'!O31*1</f>
        <v>0</v>
      </c>
      <c r="Q31">
        <f>'Backlog Baseline'!Q31*1</f>
        <v>0</v>
      </c>
      <c r="R31">
        <f>'Backlog Baseline'!R31*1</f>
        <v>0</v>
      </c>
      <c r="S31">
        <f>'Backlog Baseline'!S31*1</f>
        <v>0</v>
      </c>
      <c r="T31">
        <f>'Backlog Baseline'!T31*1</f>
        <v>0</v>
      </c>
      <c r="V31">
        <f>'Backlog Baseline'!V31*1</f>
        <v>0</v>
      </c>
      <c r="W31">
        <f>'Backlog Baseline'!W31*1</f>
        <v>0</v>
      </c>
      <c r="X31">
        <f>'Backlog Baseline'!X31*1</f>
        <v>0</v>
      </c>
      <c r="Y31">
        <f>'Backlog Baseline'!Y31*1</f>
        <v>0</v>
      </c>
      <c r="AA31">
        <f>'Backlog Baseline'!AA31*1</f>
        <v>0</v>
      </c>
      <c r="AB31">
        <f>'Backlog Baseline'!AB31*1</f>
        <v>0</v>
      </c>
      <c r="AC31">
        <f>'Backlog Baseline'!AC31*1</f>
        <v>0</v>
      </c>
      <c r="AD31">
        <f>'Backlog Baseline'!AD31*1</f>
        <v>0</v>
      </c>
      <c r="AF31">
        <f>'Backlog Baseline'!AF31*1</f>
        <v>0</v>
      </c>
      <c r="AG31">
        <f>'Backlog Baseline'!AG31*1</f>
        <v>0</v>
      </c>
      <c r="AH31">
        <f>'Backlog Baseline'!AH31*1</f>
        <v>0</v>
      </c>
      <c r="AI31">
        <f>'Backlog Baseline'!AI31*1</f>
        <v>0</v>
      </c>
      <c r="AK31">
        <f>'Backlog Baseline'!AK31*1</f>
        <v>0</v>
      </c>
      <c r="AL31">
        <f>'Backlog Baseline'!AL31*1</f>
        <v>0</v>
      </c>
      <c r="AM31">
        <f>'Backlog Baseline'!AM31*1</f>
        <v>0</v>
      </c>
      <c r="AN31">
        <f>'Backlog Baseline'!AN31*1</f>
        <v>0</v>
      </c>
      <c r="AP31">
        <f>'Backlog Baseline'!AP31*1</f>
        <v>0</v>
      </c>
      <c r="AQ31">
        <f>'Backlog Baseline'!AQ31*1</f>
        <v>0</v>
      </c>
      <c r="AR31">
        <f>'Backlog Baseline'!AR31*1</f>
        <v>0</v>
      </c>
      <c r="AS31">
        <f>'Backlog Baseline'!AS31*1</f>
        <v>0</v>
      </c>
      <c r="AU31">
        <f>'Backlog Baseline'!AU31*1</f>
        <v>0</v>
      </c>
      <c r="AV31">
        <f>'Backlog Baseline'!AV31*1</f>
        <v>0</v>
      </c>
      <c r="AW31">
        <f>'Backlog Baseline'!AW31*1</f>
        <v>0</v>
      </c>
      <c r="AX31">
        <f>'Backlog Baseline'!AX31*1</f>
        <v>0</v>
      </c>
      <c r="AZ31">
        <f t="shared" si="1"/>
        <v>0</v>
      </c>
      <c r="BA31">
        <f t="shared" si="1"/>
        <v>0</v>
      </c>
      <c r="BB31">
        <f t="shared" si="1"/>
        <v>0</v>
      </c>
      <c r="BC31">
        <f t="shared" si="1"/>
        <v>0</v>
      </c>
    </row>
    <row r="32" spans="1:55" x14ac:dyDescent="0.35">
      <c r="A32">
        <v>30</v>
      </c>
      <c r="B32">
        <f>'Backlog Baseline'!B32*1</f>
        <v>0</v>
      </c>
      <c r="C32">
        <f>'Backlog Baseline'!C32*1</f>
        <v>0</v>
      </c>
      <c r="D32">
        <f>'Backlog Baseline'!D32*1</f>
        <v>1</v>
      </c>
      <c r="E32">
        <f>'Backlog Baseline'!E32*1</f>
        <v>0</v>
      </c>
      <c r="G32">
        <f>'Backlog Baseline'!G32*1</f>
        <v>0</v>
      </c>
      <c r="H32">
        <f>'Backlog Baseline'!H32*1</f>
        <v>0</v>
      </c>
      <c r="I32">
        <f>'Backlog Baseline'!I32*1</f>
        <v>1</v>
      </c>
      <c r="J32">
        <f>'Backlog Baseline'!J32*1</f>
        <v>0</v>
      </c>
      <c r="L32">
        <f>'Backlog Baseline'!L32*1</f>
        <v>0</v>
      </c>
      <c r="M32">
        <f>'Backlog Baseline'!M32*1</f>
        <v>0</v>
      </c>
      <c r="N32">
        <f>'Backlog Baseline'!N32*1</f>
        <v>1</v>
      </c>
      <c r="O32">
        <f>'Backlog Baseline'!O32*1</f>
        <v>0</v>
      </c>
      <c r="Q32">
        <f>'Backlog Baseline'!Q32*1</f>
        <v>0</v>
      </c>
      <c r="R32">
        <f>'Backlog Baseline'!R32*1</f>
        <v>0</v>
      </c>
      <c r="S32">
        <f>'Backlog Baseline'!S32*1</f>
        <v>1</v>
      </c>
      <c r="T32">
        <f>'Backlog Baseline'!T32*1</f>
        <v>0</v>
      </c>
      <c r="V32">
        <f>'Backlog Baseline'!V32*1</f>
        <v>0</v>
      </c>
      <c r="W32">
        <f>'Backlog Baseline'!W32*1</f>
        <v>0</v>
      </c>
      <c r="X32">
        <f>'Backlog Baseline'!X32*1</f>
        <v>1</v>
      </c>
      <c r="Y32">
        <f>'Backlog Baseline'!Y32*1</f>
        <v>0</v>
      </c>
      <c r="AA32">
        <f>'Backlog Baseline'!AA32*1</f>
        <v>0</v>
      </c>
      <c r="AB32">
        <f>'Backlog Baseline'!AB32*1</f>
        <v>0</v>
      </c>
      <c r="AC32">
        <f>'Backlog Baseline'!AC32*1</f>
        <v>1</v>
      </c>
      <c r="AD32">
        <f>'Backlog Baseline'!AD32*1</f>
        <v>0</v>
      </c>
      <c r="AF32">
        <f>'Backlog Baseline'!AF32*1</f>
        <v>0</v>
      </c>
      <c r="AG32">
        <f>'Backlog Baseline'!AG32*1</f>
        <v>0</v>
      </c>
      <c r="AH32">
        <f>'Backlog Baseline'!AH32*1</f>
        <v>1</v>
      </c>
      <c r="AI32">
        <f>'Backlog Baseline'!AI32*1</f>
        <v>0</v>
      </c>
      <c r="AK32">
        <f>'Backlog Baseline'!AK32*1</f>
        <v>0</v>
      </c>
      <c r="AL32">
        <f>'Backlog Baseline'!AL32*1</f>
        <v>0</v>
      </c>
      <c r="AM32">
        <f>'Backlog Baseline'!AM32*1</f>
        <v>1</v>
      </c>
      <c r="AN32">
        <f>'Backlog Baseline'!AN32*1</f>
        <v>0</v>
      </c>
      <c r="AP32">
        <f>'Backlog Baseline'!AP32*1</f>
        <v>0</v>
      </c>
      <c r="AQ32">
        <f>'Backlog Baseline'!AQ32*1</f>
        <v>0</v>
      </c>
      <c r="AR32">
        <f>'Backlog Baseline'!AR32*1</f>
        <v>1</v>
      </c>
      <c r="AS32">
        <f>'Backlog Baseline'!AS32*1</f>
        <v>0</v>
      </c>
      <c r="AU32">
        <f>'Backlog Baseline'!AU32*1</f>
        <v>0</v>
      </c>
      <c r="AV32">
        <f>'Backlog Baseline'!AV32*1</f>
        <v>0</v>
      </c>
      <c r="AW32">
        <f>'Backlog Baseline'!AW32*1</f>
        <v>1</v>
      </c>
      <c r="AX32">
        <f>'Backlog Baseline'!AX32*1</f>
        <v>0</v>
      </c>
      <c r="AZ32">
        <f t="shared" si="1"/>
        <v>0</v>
      </c>
      <c r="BA32">
        <f t="shared" si="1"/>
        <v>0</v>
      </c>
      <c r="BB32">
        <f t="shared" si="1"/>
        <v>1</v>
      </c>
      <c r="BC32">
        <f t="shared" si="1"/>
        <v>0</v>
      </c>
    </row>
    <row r="33" spans="1:56" x14ac:dyDescent="0.35">
      <c r="A33">
        <v>31</v>
      </c>
      <c r="B33">
        <f>'Backlog Baseline'!B33*1</f>
        <v>0</v>
      </c>
      <c r="C33">
        <f>'Backlog Baseline'!C33*1</f>
        <v>0</v>
      </c>
      <c r="D33">
        <f>'Backlog Baseline'!D33*1</f>
        <v>2</v>
      </c>
      <c r="E33">
        <f>'Backlog Baseline'!E33*1</f>
        <v>5</v>
      </c>
      <c r="G33">
        <f>'Backlog Baseline'!G33*1</f>
        <v>0</v>
      </c>
      <c r="H33">
        <f>'Backlog Baseline'!H33*1</f>
        <v>0</v>
      </c>
      <c r="I33">
        <f>'Backlog Baseline'!I33*1</f>
        <v>2</v>
      </c>
      <c r="J33">
        <f>'Backlog Baseline'!J33*1</f>
        <v>5</v>
      </c>
      <c r="L33">
        <f>'Backlog Baseline'!L33*1</f>
        <v>0</v>
      </c>
      <c r="M33">
        <f>'Backlog Baseline'!M33*1</f>
        <v>0</v>
      </c>
      <c r="N33">
        <f>'Backlog Baseline'!N33*1</f>
        <v>2</v>
      </c>
      <c r="O33">
        <f>'Backlog Baseline'!O33*1</f>
        <v>5</v>
      </c>
      <c r="Q33">
        <f>'Backlog Baseline'!Q33*1</f>
        <v>0</v>
      </c>
      <c r="R33">
        <f>'Backlog Baseline'!R33*1</f>
        <v>0</v>
      </c>
      <c r="S33">
        <f>'Backlog Baseline'!S33*1</f>
        <v>2</v>
      </c>
      <c r="T33">
        <f>'Backlog Baseline'!T33*1</f>
        <v>5</v>
      </c>
      <c r="V33">
        <f>'Backlog Baseline'!V33*1</f>
        <v>0</v>
      </c>
      <c r="W33">
        <f>'Backlog Baseline'!W33*1</f>
        <v>0</v>
      </c>
      <c r="X33">
        <f>'Backlog Baseline'!X33*1</f>
        <v>2</v>
      </c>
      <c r="Y33">
        <f>'Backlog Baseline'!Y33*1</f>
        <v>5</v>
      </c>
      <c r="AA33">
        <f>'Backlog Baseline'!AA33*1</f>
        <v>0</v>
      </c>
      <c r="AB33">
        <f>'Backlog Baseline'!AB33*1</f>
        <v>0</v>
      </c>
      <c r="AC33">
        <f>'Backlog Baseline'!AC33*1</f>
        <v>2</v>
      </c>
      <c r="AD33">
        <f>'Backlog Baseline'!AD33*1</f>
        <v>5</v>
      </c>
      <c r="AF33">
        <f>'Backlog Baseline'!AF33*1</f>
        <v>0</v>
      </c>
      <c r="AG33">
        <f>'Backlog Baseline'!AG33*1</f>
        <v>0</v>
      </c>
      <c r="AH33">
        <f>'Backlog Baseline'!AH33*1</f>
        <v>2</v>
      </c>
      <c r="AI33">
        <f>'Backlog Baseline'!AI33*1</f>
        <v>5</v>
      </c>
      <c r="AK33">
        <f>'Backlog Baseline'!AK33*1</f>
        <v>0</v>
      </c>
      <c r="AL33">
        <f>'Backlog Baseline'!AL33*1</f>
        <v>0</v>
      </c>
      <c r="AM33">
        <f>'Backlog Baseline'!AM33*1</f>
        <v>2</v>
      </c>
      <c r="AN33">
        <f>'Backlog Baseline'!AN33*1</f>
        <v>5</v>
      </c>
      <c r="AP33">
        <f>'Backlog Baseline'!AP33*1</f>
        <v>0</v>
      </c>
      <c r="AQ33">
        <f>'Backlog Baseline'!AQ33*1</f>
        <v>0</v>
      </c>
      <c r="AR33">
        <f>'Backlog Baseline'!AR33*1</f>
        <v>2</v>
      </c>
      <c r="AS33">
        <f>'Backlog Baseline'!AS33*1</f>
        <v>5</v>
      </c>
      <c r="AU33">
        <f>'Backlog Baseline'!AU33*1</f>
        <v>0</v>
      </c>
      <c r="AV33">
        <f>'Backlog Baseline'!AV33*1</f>
        <v>0</v>
      </c>
      <c r="AW33">
        <f>'Backlog Baseline'!AW33*1</f>
        <v>2</v>
      </c>
      <c r="AX33">
        <f>'Backlog Baseline'!AX33*1</f>
        <v>5</v>
      </c>
      <c r="AZ33">
        <f t="shared" si="1"/>
        <v>0</v>
      </c>
      <c r="BA33">
        <f t="shared" si="1"/>
        <v>0</v>
      </c>
      <c r="BB33">
        <f t="shared" si="1"/>
        <v>2</v>
      </c>
      <c r="BC33">
        <f t="shared" si="1"/>
        <v>5</v>
      </c>
    </row>
    <row r="34" spans="1:56" x14ac:dyDescent="0.35">
      <c r="A34">
        <v>32</v>
      </c>
      <c r="B34">
        <f>'Backlog Baseline'!B34*1</f>
        <v>0</v>
      </c>
      <c r="C34">
        <f>'Backlog Baseline'!C34*1</f>
        <v>0</v>
      </c>
      <c r="D34">
        <f>'Backlog Baseline'!D34*1</f>
        <v>2</v>
      </c>
      <c r="E34">
        <f>'Backlog Baseline'!E34*1</f>
        <v>10</v>
      </c>
      <c r="G34">
        <f>'Backlog Baseline'!G34*1</f>
        <v>0</v>
      </c>
      <c r="H34">
        <f>'Backlog Baseline'!H34*1</f>
        <v>0</v>
      </c>
      <c r="I34">
        <f>'Backlog Baseline'!I34*1</f>
        <v>2</v>
      </c>
      <c r="J34">
        <f>'Backlog Baseline'!J34*1</f>
        <v>10</v>
      </c>
      <c r="L34">
        <f>'Backlog Baseline'!L34*1</f>
        <v>0</v>
      </c>
      <c r="M34">
        <f>'Backlog Baseline'!M34*1</f>
        <v>0</v>
      </c>
      <c r="N34">
        <f>'Backlog Baseline'!N34*1</f>
        <v>2</v>
      </c>
      <c r="O34">
        <f>'Backlog Baseline'!O34*1</f>
        <v>10</v>
      </c>
      <c r="Q34">
        <f>'Backlog Baseline'!Q34*1</f>
        <v>0</v>
      </c>
      <c r="R34">
        <f>'Backlog Baseline'!R34*1</f>
        <v>0</v>
      </c>
      <c r="S34">
        <f>'Backlog Baseline'!S34*1</f>
        <v>2</v>
      </c>
      <c r="T34">
        <f>'Backlog Baseline'!T34*1</f>
        <v>10</v>
      </c>
      <c r="V34">
        <f>'Backlog Baseline'!V34*1</f>
        <v>0</v>
      </c>
      <c r="W34">
        <f>'Backlog Baseline'!W34*1</f>
        <v>0</v>
      </c>
      <c r="X34">
        <f>'Backlog Baseline'!X34*1</f>
        <v>2</v>
      </c>
      <c r="Y34">
        <f>'Backlog Baseline'!Y34*1</f>
        <v>10</v>
      </c>
      <c r="AA34">
        <f>'Backlog Baseline'!AA34*1</f>
        <v>0</v>
      </c>
      <c r="AB34">
        <f>'Backlog Baseline'!AB34*1</f>
        <v>0</v>
      </c>
      <c r="AC34">
        <f>'Backlog Baseline'!AC34*1</f>
        <v>2</v>
      </c>
      <c r="AD34">
        <f>'Backlog Baseline'!AD34*1</f>
        <v>10</v>
      </c>
      <c r="AF34">
        <f>'Backlog Baseline'!AF34*1</f>
        <v>0</v>
      </c>
      <c r="AG34">
        <f>'Backlog Baseline'!AG34*1</f>
        <v>0</v>
      </c>
      <c r="AH34">
        <f>'Backlog Baseline'!AH34*1</f>
        <v>2</v>
      </c>
      <c r="AI34">
        <f>'Backlog Baseline'!AI34*1</f>
        <v>10</v>
      </c>
      <c r="AK34">
        <f>'Backlog Baseline'!AK34*1</f>
        <v>0</v>
      </c>
      <c r="AL34">
        <f>'Backlog Baseline'!AL34*1</f>
        <v>0</v>
      </c>
      <c r="AM34">
        <f>'Backlog Baseline'!AM34*1</f>
        <v>2</v>
      </c>
      <c r="AN34">
        <f>'Backlog Baseline'!AN34*1</f>
        <v>10</v>
      </c>
      <c r="AP34">
        <f>'Backlog Baseline'!AP34*1</f>
        <v>0</v>
      </c>
      <c r="AQ34">
        <f>'Backlog Baseline'!AQ34*1</f>
        <v>0</v>
      </c>
      <c r="AR34">
        <f>'Backlog Baseline'!AR34*1</f>
        <v>2</v>
      </c>
      <c r="AS34">
        <f>'Backlog Baseline'!AS34*1</f>
        <v>10</v>
      </c>
      <c r="AU34">
        <f>'Backlog Baseline'!AU34*1</f>
        <v>0</v>
      </c>
      <c r="AV34">
        <f>'Backlog Baseline'!AV34*1</f>
        <v>0</v>
      </c>
      <c r="AW34">
        <f>'Backlog Baseline'!AW34*1</f>
        <v>2</v>
      </c>
      <c r="AX34">
        <f>'Backlog Baseline'!AX34*1</f>
        <v>10</v>
      </c>
      <c r="AZ34">
        <f t="shared" si="1"/>
        <v>0</v>
      </c>
      <c r="BA34">
        <f t="shared" si="1"/>
        <v>0</v>
      </c>
      <c r="BB34">
        <f t="shared" si="1"/>
        <v>2</v>
      </c>
      <c r="BC34">
        <f t="shared" si="1"/>
        <v>10</v>
      </c>
    </row>
    <row r="35" spans="1:56" x14ac:dyDescent="0.35">
      <c r="A35">
        <v>33</v>
      </c>
      <c r="B35">
        <f>'Backlog Baseline'!B35*1</f>
        <v>8</v>
      </c>
      <c r="C35">
        <f>'Backlog Baseline'!C35*1</f>
        <v>0</v>
      </c>
      <c r="D35">
        <f>'Backlog Baseline'!D35*1</f>
        <v>6</v>
      </c>
      <c r="E35">
        <f>'Backlog Baseline'!E35*1</f>
        <v>13</v>
      </c>
      <c r="G35">
        <f>'Backlog Baseline'!G35*1</f>
        <v>8</v>
      </c>
      <c r="H35">
        <f>'Backlog Baseline'!H35*1</f>
        <v>0</v>
      </c>
      <c r="I35">
        <f>'Backlog Baseline'!I35*1</f>
        <v>6</v>
      </c>
      <c r="J35">
        <f>'Backlog Baseline'!J35*1</f>
        <v>13</v>
      </c>
      <c r="L35">
        <f>'Backlog Baseline'!L35*1</f>
        <v>8</v>
      </c>
      <c r="M35">
        <f>'Backlog Baseline'!M35*1</f>
        <v>0</v>
      </c>
      <c r="N35">
        <f>'Backlog Baseline'!N35*1</f>
        <v>6</v>
      </c>
      <c r="O35">
        <f>'Backlog Baseline'!O35*1</f>
        <v>13</v>
      </c>
      <c r="Q35">
        <f>'Backlog Baseline'!Q35*1</f>
        <v>8</v>
      </c>
      <c r="R35">
        <f>'Backlog Baseline'!R35*1</f>
        <v>0</v>
      </c>
      <c r="S35">
        <f>'Backlog Baseline'!S35*1</f>
        <v>6</v>
      </c>
      <c r="T35">
        <f>'Backlog Baseline'!T35*1</f>
        <v>13</v>
      </c>
      <c r="V35">
        <f>'Backlog Baseline'!V35*1</f>
        <v>8</v>
      </c>
      <c r="W35">
        <f>'Backlog Baseline'!W35*1</f>
        <v>0</v>
      </c>
      <c r="X35">
        <f>'Backlog Baseline'!X35*1</f>
        <v>6</v>
      </c>
      <c r="Y35">
        <f>'Backlog Baseline'!Y35*1</f>
        <v>13</v>
      </c>
      <c r="AA35">
        <f>'Backlog Baseline'!AA35*1</f>
        <v>8</v>
      </c>
      <c r="AB35">
        <f>'Backlog Baseline'!AB35*1</f>
        <v>0</v>
      </c>
      <c r="AC35">
        <f>'Backlog Baseline'!AC35*1</f>
        <v>6</v>
      </c>
      <c r="AD35">
        <f>'Backlog Baseline'!AD35*1</f>
        <v>13</v>
      </c>
      <c r="AF35">
        <f>'Backlog Baseline'!AF35*1</f>
        <v>8</v>
      </c>
      <c r="AG35">
        <f>'Backlog Baseline'!AG35*1</f>
        <v>0</v>
      </c>
      <c r="AH35">
        <f>'Backlog Baseline'!AH35*1</f>
        <v>6</v>
      </c>
      <c r="AI35">
        <f>'Backlog Baseline'!AI35*1</f>
        <v>13</v>
      </c>
      <c r="AK35">
        <f>'Backlog Baseline'!AK35*1</f>
        <v>8</v>
      </c>
      <c r="AL35">
        <f>'Backlog Baseline'!AL35*1</f>
        <v>0</v>
      </c>
      <c r="AM35">
        <f>'Backlog Baseline'!AM35*1</f>
        <v>6</v>
      </c>
      <c r="AN35">
        <f>'Backlog Baseline'!AN35*1</f>
        <v>13</v>
      </c>
      <c r="AP35">
        <f>'Backlog Baseline'!AP35*1</f>
        <v>8</v>
      </c>
      <c r="AQ35">
        <f>'Backlog Baseline'!AQ35*1</f>
        <v>0</v>
      </c>
      <c r="AR35">
        <f>'Backlog Baseline'!AR35*1</f>
        <v>6</v>
      </c>
      <c r="AS35">
        <f>'Backlog Baseline'!AS35*1</f>
        <v>13</v>
      </c>
      <c r="AU35">
        <f>'Backlog Baseline'!AU35*1</f>
        <v>8</v>
      </c>
      <c r="AV35">
        <f>'Backlog Baseline'!AV35*1</f>
        <v>0</v>
      </c>
      <c r="AW35">
        <f>'Backlog Baseline'!AW35*1</f>
        <v>6</v>
      </c>
      <c r="AX35">
        <f>'Backlog Baseline'!AX35*1</f>
        <v>13</v>
      </c>
      <c r="AZ35">
        <f t="shared" si="1"/>
        <v>8</v>
      </c>
      <c r="BA35">
        <f t="shared" si="1"/>
        <v>0</v>
      </c>
      <c r="BB35">
        <f t="shared" si="1"/>
        <v>6</v>
      </c>
      <c r="BC35">
        <f t="shared" si="1"/>
        <v>13</v>
      </c>
    </row>
    <row r="36" spans="1:56" x14ac:dyDescent="0.35">
      <c r="A36">
        <v>34</v>
      </c>
      <c r="B36">
        <f>'Backlog Baseline'!B36*1</f>
        <v>19</v>
      </c>
      <c r="C36">
        <f>'Backlog Baseline'!C36*1</f>
        <v>0</v>
      </c>
      <c r="D36">
        <f>'Backlog Baseline'!D36*1</f>
        <v>11</v>
      </c>
      <c r="E36">
        <f>'Backlog Baseline'!E36*1</f>
        <v>11</v>
      </c>
      <c r="G36">
        <f>'Backlog Baseline'!G36*1</f>
        <v>19</v>
      </c>
      <c r="H36">
        <f>'Backlog Baseline'!H36*1</f>
        <v>0</v>
      </c>
      <c r="I36">
        <f>'Backlog Baseline'!I36*1</f>
        <v>11</v>
      </c>
      <c r="J36">
        <f>'Backlog Baseline'!J36*1</f>
        <v>11</v>
      </c>
      <c r="L36">
        <f>'Backlog Baseline'!L36*1</f>
        <v>19</v>
      </c>
      <c r="M36">
        <f>'Backlog Baseline'!M36*1</f>
        <v>0</v>
      </c>
      <c r="N36">
        <f>'Backlog Baseline'!N36*1</f>
        <v>11</v>
      </c>
      <c r="O36">
        <f>'Backlog Baseline'!O36*1</f>
        <v>11</v>
      </c>
      <c r="Q36">
        <f>'Backlog Baseline'!Q36*1</f>
        <v>19</v>
      </c>
      <c r="R36">
        <f>'Backlog Baseline'!R36*1</f>
        <v>0</v>
      </c>
      <c r="S36">
        <f>'Backlog Baseline'!S36*1</f>
        <v>11</v>
      </c>
      <c r="T36">
        <f>'Backlog Baseline'!T36*1</f>
        <v>11</v>
      </c>
      <c r="V36">
        <f>'Backlog Baseline'!V36*1</f>
        <v>19</v>
      </c>
      <c r="W36">
        <f>'Backlog Baseline'!W36*1</f>
        <v>0</v>
      </c>
      <c r="X36">
        <f>'Backlog Baseline'!X36*1</f>
        <v>11</v>
      </c>
      <c r="Y36">
        <f>'Backlog Baseline'!Y36*1</f>
        <v>11</v>
      </c>
      <c r="AA36">
        <f>'Backlog Baseline'!AA36*1</f>
        <v>19</v>
      </c>
      <c r="AB36">
        <f>'Backlog Baseline'!AB36*1</f>
        <v>0</v>
      </c>
      <c r="AC36">
        <f>'Backlog Baseline'!AC36*1</f>
        <v>11</v>
      </c>
      <c r="AD36">
        <f>'Backlog Baseline'!AD36*1</f>
        <v>11</v>
      </c>
      <c r="AF36">
        <f>'Backlog Baseline'!AF36*1</f>
        <v>19</v>
      </c>
      <c r="AG36">
        <f>'Backlog Baseline'!AG36*1</f>
        <v>0</v>
      </c>
      <c r="AH36">
        <f>'Backlog Baseline'!AH36*1</f>
        <v>11</v>
      </c>
      <c r="AI36">
        <f>'Backlog Baseline'!AI36*1</f>
        <v>11</v>
      </c>
      <c r="AK36">
        <f>'Backlog Baseline'!AK36*1</f>
        <v>19</v>
      </c>
      <c r="AL36">
        <f>'Backlog Baseline'!AL36*1</f>
        <v>0</v>
      </c>
      <c r="AM36">
        <f>'Backlog Baseline'!AM36*1</f>
        <v>11</v>
      </c>
      <c r="AN36">
        <f>'Backlog Baseline'!AN36*1</f>
        <v>11</v>
      </c>
      <c r="AP36">
        <f>'Backlog Baseline'!AP36*1</f>
        <v>19</v>
      </c>
      <c r="AQ36">
        <f>'Backlog Baseline'!AQ36*1</f>
        <v>0</v>
      </c>
      <c r="AR36">
        <f>'Backlog Baseline'!AR36*1</f>
        <v>11</v>
      </c>
      <c r="AS36">
        <f>'Backlog Baseline'!AS36*1</f>
        <v>11</v>
      </c>
      <c r="AU36">
        <f>'Backlog Baseline'!AU36*1</f>
        <v>19</v>
      </c>
      <c r="AV36">
        <f>'Backlog Baseline'!AV36*1</f>
        <v>0</v>
      </c>
      <c r="AW36">
        <f>'Backlog Baseline'!AW36*1</f>
        <v>11</v>
      </c>
      <c r="AX36">
        <f>'Backlog Baseline'!AX36*1</f>
        <v>11</v>
      </c>
      <c r="AZ36">
        <f t="shared" si="1"/>
        <v>19</v>
      </c>
      <c r="BA36">
        <f t="shared" si="1"/>
        <v>0</v>
      </c>
      <c r="BB36">
        <f t="shared" si="1"/>
        <v>11</v>
      </c>
      <c r="BC36">
        <f t="shared" si="1"/>
        <v>11</v>
      </c>
    </row>
    <row r="37" spans="1:56" x14ac:dyDescent="0.35">
      <c r="A37">
        <v>35</v>
      </c>
      <c r="B37">
        <f>'Backlog Baseline'!B37*1</f>
        <v>30</v>
      </c>
      <c r="C37">
        <f>'Backlog Baseline'!C37*1</f>
        <v>2</v>
      </c>
      <c r="D37">
        <f>'Backlog Baseline'!D37*1</f>
        <v>13</v>
      </c>
      <c r="E37">
        <f>'Backlog Baseline'!E37*1</f>
        <v>16</v>
      </c>
      <c r="G37">
        <f>'Backlog Baseline'!G37*1</f>
        <v>30</v>
      </c>
      <c r="H37">
        <f>'Backlog Baseline'!H37*1</f>
        <v>2</v>
      </c>
      <c r="I37">
        <f>'Backlog Baseline'!I37*1</f>
        <v>13</v>
      </c>
      <c r="J37">
        <f>'Backlog Baseline'!J37*1</f>
        <v>16</v>
      </c>
      <c r="L37">
        <f>'Backlog Baseline'!L37*1</f>
        <v>30</v>
      </c>
      <c r="M37">
        <f>'Backlog Baseline'!M37*1</f>
        <v>2</v>
      </c>
      <c r="N37">
        <f>'Backlog Baseline'!N37*1</f>
        <v>13</v>
      </c>
      <c r="O37">
        <f>'Backlog Baseline'!O37*1</f>
        <v>16</v>
      </c>
      <c r="Q37">
        <f>'Backlog Baseline'!Q37*1</f>
        <v>30</v>
      </c>
      <c r="R37">
        <f>'Backlog Baseline'!R37*1</f>
        <v>2</v>
      </c>
      <c r="S37">
        <f>'Backlog Baseline'!S37*1</f>
        <v>13</v>
      </c>
      <c r="T37">
        <f>'Backlog Baseline'!T37*1</f>
        <v>16</v>
      </c>
      <c r="V37">
        <f>'Backlog Baseline'!V37*1</f>
        <v>30</v>
      </c>
      <c r="W37">
        <f>'Backlog Baseline'!W37*1</f>
        <v>2</v>
      </c>
      <c r="X37">
        <f>'Backlog Baseline'!X37*1</f>
        <v>13</v>
      </c>
      <c r="Y37">
        <f>'Backlog Baseline'!Y37*1</f>
        <v>16</v>
      </c>
      <c r="AA37">
        <f>'Backlog Baseline'!AA37*1</f>
        <v>30</v>
      </c>
      <c r="AB37">
        <f>'Backlog Baseline'!AB37*1</f>
        <v>2</v>
      </c>
      <c r="AC37">
        <f>'Backlog Baseline'!AC37*1</f>
        <v>13</v>
      </c>
      <c r="AD37">
        <f>'Backlog Baseline'!AD37*1</f>
        <v>16</v>
      </c>
      <c r="AF37">
        <f>'Backlog Baseline'!AF37*1</f>
        <v>30</v>
      </c>
      <c r="AG37">
        <f>'Backlog Baseline'!AG37*1</f>
        <v>2</v>
      </c>
      <c r="AH37">
        <f>'Backlog Baseline'!AH37*1</f>
        <v>13</v>
      </c>
      <c r="AI37">
        <f>'Backlog Baseline'!AI37*1</f>
        <v>16</v>
      </c>
      <c r="AK37">
        <f>'Backlog Baseline'!AK37*1</f>
        <v>30</v>
      </c>
      <c r="AL37">
        <f>'Backlog Baseline'!AL37*1</f>
        <v>2</v>
      </c>
      <c r="AM37">
        <f>'Backlog Baseline'!AM37*1</f>
        <v>13</v>
      </c>
      <c r="AN37">
        <f>'Backlog Baseline'!AN37*1</f>
        <v>16</v>
      </c>
      <c r="AP37">
        <f>'Backlog Baseline'!AP37*1</f>
        <v>30</v>
      </c>
      <c r="AQ37">
        <f>'Backlog Baseline'!AQ37*1</f>
        <v>2</v>
      </c>
      <c r="AR37">
        <f>'Backlog Baseline'!AR37*1</f>
        <v>13</v>
      </c>
      <c r="AS37">
        <f>'Backlog Baseline'!AS37*1</f>
        <v>16</v>
      </c>
      <c r="AU37">
        <f>'Backlog Baseline'!AU37*1</f>
        <v>30</v>
      </c>
      <c r="AV37">
        <f>'Backlog Baseline'!AV37*1</f>
        <v>2</v>
      </c>
      <c r="AW37">
        <f>'Backlog Baseline'!AW37*1</f>
        <v>13</v>
      </c>
      <c r="AX37">
        <f>'Backlog Baseline'!AX37*1</f>
        <v>16</v>
      </c>
      <c r="AZ37">
        <f t="shared" si="1"/>
        <v>30</v>
      </c>
      <c r="BA37">
        <f t="shared" si="1"/>
        <v>2</v>
      </c>
      <c r="BB37">
        <f t="shared" si="1"/>
        <v>13</v>
      </c>
      <c r="BC37">
        <f t="shared" si="1"/>
        <v>16</v>
      </c>
    </row>
    <row r="38" spans="1:56" x14ac:dyDescent="0.35">
      <c r="A38">
        <v>36</v>
      </c>
      <c r="B38">
        <f>'Backlog Baseline'!B38*1</f>
        <v>29</v>
      </c>
      <c r="C38">
        <f>'Backlog Baseline'!C38*1</f>
        <v>20</v>
      </c>
      <c r="D38">
        <f>'Backlog Baseline'!D38*1</f>
        <v>11</v>
      </c>
      <c r="E38">
        <f>'Backlog Baseline'!E38*1</f>
        <v>25</v>
      </c>
      <c r="G38">
        <f>'Backlog Baseline'!G38*1</f>
        <v>29</v>
      </c>
      <c r="H38">
        <f>'Backlog Baseline'!H38*1</f>
        <v>20</v>
      </c>
      <c r="I38">
        <f>'Backlog Baseline'!I38*1</f>
        <v>11</v>
      </c>
      <c r="J38">
        <f>'Backlog Baseline'!J38*1</f>
        <v>25</v>
      </c>
      <c r="L38">
        <f>'Backlog Baseline'!L38*1</f>
        <v>29</v>
      </c>
      <c r="M38">
        <f>'Backlog Baseline'!M38*1</f>
        <v>20</v>
      </c>
      <c r="N38">
        <f>'Backlog Baseline'!N38*1</f>
        <v>11</v>
      </c>
      <c r="O38">
        <f>'Backlog Baseline'!O38*1</f>
        <v>25</v>
      </c>
      <c r="Q38">
        <f>'Backlog Baseline'!Q38*1</f>
        <v>29</v>
      </c>
      <c r="R38">
        <f>'Backlog Baseline'!R38*1</f>
        <v>20</v>
      </c>
      <c r="S38">
        <f>'Backlog Baseline'!S38*1</f>
        <v>11</v>
      </c>
      <c r="T38">
        <f>'Backlog Baseline'!T38*1</f>
        <v>25</v>
      </c>
      <c r="V38">
        <f>'Backlog Baseline'!V38*1</f>
        <v>29</v>
      </c>
      <c r="W38">
        <f>'Backlog Baseline'!W38*1</f>
        <v>20</v>
      </c>
      <c r="X38">
        <f>'Backlog Baseline'!X38*1</f>
        <v>11</v>
      </c>
      <c r="Y38">
        <f>'Backlog Baseline'!Y38*1</f>
        <v>25</v>
      </c>
      <c r="AA38">
        <f>'Backlog Baseline'!AA38*1</f>
        <v>29</v>
      </c>
      <c r="AB38">
        <f>'Backlog Baseline'!AB38*1</f>
        <v>20</v>
      </c>
      <c r="AC38">
        <f>'Backlog Baseline'!AC38*1</f>
        <v>11</v>
      </c>
      <c r="AD38">
        <f>'Backlog Baseline'!AD38*1</f>
        <v>25</v>
      </c>
      <c r="AF38">
        <f>'Backlog Baseline'!AF38*1</f>
        <v>29</v>
      </c>
      <c r="AG38">
        <f>'Backlog Baseline'!AG38*1</f>
        <v>20</v>
      </c>
      <c r="AH38">
        <f>'Backlog Baseline'!AH38*1</f>
        <v>11</v>
      </c>
      <c r="AI38">
        <f>'Backlog Baseline'!AI38*1</f>
        <v>25</v>
      </c>
      <c r="AK38">
        <f>'Backlog Baseline'!AK38*1</f>
        <v>29</v>
      </c>
      <c r="AL38">
        <f>'Backlog Baseline'!AL38*1</f>
        <v>20</v>
      </c>
      <c r="AM38">
        <f>'Backlog Baseline'!AM38*1</f>
        <v>11</v>
      </c>
      <c r="AN38">
        <f>'Backlog Baseline'!AN38*1</f>
        <v>25</v>
      </c>
      <c r="AP38">
        <f>'Backlog Baseline'!AP38*1</f>
        <v>29</v>
      </c>
      <c r="AQ38">
        <f>'Backlog Baseline'!AQ38*1</f>
        <v>20</v>
      </c>
      <c r="AR38">
        <f>'Backlog Baseline'!AR38*1</f>
        <v>11</v>
      </c>
      <c r="AS38">
        <f>'Backlog Baseline'!AS38*1</f>
        <v>25</v>
      </c>
      <c r="AU38">
        <f>'Backlog Baseline'!AU38*1</f>
        <v>29</v>
      </c>
      <c r="AV38">
        <f>'Backlog Baseline'!AV38*1</f>
        <v>20</v>
      </c>
      <c r="AW38">
        <f>'Backlog Baseline'!AW38*1</f>
        <v>11</v>
      </c>
      <c r="AX38">
        <f>'Backlog Baseline'!AX38*1</f>
        <v>25</v>
      </c>
      <c r="AZ38">
        <f t="shared" si="1"/>
        <v>29</v>
      </c>
      <c r="BA38">
        <f t="shared" si="1"/>
        <v>20</v>
      </c>
      <c r="BB38">
        <f t="shared" si="1"/>
        <v>11</v>
      </c>
      <c r="BC38">
        <f t="shared" si="1"/>
        <v>25</v>
      </c>
    </row>
    <row r="40" spans="1:56" x14ac:dyDescent="0.35">
      <c r="A40" t="s">
        <v>9</v>
      </c>
      <c r="B40">
        <f>SUM(B2:B38)</f>
        <v>453</v>
      </c>
      <c r="C40">
        <f t="shared" ref="C40:E40" si="2">SUM(C2:C38)</f>
        <v>239</v>
      </c>
      <c r="D40">
        <f t="shared" si="2"/>
        <v>464</v>
      </c>
      <c r="E40">
        <f t="shared" si="2"/>
        <v>502</v>
      </c>
      <c r="G40">
        <f>SUM(G2:G38)</f>
        <v>453</v>
      </c>
      <c r="H40">
        <f t="shared" ref="H40:J40" si="3">SUM(H2:H38)</f>
        <v>239</v>
      </c>
      <c r="I40">
        <f t="shared" si="3"/>
        <v>464</v>
      </c>
      <c r="J40">
        <f t="shared" si="3"/>
        <v>502</v>
      </c>
      <c r="L40">
        <f>SUM(L2:L38)</f>
        <v>453</v>
      </c>
      <c r="M40">
        <f t="shared" ref="M40:O40" si="4">SUM(M2:M38)</f>
        <v>239</v>
      </c>
      <c r="N40">
        <f t="shared" si="4"/>
        <v>464</v>
      </c>
      <c r="O40">
        <f t="shared" si="4"/>
        <v>502</v>
      </c>
      <c r="Q40">
        <f>SUM(Q2:Q38)</f>
        <v>453</v>
      </c>
      <c r="R40">
        <f t="shared" ref="R40:T40" si="5">SUM(R2:R38)</f>
        <v>239</v>
      </c>
      <c r="S40">
        <f t="shared" si="5"/>
        <v>464</v>
      </c>
      <c r="T40">
        <f t="shared" si="5"/>
        <v>502</v>
      </c>
      <c r="V40">
        <f>SUM(V2:V38)</f>
        <v>453</v>
      </c>
      <c r="W40">
        <f t="shared" ref="W40:Y40" si="6">SUM(W2:W38)</f>
        <v>239</v>
      </c>
      <c r="X40">
        <f t="shared" si="6"/>
        <v>464</v>
      </c>
      <c r="Y40">
        <f t="shared" si="6"/>
        <v>502</v>
      </c>
      <c r="AA40">
        <f>SUM(AA2:AA38)</f>
        <v>453</v>
      </c>
      <c r="AB40">
        <f t="shared" ref="AB40:AD40" si="7">SUM(AB2:AB38)</f>
        <v>239</v>
      </c>
      <c r="AC40">
        <f t="shared" si="7"/>
        <v>464</v>
      </c>
      <c r="AD40">
        <f t="shared" si="7"/>
        <v>502</v>
      </c>
      <c r="AF40">
        <f>SUM(AF2:AF38)</f>
        <v>453</v>
      </c>
      <c r="AG40">
        <f t="shared" ref="AG40:AI40" si="8">SUM(AG2:AG38)</f>
        <v>239</v>
      </c>
      <c r="AH40">
        <f t="shared" si="8"/>
        <v>464</v>
      </c>
      <c r="AI40">
        <f t="shared" si="8"/>
        <v>502</v>
      </c>
      <c r="AK40">
        <f>SUM(AK2:AK38)</f>
        <v>453</v>
      </c>
      <c r="AL40">
        <f t="shared" ref="AL40:AN40" si="9">SUM(AL2:AL38)</f>
        <v>239</v>
      </c>
      <c r="AM40">
        <f t="shared" si="9"/>
        <v>464</v>
      </c>
      <c r="AN40">
        <f t="shared" si="9"/>
        <v>502</v>
      </c>
      <c r="AP40">
        <f>SUM(AP2:AP38)</f>
        <v>453</v>
      </c>
      <c r="AQ40">
        <f t="shared" ref="AQ40:AS40" si="10">SUM(AQ2:AQ38)</f>
        <v>239</v>
      </c>
      <c r="AR40">
        <f t="shared" si="10"/>
        <v>464</v>
      </c>
      <c r="AS40">
        <f t="shared" si="10"/>
        <v>502</v>
      </c>
      <c r="AU40">
        <f>SUM(AU2:AU38)</f>
        <v>453</v>
      </c>
      <c r="AV40">
        <f t="shared" ref="AV40:AX40" si="11">SUM(AV2:AV38)</f>
        <v>239</v>
      </c>
      <c r="AW40">
        <f t="shared" si="11"/>
        <v>464</v>
      </c>
      <c r="AX40">
        <f t="shared" si="11"/>
        <v>502</v>
      </c>
      <c r="AZ40" s="5"/>
      <c r="BA40">
        <f>SUM(BA2:BA38)</f>
        <v>239</v>
      </c>
      <c r="BB40">
        <f t="shared" ref="BB40:BD40" si="12">SUM(BB2:BB38)</f>
        <v>464</v>
      </c>
      <c r="BC40">
        <f t="shared" si="12"/>
        <v>502</v>
      </c>
      <c r="BD40">
        <f t="shared" si="12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5F47-D50F-419C-8927-34AE4FAD80EE}">
  <dimension ref="A1:AD38"/>
  <sheetViews>
    <sheetView topLeftCell="P1" workbookViewId="0">
      <selection activeCell="U2" sqref="U2"/>
    </sheetView>
  </sheetViews>
  <sheetFormatPr defaultRowHeight="14.5" x14ac:dyDescent="0.35"/>
  <cols>
    <col min="2" max="2" width="13.54296875" customWidth="1"/>
    <col min="3" max="3" width="16.36328125" customWidth="1"/>
    <col min="4" max="4" width="16" customWidth="1"/>
    <col min="5" max="5" width="14.54296875" customWidth="1"/>
    <col min="7" max="7" width="14.08984375" customWidth="1"/>
    <col min="8" max="8" width="16.90625" customWidth="1"/>
    <col min="9" max="9" width="16.54296875" customWidth="1"/>
    <col min="10" max="10" width="15.08984375" customWidth="1"/>
    <col min="12" max="12" width="14.26953125" customWidth="1"/>
    <col min="13" max="13" width="17.08984375" customWidth="1"/>
    <col min="14" max="14" width="16.7265625" customWidth="1"/>
    <col min="15" max="15" width="15.26953125" customWidth="1"/>
    <col min="17" max="17" width="15.6328125" customWidth="1"/>
    <col min="18" max="18" width="18.453125" customWidth="1"/>
    <col min="19" max="19" width="18.08984375" customWidth="1"/>
    <col min="20" max="20" width="16.6328125" customWidth="1"/>
    <col min="22" max="22" width="16.1796875" customWidth="1"/>
    <col min="23" max="23" width="19" customWidth="1"/>
    <col min="24" max="24" width="18.6328125" customWidth="1"/>
    <col min="25" max="25" width="17.1796875" customWidth="1"/>
    <col min="27" max="27" width="15.1796875" customWidth="1"/>
    <col min="28" max="28" width="18" customWidth="1"/>
    <col min="29" max="29" width="17.6328125" customWidth="1"/>
    <col min="30" max="30" width="16.1796875" customWidth="1"/>
  </cols>
  <sheetData>
    <row r="1" spans="1:30" ht="15" thickBot="1" x14ac:dyDescent="0.4">
      <c r="A1" s="31" t="s">
        <v>19</v>
      </c>
      <c r="B1" s="32" t="s">
        <v>35</v>
      </c>
      <c r="C1" s="33" t="s">
        <v>36</v>
      </c>
      <c r="D1" s="33" t="s">
        <v>37</v>
      </c>
      <c r="E1" s="31" t="s">
        <v>46</v>
      </c>
      <c r="F1" s="34" t="s">
        <v>79</v>
      </c>
      <c r="G1" s="32" t="s">
        <v>38</v>
      </c>
      <c r="H1" s="33" t="s">
        <v>39</v>
      </c>
      <c r="I1" s="33" t="s">
        <v>40</v>
      </c>
      <c r="J1" s="31" t="s">
        <v>41</v>
      </c>
      <c r="K1" s="34" t="s">
        <v>80</v>
      </c>
      <c r="L1" s="32" t="s">
        <v>42</v>
      </c>
      <c r="M1" s="33" t="s">
        <v>43</v>
      </c>
      <c r="N1" s="33" t="s">
        <v>44</v>
      </c>
      <c r="O1" s="31" t="s">
        <v>45</v>
      </c>
      <c r="P1" s="34" t="s">
        <v>81</v>
      </c>
      <c r="Q1" s="32" t="s">
        <v>51</v>
      </c>
      <c r="R1" s="33" t="s">
        <v>52</v>
      </c>
      <c r="S1" s="33" t="s">
        <v>53</v>
      </c>
      <c r="T1" s="31" t="s">
        <v>54</v>
      </c>
      <c r="U1" s="34" t="s">
        <v>82</v>
      </c>
      <c r="V1" s="32" t="s">
        <v>55</v>
      </c>
      <c r="W1" s="33" t="s">
        <v>56</v>
      </c>
      <c r="X1" s="33" t="s">
        <v>57</v>
      </c>
      <c r="Y1" s="31" t="s">
        <v>58</v>
      </c>
      <c r="Z1" s="34" t="s">
        <v>78</v>
      </c>
      <c r="AA1" s="32" t="s">
        <v>59</v>
      </c>
      <c r="AB1" s="33" t="s">
        <v>60</v>
      </c>
      <c r="AC1" s="33" t="s">
        <v>61</v>
      </c>
      <c r="AD1" s="33" t="s">
        <v>62</v>
      </c>
    </row>
    <row r="2" spans="1:30" ht="15" thickBot="1" x14ac:dyDescent="0.4">
      <c r="A2" s="14">
        <v>0</v>
      </c>
      <c r="B2" s="21">
        <f>'Inventory ELV'!BC2</f>
        <v>12</v>
      </c>
      <c r="C2" s="22">
        <f>'Inventory ELV'!BD2</f>
        <v>12</v>
      </c>
      <c r="D2" s="22">
        <f>'Inventory ELV'!BA2</f>
        <v>12</v>
      </c>
      <c r="E2" s="23">
        <f>'Inventory ELV'!BB2</f>
        <v>12</v>
      </c>
      <c r="F2" s="16">
        <v>0</v>
      </c>
      <c r="G2" s="21">
        <f>'Backlog ELV'!BC2</f>
        <v>0</v>
      </c>
      <c r="H2" s="22">
        <f>'Backlog ELV'!BD2</f>
        <v>0</v>
      </c>
      <c r="I2" s="22">
        <f>'Backlog ELV'!BA2</f>
        <v>0</v>
      </c>
      <c r="J2" s="23">
        <f>'Backlog ELV'!BB2</f>
        <v>0</v>
      </c>
      <c r="K2" s="16">
        <v>0</v>
      </c>
      <c r="L2" s="21">
        <f>'Orders ELV'!BB2</f>
        <v>0</v>
      </c>
      <c r="M2" s="22">
        <f>'Orders ELV'!BC2</f>
        <v>0</v>
      </c>
      <c r="N2" s="22">
        <f>'Orders ELV'!AZ2</f>
        <v>0</v>
      </c>
      <c r="O2" s="22">
        <f>'Orders ELV'!BA2</f>
        <v>0</v>
      </c>
      <c r="P2" s="16">
        <v>0</v>
      </c>
      <c r="Q2" s="27">
        <f>ROUND('IHC ELV'!BB2,2)</f>
        <v>0</v>
      </c>
      <c r="R2" s="28">
        <f>ROUND('IHC ELV'!BC2,2)</f>
        <v>0</v>
      </c>
      <c r="S2" s="28">
        <f>ROUND('IHC ELV'!AZ2,2)</f>
        <v>0</v>
      </c>
      <c r="T2" s="29">
        <f>ROUND('IHC ELV'!BA2,2)</f>
        <v>0</v>
      </c>
      <c r="U2" s="16">
        <v>0</v>
      </c>
      <c r="V2" s="11">
        <f>ROUND('UBC ELV'!BA2,2)</f>
        <v>0</v>
      </c>
      <c r="W2" s="11">
        <f>ROUND('UBC ELV'!BB2,2)</f>
        <v>0</v>
      </c>
      <c r="X2" s="11">
        <f>ROUND('UBC ELV'!AY2,2)</f>
        <v>0</v>
      </c>
      <c r="Y2" s="11">
        <f>ROUND('UBC ELV'!AZ2,2)</f>
        <v>0</v>
      </c>
      <c r="Z2" s="16">
        <v>0</v>
      </c>
      <c r="AA2" s="6">
        <f>Q2+V2</f>
        <v>0</v>
      </c>
      <c r="AB2" s="7">
        <f>R2+W2</f>
        <v>0</v>
      </c>
      <c r="AC2" s="7">
        <f>S2+X2</f>
        <v>0</v>
      </c>
      <c r="AD2" s="7">
        <f>T2+Y2</f>
        <v>0</v>
      </c>
    </row>
    <row r="3" spans="1:30" ht="15" thickBot="1" x14ac:dyDescent="0.4">
      <c r="A3" s="14">
        <v>1</v>
      </c>
      <c r="B3" s="21">
        <f>'Inventory ELV'!BC3</f>
        <v>12</v>
      </c>
      <c r="C3" s="22">
        <f>'Inventory ELV'!BD3</f>
        <v>12</v>
      </c>
      <c r="D3" s="22">
        <f>'Inventory ELV'!BA3</f>
        <v>12</v>
      </c>
      <c r="E3" s="23">
        <f>'Inventory ELV'!BB3</f>
        <v>12</v>
      </c>
      <c r="F3" s="16">
        <v>1</v>
      </c>
      <c r="G3" s="21">
        <f>'Backlog ELV'!BC3</f>
        <v>0</v>
      </c>
      <c r="H3" s="22">
        <f>'Backlog ELV'!BD3</f>
        <v>0</v>
      </c>
      <c r="I3" s="22">
        <f>'Backlog ELV'!BA3</f>
        <v>0</v>
      </c>
      <c r="J3" s="23">
        <f>'Backlog ELV'!BB3</f>
        <v>0</v>
      </c>
      <c r="K3" s="16">
        <v>1</v>
      </c>
      <c r="L3" s="21">
        <f>'Orders ELV'!BB3</f>
        <v>4</v>
      </c>
      <c r="M3" s="22">
        <f>'Orders ELV'!BC3</f>
        <v>4</v>
      </c>
      <c r="N3" s="22">
        <f>'Orders ELV'!AZ3</f>
        <v>4</v>
      </c>
      <c r="O3" s="22">
        <f>'Orders ELV'!BA3</f>
        <v>4</v>
      </c>
      <c r="P3" s="16">
        <v>1</v>
      </c>
      <c r="Q3" s="27">
        <f>ROUND('IHC ELV'!BB3,2)</f>
        <v>6</v>
      </c>
      <c r="R3" s="28">
        <f>ROUND('IHC ELV'!BC3,2)</f>
        <v>6</v>
      </c>
      <c r="S3" s="28">
        <f>ROUND('IHC ELV'!AZ3,2)</f>
        <v>6</v>
      </c>
      <c r="T3" s="29">
        <f>ROUND('IHC ELV'!BA3,2)</f>
        <v>6</v>
      </c>
      <c r="U3" s="16">
        <v>1</v>
      </c>
      <c r="V3" s="11">
        <f>ROUND('UBC ELV'!BA3,2)</f>
        <v>0</v>
      </c>
      <c r="W3" s="11">
        <f>ROUND('UBC ELV'!BB3,2)</f>
        <v>0</v>
      </c>
      <c r="X3" s="11">
        <f>ROUND('UBC ELV'!AY3,2)</f>
        <v>0</v>
      </c>
      <c r="Y3" s="11">
        <f>ROUND('UBC ELV'!AZ3,2)</f>
        <v>0</v>
      </c>
      <c r="Z3" s="16">
        <v>1</v>
      </c>
      <c r="AA3" s="6">
        <f t="shared" ref="AA3:AD18" si="0">Q3+V3+AA2</f>
        <v>6</v>
      </c>
      <c r="AB3" s="7">
        <f t="shared" si="0"/>
        <v>6</v>
      </c>
      <c r="AC3" s="7">
        <f t="shared" si="0"/>
        <v>6</v>
      </c>
      <c r="AD3" s="7">
        <f t="shared" si="0"/>
        <v>6</v>
      </c>
    </row>
    <row r="4" spans="1:30" ht="15" thickBot="1" x14ac:dyDescent="0.4">
      <c r="A4" s="14">
        <v>2</v>
      </c>
      <c r="B4" s="21">
        <f>'Inventory ELV'!BC4</f>
        <v>16</v>
      </c>
      <c r="C4" s="22">
        <f>'Inventory ELV'!BD4</f>
        <v>16</v>
      </c>
      <c r="D4" s="22">
        <f>'Inventory ELV'!BA4</f>
        <v>16</v>
      </c>
      <c r="E4" s="23">
        <f>'Inventory ELV'!BB4</f>
        <v>20</v>
      </c>
      <c r="F4" s="16">
        <v>2</v>
      </c>
      <c r="G4" s="21">
        <f>'Backlog ELV'!BC4</f>
        <v>0</v>
      </c>
      <c r="H4" s="22">
        <f>'Backlog ELV'!BD4</f>
        <v>0</v>
      </c>
      <c r="I4" s="22">
        <f>'Backlog ELV'!BA4</f>
        <v>0</v>
      </c>
      <c r="J4" s="23">
        <f>'Backlog ELV'!BB4</f>
        <v>0</v>
      </c>
      <c r="K4" s="16">
        <v>2</v>
      </c>
      <c r="L4" s="21">
        <f>'Orders ELV'!BB4</f>
        <v>4</v>
      </c>
      <c r="M4" s="22">
        <f>'Orders ELV'!BC4</f>
        <v>4</v>
      </c>
      <c r="N4" s="22">
        <f>'Orders ELV'!AZ4</f>
        <v>4</v>
      </c>
      <c r="O4" s="22">
        <f>'Orders ELV'!BA4</f>
        <v>4</v>
      </c>
      <c r="P4" s="16">
        <v>2</v>
      </c>
      <c r="Q4" s="27">
        <f>ROUND('IHC ELV'!BB4,2)</f>
        <v>8</v>
      </c>
      <c r="R4" s="28">
        <f>ROUND('IHC ELV'!BC4,2)</f>
        <v>5.8</v>
      </c>
      <c r="S4" s="28">
        <f>ROUND('IHC ELV'!AZ4,2)</f>
        <v>6</v>
      </c>
      <c r="T4" s="29">
        <f>ROUND('IHC ELV'!BA4,2)</f>
        <v>9.6</v>
      </c>
      <c r="U4" s="16">
        <v>2</v>
      </c>
      <c r="V4" s="11">
        <f>ROUND('UBC ELV'!BA4,2)</f>
        <v>0</v>
      </c>
      <c r="W4" s="11">
        <f>ROUND('UBC ELV'!BB4,2)</f>
        <v>0</v>
      </c>
      <c r="X4" s="11">
        <f>ROUND('UBC ELV'!AY4,2)</f>
        <v>0</v>
      </c>
      <c r="Y4" s="11">
        <f>ROUND('UBC ELV'!AZ4,2)</f>
        <v>0</v>
      </c>
      <c r="Z4" s="16">
        <v>2</v>
      </c>
      <c r="AA4" s="6">
        <f t="shared" si="0"/>
        <v>14</v>
      </c>
      <c r="AB4" s="7">
        <f t="shared" si="0"/>
        <v>11.8</v>
      </c>
      <c r="AC4" s="7">
        <f t="shared" si="0"/>
        <v>12</v>
      </c>
      <c r="AD4" s="7">
        <f t="shared" si="0"/>
        <v>15.6</v>
      </c>
    </row>
    <row r="5" spans="1:30" ht="15" thickBot="1" x14ac:dyDescent="0.4">
      <c r="A5" s="14">
        <v>3</v>
      </c>
      <c r="B5" s="21">
        <f>'Inventory ELV'!BC5</f>
        <v>16</v>
      </c>
      <c r="C5" s="22">
        <f>'Inventory ELV'!BD5</f>
        <v>8</v>
      </c>
      <c r="D5" s="22">
        <f>'Inventory ELV'!BA5</f>
        <v>12</v>
      </c>
      <c r="E5" s="23">
        <f>'Inventory ELV'!BB5</f>
        <v>12</v>
      </c>
      <c r="F5" s="16">
        <v>3</v>
      </c>
      <c r="G5" s="21">
        <f>'Backlog ELV'!BC5</f>
        <v>0</v>
      </c>
      <c r="H5" s="22">
        <f>'Backlog ELV'!BD5</f>
        <v>0</v>
      </c>
      <c r="I5" s="22">
        <f>'Backlog ELV'!BA5</f>
        <v>0</v>
      </c>
      <c r="J5" s="23">
        <f>'Backlog ELV'!BB5</f>
        <v>0</v>
      </c>
      <c r="K5" s="16">
        <v>3</v>
      </c>
      <c r="L5" s="21">
        <f>'Orders ELV'!BB5</f>
        <v>4</v>
      </c>
      <c r="M5" s="22">
        <f>'Orders ELV'!BC5</f>
        <v>4</v>
      </c>
      <c r="N5" s="22">
        <f>'Orders ELV'!AZ5</f>
        <v>4</v>
      </c>
      <c r="O5" s="22">
        <f>'Orders ELV'!BA5</f>
        <v>4</v>
      </c>
      <c r="P5" s="16">
        <v>3</v>
      </c>
      <c r="Q5" s="27">
        <f>ROUND('IHC ELV'!BB5,2)</f>
        <v>6.4</v>
      </c>
      <c r="R5" s="28">
        <f>ROUND('IHC ELV'!BC5,2)</f>
        <v>4.8</v>
      </c>
      <c r="S5" s="28">
        <f>ROUND('IHC ELV'!AZ5,2)</f>
        <v>6</v>
      </c>
      <c r="T5" s="29">
        <f>ROUND('IHC ELV'!BA5,2)</f>
        <v>6.2</v>
      </c>
      <c r="U5" s="16">
        <v>3</v>
      </c>
      <c r="V5" s="11">
        <f>ROUND('UBC ELV'!BA5,2)</f>
        <v>0</v>
      </c>
      <c r="W5" s="11">
        <f>ROUND('UBC ELV'!BB5,2)</f>
        <v>0</v>
      </c>
      <c r="X5" s="11">
        <f>ROUND('UBC ELV'!AY5,2)</f>
        <v>0</v>
      </c>
      <c r="Y5" s="11">
        <f>ROUND('UBC ELV'!AZ5,2)</f>
        <v>0</v>
      </c>
      <c r="Z5" s="16">
        <v>3</v>
      </c>
      <c r="AA5" s="6">
        <f t="shared" si="0"/>
        <v>20.399999999999999</v>
      </c>
      <c r="AB5" s="7">
        <f t="shared" si="0"/>
        <v>16.600000000000001</v>
      </c>
      <c r="AC5" s="7">
        <f t="shared" si="0"/>
        <v>18</v>
      </c>
      <c r="AD5" s="7">
        <f t="shared" si="0"/>
        <v>21.8</v>
      </c>
    </row>
    <row r="6" spans="1:30" ht="15" thickBot="1" x14ac:dyDescent="0.4">
      <c r="A6" s="14">
        <v>4</v>
      </c>
      <c r="B6" s="21">
        <f>'Inventory ELV'!BC6</f>
        <v>16</v>
      </c>
      <c r="C6" s="22">
        <f>'Inventory ELV'!BD6</f>
        <v>12</v>
      </c>
      <c r="D6" s="22">
        <f>'Inventory ELV'!BA6</f>
        <v>8</v>
      </c>
      <c r="E6" s="23">
        <f>'Inventory ELV'!BB6</f>
        <v>12</v>
      </c>
      <c r="F6" s="16">
        <v>4</v>
      </c>
      <c r="G6" s="21">
        <f>'Backlog ELV'!BC6</f>
        <v>0</v>
      </c>
      <c r="H6" s="22">
        <f>'Backlog ELV'!BD6</f>
        <v>0</v>
      </c>
      <c r="I6" s="22">
        <f>'Backlog ELV'!BA6</f>
        <v>0</v>
      </c>
      <c r="J6" s="23">
        <f>'Backlog ELV'!BB6</f>
        <v>0</v>
      </c>
      <c r="K6" s="16">
        <v>4</v>
      </c>
      <c r="L6" s="21">
        <f>'Orders ELV'!BB6</f>
        <v>4</v>
      </c>
      <c r="M6" s="22">
        <f>'Orders ELV'!BC6</f>
        <v>4</v>
      </c>
      <c r="N6" s="22">
        <f>'Orders ELV'!AZ6</f>
        <v>4</v>
      </c>
      <c r="O6" s="22">
        <f>'Orders ELV'!BA6</f>
        <v>4</v>
      </c>
      <c r="P6" s="16">
        <v>4</v>
      </c>
      <c r="Q6" s="27">
        <f>ROUND('IHC ELV'!BB6,2)</f>
        <v>6.2</v>
      </c>
      <c r="R6" s="28">
        <f>ROUND('IHC ELV'!BC6,2)</f>
        <v>5</v>
      </c>
      <c r="S6" s="28">
        <f>ROUND('IHC ELV'!AZ6,2)</f>
        <v>4.2</v>
      </c>
      <c r="T6" s="29">
        <f>ROUND('IHC ELV'!BA6,2)</f>
        <v>5.8</v>
      </c>
      <c r="U6" s="16">
        <v>4</v>
      </c>
      <c r="V6" s="11">
        <f>ROUND('UBC ELV'!BA6,2)</f>
        <v>0</v>
      </c>
      <c r="W6" s="11">
        <f>ROUND('UBC ELV'!BB6,2)</f>
        <v>0</v>
      </c>
      <c r="X6" s="11">
        <f>ROUND('UBC ELV'!AY6,2)</f>
        <v>0</v>
      </c>
      <c r="Y6" s="11">
        <f>ROUND('UBC ELV'!AZ6,2)</f>
        <v>0</v>
      </c>
      <c r="Z6" s="16">
        <v>4</v>
      </c>
      <c r="AA6" s="6">
        <f t="shared" si="0"/>
        <v>26.599999999999998</v>
      </c>
      <c r="AB6" s="7">
        <f t="shared" si="0"/>
        <v>21.6</v>
      </c>
      <c r="AC6" s="7">
        <f t="shared" si="0"/>
        <v>22.2</v>
      </c>
      <c r="AD6" s="7">
        <f t="shared" si="0"/>
        <v>27.6</v>
      </c>
    </row>
    <row r="7" spans="1:30" ht="15" thickBot="1" x14ac:dyDescent="0.4">
      <c r="A7" s="14">
        <v>5</v>
      </c>
      <c r="B7" s="21">
        <f>'Inventory ELV'!BC7</f>
        <v>8</v>
      </c>
      <c r="C7" s="22">
        <f>'Inventory ELV'!BD7</f>
        <v>12</v>
      </c>
      <c r="D7" s="22">
        <f>'Inventory ELV'!BA7</f>
        <v>12</v>
      </c>
      <c r="E7" s="23">
        <f>'Inventory ELV'!BB7</f>
        <v>12</v>
      </c>
      <c r="F7" s="16">
        <v>5</v>
      </c>
      <c r="G7" s="21">
        <f>'Backlog ELV'!BC7</f>
        <v>0</v>
      </c>
      <c r="H7" s="22">
        <f>'Backlog ELV'!BD7</f>
        <v>0</v>
      </c>
      <c r="I7" s="22">
        <f>'Backlog ELV'!BA7</f>
        <v>0</v>
      </c>
      <c r="J7" s="23">
        <f>'Backlog ELV'!BB7</f>
        <v>0</v>
      </c>
      <c r="K7" s="16">
        <v>5</v>
      </c>
      <c r="L7" s="21">
        <f>'Orders ELV'!BB7</f>
        <v>4</v>
      </c>
      <c r="M7" s="22">
        <f>'Orders ELV'!BC7</f>
        <v>4</v>
      </c>
      <c r="N7" s="22">
        <f>'Orders ELV'!AZ7</f>
        <v>8</v>
      </c>
      <c r="O7" s="22">
        <f>'Orders ELV'!BA7</f>
        <v>4</v>
      </c>
      <c r="P7" s="16">
        <v>5</v>
      </c>
      <c r="Q7" s="27">
        <f>ROUND('IHC ELV'!BB7,2)</f>
        <v>4</v>
      </c>
      <c r="R7" s="28">
        <f>ROUND('IHC ELV'!BC7,2)</f>
        <v>5.6</v>
      </c>
      <c r="S7" s="28">
        <f>ROUND('IHC ELV'!AZ7,2)</f>
        <v>5.8</v>
      </c>
      <c r="T7" s="29">
        <f>ROUND('IHC ELV'!BA7,2)</f>
        <v>5.8</v>
      </c>
      <c r="U7" s="16">
        <v>5</v>
      </c>
      <c r="V7" s="11">
        <f>ROUND('UBC ELV'!BA7,2)</f>
        <v>0</v>
      </c>
      <c r="W7" s="11">
        <f>ROUND('UBC ELV'!BB7,2)</f>
        <v>0</v>
      </c>
      <c r="X7" s="11">
        <f>ROUND('UBC ELV'!AY7,2)</f>
        <v>0</v>
      </c>
      <c r="Y7" s="11">
        <f>ROUND('UBC ELV'!AZ7,2)</f>
        <v>0</v>
      </c>
      <c r="Z7" s="16">
        <v>5</v>
      </c>
      <c r="AA7" s="6">
        <f t="shared" si="0"/>
        <v>30.599999999999998</v>
      </c>
      <c r="AB7" s="7">
        <f t="shared" si="0"/>
        <v>27.200000000000003</v>
      </c>
      <c r="AC7" s="7">
        <f t="shared" si="0"/>
        <v>28</v>
      </c>
      <c r="AD7" s="7">
        <f t="shared" si="0"/>
        <v>33.4</v>
      </c>
    </row>
    <row r="8" spans="1:30" ht="15" thickBot="1" x14ac:dyDescent="0.4">
      <c r="A8" s="14">
        <v>6</v>
      </c>
      <c r="B8" s="21">
        <f>'Inventory ELV'!BC8</f>
        <v>8</v>
      </c>
      <c r="C8" s="22">
        <f>'Inventory ELV'!BD8</f>
        <v>12</v>
      </c>
      <c r="D8" s="22">
        <f>'Inventory ELV'!BA8</f>
        <v>12</v>
      </c>
      <c r="E8" s="23">
        <f>'Inventory ELV'!BB8</f>
        <v>12</v>
      </c>
      <c r="F8" s="16">
        <v>6</v>
      </c>
      <c r="G8" s="21">
        <f>'Backlog ELV'!BC8</f>
        <v>0</v>
      </c>
      <c r="H8" s="22">
        <f>'Backlog ELV'!BD8</f>
        <v>0</v>
      </c>
      <c r="I8" s="22">
        <f>'Backlog ELV'!BA8</f>
        <v>0</v>
      </c>
      <c r="J8" s="23">
        <f>'Backlog ELV'!BB8</f>
        <v>0</v>
      </c>
      <c r="K8" s="16">
        <v>6</v>
      </c>
      <c r="L8" s="21">
        <f>'Orders ELV'!BB8</f>
        <v>6.8</v>
      </c>
      <c r="M8" s="22">
        <f>'Orders ELV'!BC8</f>
        <v>0</v>
      </c>
      <c r="N8" s="22">
        <f>'Orders ELV'!AZ8</f>
        <v>8</v>
      </c>
      <c r="O8" s="22">
        <f>'Orders ELV'!BA8</f>
        <v>0</v>
      </c>
      <c r="P8" s="16">
        <v>6</v>
      </c>
      <c r="Q8" s="27">
        <f>ROUND('IHC ELV'!BB8,2)</f>
        <v>4</v>
      </c>
      <c r="R8" s="28">
        <f>ROUND('IHC ELV'!BC8,2)</f>
        <v>5.6</v>
      </c>
      <c r="S8" s="28">
        <f>ROUND('IHC ELV'!AZ8,2)</f>
        <v>6</v>
      </c>
      <c r="T8" s="29">
        <f>ROUND('IHC ELV'!BA8,2)</f>
        <v>5.8</v>
      </c>
      <c r="U8" s="16">
        <v>6</v>
      </c>
      <c r="V8" s="11">
        <f>ROUND('UBC ELV'!BA8,2)</f>
        <v>0</v>
      </c>
      <c r="W8" s="11">
        <f>ROUND('UBC ELV'!BB8,2)</f>
        <v>0</v>
      </c>
      <c r="X8" s="11">
        <f>ROUND('UBC ELV'!AY8,2)</f>
        <v>0</v>
      </c>
      <c r="Y8" s="11">
        <f>ROUND('UBC ELV'!AZ8,2)</f>
        <v>0</v>
      </c>
      <c r="Z8" s="16">
        <v>6</v>
      </c>
      <c r="AA8" s="6">
        <f t="shared" si="0"/>
        <v>34.599999999999994</v>
      </c>
      <c r="AB8" s="7">
        <f t="shared" si="0"/>
        <v>32.800000000000004</v>
      </c>
      <c r="AC8" s="7">
        <f t="shared" si="0"/>
        <v>34</v>
      </c>
      <c r="AD8" s="7">
        <f t="shared" si="0"/>
        <v>39.199999999999996</v>
      </c>
    </row>
    <row r="9" spans="1:30" ht="15" thickBot="1" x14ac:dyDescent="0.4">
      <c r="A9" s="14">
        <v>7</v>
      </c>
      <c r="B9" s="21">
        <f>'Inventory ELV'!BC9</f>
        <v>8</v>
      </c>
      <c r="C9" s="22">
        <f>'Inventory ELV'!BD9</f>
        <v>13</v>
      </c>
      <c r="D9" s="22">
        <f>'Inventory ELV'!BA9</f>
        <v>16</v>
      </c>
      <c r="E9" s="23">
        <f>'Inventory ELV'!BB9</f>
        <v>16</v>
      </c>
      <c r="F9" s="16">
        <v>7</v>
      </c>
      <c r="G9" s="21">
        <f>'Backlog ELV'!BC9</f>
        <v>0</v>
      </c>
      <c r="H9" s="22">
        <f>'Backlog ELV'!BD9</f>
        <v>0</v>
      </c>
      <c r="I9" s="22">
        <f>'Backlog ELV'!BA9</f>
        <v>0</v>
      </c>
      <c r="J9" s="23">
        <f>'Backlog ELV'!BB9</f>
        <v>0</v>
      </c>
      <c r="K9" s="16">
        <v>7</v>
      </c>
      <c r="L9" s="21">
        <f>'Orders ELV'!BB9</f>
        <v>9.4</v>
      </c>
      <c r="M9" s="22">
        <f>'Orders ELV'!BC9</f>
        <v>0.4</v>
      </c>
      <c r="N9" s="22">
        <f>'Orders ELV'!AZ9</f>
        <v>8</v>
      </c>
      <c r="O9" s="22">
        <f>'Orders ELV'!BA9</f>
        <v>0.8</v>
      </c>
      <c r="P9" s="16">
        <v>7</v>
      </c>
      <c r="Q9" s="27">
        <f>ROUND('IHC ELV'!BB9,2)</f>
        <v>4</v>
      </c>
      <c r="R9" s="28">
        <f>ROUND('IHC ELV'!BC9,2)</f>
        <v>4.4000000000000004</v>
      </c>
      <c r="S9" s="28">
        <f>ROUND('IHC ELV'!AZ9,2)</f>
        <v>8</v>
      </c>
      <c r="T9" s="29">
        <f>ROUND('IHC ELV'!BA9,2)</f>
        <v>8</v>
      </c>
      <c r="U9" s="16">
        <v>7</v>
      </c>
      <c r="V9" s="11">
        <f>ROUND('UBC ELV'!BA9,2)</f>
        <v>0</v>
      </c>
      <c r="W9" s="11">
        <f>ROUND('UBC ELV'!BB9,2)</f>
        <v>0</v>
      </c>
      <c r="X9" s="11">
        <f>ROUND('UBC ELV'!AY9,2)</f>
        <v>0</v>
      </c>
      <c r="Y9" s="11">
        <f>ROUND('UBC ELV'!AZ9,2)</f>
        <v>0</v>
      </c>
      <c r="Z9" s="16">
        <v>7</v>
      </c>
      <c r="AA9" s="6">
        <f t="shared" si="0"/>
        <v>38.599999999999994</v>
      </c>
      <c r="AB9" s="7">
        <f t="shared" si="0"/>
        <v>37.200000000000003</v>
      </c>
      <c r="AC9" s="7">
        <f t="shared" si="0"/>
        <v>42</v>
      </c>
      <c r="AD9" s="7">
        <f t="shared" si="0"/>
        <v>47.199999999999996</v>
      </c>
    </row>
    <row r="10" spans="1:30" ht="15" thickBot="1" x14ac:dyDescent="0.4">
      <c r="A10" s="14">
        <v>8</v>
      </c>
      <c r="B10" s="21">
        <f>'Inventory ELV'!BC10</f>
        <v>8</v>
      </c>
      <c r="C10" s="22">
        <f>'Inventory ELV'!BD10</f>
        <v>8</v>
      </c>
      <c r="D10" s="22">
        <f>'Inventory ELV'!BA10</f>
        <v>16</v>
      </c>
      <c r="E10" s="23">
        <f>'Inventory ELV'!BB10</f>
        <v>11</v>
      </c>
      <c r="F10" s="16">
        <v>8</v>
      </c>
      <c r="G10" s="21">
        <f>'Backlog ELV'!BC10</f>
        <v>0</v>
      </c>
      <c r="H10" s="22">
        <f>'Backlog ELV'!BD10</f>
        <v>0</v>
      </c>
      <c r="I10" s="22">
        <f>'Backlog ELV'!BA10</f>
        <v>0</v>
      </c>
      <c r="J10" s="23">
        <f>'Backlog ELV'!BB10</f>
        <v>0</v>
      </c>
      <c r="K10" s="16">
        <v>8</v>
      </c>
      <c r="L10" s="21">
        <f>'Orders ELV'!BB10</f>
        <v>9</v>
      </c>
      <c r="M10" s="22">
        <f>'Orders ELV'!BC10</f>
        <v>8.8000000000000007</v>
      </c>
      <c r="N10" s="22">
        <f>'Orders ELV'!AZ10</f>
        <v>8</v>
      </c>
      <c r="O10" s="22">
        <f>'Orders ELV'!BA10</f>
        <v>0</v>
      </c>
      <c r="P10" s="16">
        <v>8</v>
      </c>
      <c r="Q10" s="27">
        <f>ROUND('IHC ELV'!BB10,2)</f>
        <v>4</v>
      </c>
      <c r="R10" s="28">
        <f>ROUND('IHC ELV'!BC10,2)</f>
        <v>3.3</v>
      </c>
      <c r="S10" s="28">
        <f>ROUND('IHC ELV'!AZ10,2)</f>
        <v>7.8</v>
      </c>
      <c r="T10" s="29">
        <f>ROUND('IHC ELV'!BA10,2)</f>
        <v>5.8</v>
      </c>
      <c r="U10" s="16">
        <v>8</v>
      </c>
      <c r="V10" s="11">
        <f>ROUND('UBC ELV'!BA10,2)</f>
        <v>0</v>
      </c>
      <c r="W10" s="11">
        <f>ROUND('UBC ELV'!BB10,2)</f>
        <v>0</v>
      </c>
      <c r="X10" s="11">
        <f>ROUND('UBC ELV'!AY10,2)</f>
        <v>0</v>
      </c>
      <c r="Y10" s="11">
        <f>ROUND('UBC ELV'!AZ10,2)</f>
        <v>0</v>
      </c>
      <c r="Z10" s="16">
        <v>8</v>
      </c>
      <c r="AA10" s="6">
        <f t="shared" si="0"/>
        <v>42.599999999999994</v>
      </c>
      <c r="AB10" s="7">
        <f t="shared" si="0"/>
        <v>40.5</v>
      </c>
      <c r="AC10" s="7">
        <f t="shared" si="0"/>
        <v>49.8</v>
      </c>
      <c r="AD10" s="7">
        <f t="shared" si="0"/>
        <v>52.999999999999993</v>
      </c>
    </row>
    <row r="11" spans="1:30" ht="15" thickBot="1" x14ac:dyDescent="0.4">
      <c r="A11" s="14">
        <v>9</v>
      </c>
      <c r="B11" s="21">
        <f>'Inventory ELV'!BC11</f>
        <v>7</v>
      </c>
      <c r="C11" s="22">
        <f>'Inventory ELV'!BD11</f>
        <v>2</v>
      </c>
      <c r="D11" s="22">
        <f>'Inventory ELV'!BA11</f>
        <v>12</v>
      </c>
      <c r="E11" s="23">
        <f>'Inventory ELV'!BB11</f>
        <v>12</v>
      </c>
      <c r="F11" s="16">
        <v>9</v>
      </c>
      <c r="G11" s="21">
        <f>'Backlog ELV'!BC11</f>
        <v>0</v>
      </c>
      <c r="H11" s="22">
        <f>'Backlog ELV'!BD11</f>
        <v>0</v>
      </c>
      <c r="I11" s="22">
        <f>'Backlog ELV'!BA11</f>
        <v>1.5</v>
      </c>
      <c r="J11" s="23">
        <f>'Backlog ELV'!BB11</f>
        <v>0</v>
      </c>
      <c r="K11" s="16">
        <v>9</v>
      </c>
      <c r="L11" s="21">
        <f>'Orders ELV'!BB11</f>
        <v>8.4</v>
      </c>
      <c r="M11" s="22">
        <f>'Orders ELV'!BC11</f>
        <v>12.8</v>
      </c>
      <c r="N11" s="22">
        <f>'Orders ELV'!AZ11</f>
        <v>8</v>
      </c>
      <c r="O11" s="22">
        <f>'Orders ELV'!BA11</f>
        <v>0</v>
      </c>
      <c r="P11" s="16">
        <v>9</v>
      </c>
      <c r="Q11" s="27">
        <f>ROUND('IHC ELV'!BB11,2)</f>
        <v>5.4</v>
      </c>
      <c r="R11" s="28">
        <f>ROUND('IHC ELV'!BC11,2)</f>
        <v>1.5</v>
      </c>
      <c r="S11" s="28">
        <f>ROUND('IHC ELV'!AZ11,2)</f>
        <v>2.35</v>
      </c>
      <c r="T11" s="29">
        <f>ROUND('IHC ELV'!BA11,2)</f>
        <v>6.3</v>
      </c>
      <c r="U11" s="16">
        <v>9</v>
      </c>
      <c r="V11" s="11">
        <f>ROUND('UBC ELV'!BA11,2)</f>
        <v>0</v>
      </c>
      <c r="W11" s="11">
        <f>ROUND('UBC ELV'!BB11,2)</f>
        <v>0</v>
      </c>
      <c r="X11" s="11">
        <f>ROUND('UBC ELV'!AY11,2)</f>
        <v>1.5</v>
      </c>
      <c r="Y11" s="11">
        <f>ROUND('UBC ELV'!AZ11,2)</f>
        <v>0</v>
      </c>
      <c r="Z11" s="16">
        <v>9</v>
      </c>
      <c r="AA11" s="6">
        <f t="shared" si="0"/>
        <v>47.999999999999993</v>
      </c>
      <c r="AB11" s="7">
        <f t="shared" si="0"/>
        <v>42</v>
      </c>
      <c r="AC11" s="7">
        <f t="shared" si="0"/>
        <v>53.65</v>
      </c>
      <c r="AD11" s="7">
        <f t="shared" si="0"/>
        <v>59.29999999999999</v>
      </c>
    </row>
    <row r="12" spans="1:30" ht="15" thickBot="1" x14ac:dyDescent="0.4">
      <c r="A12" s="14">
        <v>10</v>
      </c>
      <c r="B12" s="21">
        <f>'Inventory ELV'!BC12</f>
        <v>12</v>
      </c>
      <c r="C12" s="22">
        <f>'Inventory ELV'!BD12</f>
        <v>2</v>
      </c>
      <c r="D12" s="22">
        <f>'Inventory ELV'!BA12</f>
        <v>0</v>
      </c>
      <c r="E12" s="23">
        <f>'Inventory ELV'!BB12</f>
        <v>12</v>
      </c>
      <c r="F12" s="16">
        <v>10</v>
      </c>
      <c r="G12" s="21">
        <f>'Backlog ELV'!BC12</f>
        <v>0</v>
      </c>
      <c r="H12" s="22">
        <f>'Backlog ELV'!BD12</f>
        <v>0</v>
      </c>
      <c r="I12" s="22">
        <f>'Backlog ELV'!BA12</f>
        <v>1.3</v>
      </c>
      <c r="J12" s="23">
        <f>'Backlog ELV'!BB12</f>
        <v>0</v>
      </c>
      <c r="K12" s="16">
        <v>10</v>
      </c>
      <c r="L12" s="21">
        <f>'Orders ELV'!BB12</f>
        <v>7.2</v>
      </c>
      <c r="M12" s="22">
        <f>'Orders ELV'!BC12</f>
        <v>10.1</v>
      </c>
      <c r="N12" s="22">
        <f>'Orders ELV'!AZ12</f>
        <v>8</v>
      </c>
      <c r="O12" s="22">
        <f>'Orders ELV'!BA12</f>
        <v>14.1</v>
      </c>
      <c r="P12" s="16">
        <v>10</v>
      </c>
      <c r="Q12" s="27">
        <f>ROUND('IHC ELV'!BB12,2)</f>
        <v>6.7</v>
      </c>
      <c r="R12" s="28">
        <f>ROUND('IHC ELV'!BC12,2)</f>
        <v>2</v>
      </c>
      <c r="S12" s="28">
        <f>ROUND('IHC ELV'!AZ12,2)</f>
        <v>0.65</v>
      </c>
      <c r="T12" s="29">
        <f>ROUND('IHC ELV'!BA12,2)</f>
        <v>6.1</v>
      </c>
      <c r="U12" s="16">
        <v>10</v>
      </c>
      <c r="V12" s="11">
        <f>ROUND('UBC ELV'!BA12,2)</f>
        <v>0</v>
      </c>
      <c r="W12" s="11">
        <f>ROUND('UBC ELV'!BB12,2)</f>
        <v>0</v>
      </c>
      <c r="X12" s="11">
        <f>ROUND('UBC ELV'!AY12,2)</f>
        <v>1.3</v>
      </c>
      <c r="Y12" s="11">
        <f>ROUND('UBC ELV'!AZ12,2)</f>
        <v>0</v>
      </c>
      <c r="Z12" s="16">
        <v>10</v>
      </c>
      <c r="AA12" s="6">
        <f t="shared" si="0"/>
        <v>54.699999999999996</v>
      </c>
      <c r="AB12" s="7">
        <f t="shared" si="0"/>
        <v>44</v>
      </c>
      <c r="AC12" s="7">
        <f t="shared" si="0"/>
        <v>55.6</v>
      </c>
      <c r="AD12" s="7">
        <f t="shared" si="0"/>
        <v>65.399999999999991</v>
      </c>
    </row>
    <row r="13" spans="1:30" ht="15" thickBot="1" x14ac:dyDescent="0.4">
      <c r="A13" s="14">
        <v>11</v>
      </c>
      <c r="B13" s="21">
        <f>'Inventory ELV'!BC13</f>
        <v>14</v>
      </c>
      <c r="C13" s="22">
        <f>'Inventory ELV'!BD13</f>
        <v>3</v>
      </c>
      <c r="D13" s="22">
        <f>'Inventory ELV'!BA13</f>
        <v>0</v>
      </c>
      <c r="E13" s="23">
        <f>'Inventory ELV'!BB13</f>
        <v>12</v>
      </c>
      <c r="F13" s="16">
        <v>11</v>
      </c>
      <c r="G13" s="21">
        <f>'Backlog ELV'!BC13</f>
        <v>0</v>
      </c>
      <c r="H13" s="22">
        <f>'Backlog ELV'!BD13</f>
        <v>0</v>
      </c>
      <c r="I13" s="22">
        <f>'Backlog ELV'!BA13</f>
        <v>1.6</v>
      </c>
      <c r="J13" s="23">
        <f>'Backlog ELV'!BB13</f>
        <v>7.6</v>
      </c>
      <c r="K13" s="16">
        <v>11</v>
      </c>
      <c r="L13" s="21">
        <f>'Orders ELV'!BB13</f>
        <v>7.3</v>
      </c>
      <c r="M13" s="22">
        <f>'Orders ELV'!BC13</f>
        <v>4.7</v>
      </c>
      <c r="N13" s="22">
        <f>'Orders ELV'!AZ13</f>
        <v>8</v>
      </c>
      <c r="O13" s="22">
        <f>'Orders ELV'!BA13</f>
        <v>18.5</v>
      </c>
      <c r="P13" s="16">
        <v>11</v>
      </c>
      <c r="Q13" s="27">
        <f>ROUND('IHC ELV'!BB13,2)</f>
        <v>6.65</v>
      </c>
      <c r="R13" s="28">
        <f>ROUND('IHC ELV'!BC13,2)</f>
        <v>6.05</v>
      </c>
      <c r="S13" s="28">
        <f>ROUND('IHC ELV'!AZ13,2)</f>
        <v>1.1499999999999999</v>
      </c>
      <c r="T13" s="29">
        <f>ROUND('IHC ELV'!BA13,2)</f>
        <v>1.85</v>
      </c>
      <c r="U13" s="16">
        <v>11</v>
      </c>
      <c r="V13" s="11">
        <f>ROUND('UBC ELV'!BA13,2)</f>
        <v>0</v>
      </c>
      <c r="W13" s="11">
        <f>ROUND('UBC ELV'!BB13,2)</f>
        <v>0</v>
      </c>
      <c r="X13" s="11">
        <f>ROUND('UBC ELV'!AY13,2)</f>
        <v>1.6</v>
      </c>
      <c r="Y13" s="11">
        <f>ROUND('UBC ELV'!AZ13,2)</f>
        <v>7.6</v>
      </c>
      <c r="Z13" s="16">
        <v>11</v>
      </c>
      <c r="AA13" s="6">
        <f t="shared" si="0"/>
        <v>61.349999999999994</v>
      </c>
      <c r="AB13" s="7">
        <f t="shared" si="0"/>
        <v>50.05</v>
      </c>
      <c r="AC13" s="7">
        <f t="shared" si="0"/>
        <v>58.35</v>
      </c>
      <c r="AD13" s="7">
        <f t="shared" si="0"/>
        <v>74.849999999999994</v>
      </c>
    </row>
    <row r="14" spans="1:30" ht="15" thickBot="1" x14ac:dyDescent="0.4">
      <c r="A14" s="14">
        <v>12</v>
      </c>
      <c r="B14" s="21">
        <f>'Inventory ELV'!BC14</f>
        <v>14</v>
      </c>
      <c r="C14" s="22">
        <f>'Inventory ELV'!BD14</f>
        <v>18</v>
      </c>
      <c r="D14" s="22">
        <f>'Inventory ELV'!BA14</f>
        <v>3</v>
      </c>
      <c r="E14" s="23">
        <f>'Inventory ELV'!BB14</f>
        <v>0</v>
      </c>
      <c r="F14" s="16">
        <v>12</v>
      </c>
      <c r="G14" s="21">
        <f>'Backlog ELV'!BC14</f>
        <v>0</v>
      </c>
      <c r="H14" s="22">
        <f>'Backlog ELV'!BD14</f>
        <v>0</v>
      </c>
      <c r="I14" s="22">
        <f>'Backlog ELV'!BA14</f>
        <v>0</v>
      </c>
      <c r="J14" s="23">
        <f>'Backlog ELV'!BB14</f>
        <v>13.8</v>
      </c>
      <c r="K14" s="16">
        <v>12</v>
      </c>
      <c r="L14" s="21">
        <f>'Orders ELV'!BB14</f>
        <v>8.1</v>
      </c>
      <c r="M14" s="22">
        <f>'Orders ELV'!BC14</f>
        <v>0.9</v>
      </c>
      <c r="N14" s="22">
        <f>'Orders ELV'!AZ14</f>
        <v>8</v>
      </c>
      <c r="O14" s="22">
        <f>'Orders ELV'!BA14</f>
        <v>8.8000000000000007</v>
      </c>
      <c r="P14" s="16">
        <v>12</v>
      </c>
      <c r="Q14" s="27">
        <f>ROUND('IHC ELV'!BB14,2)</f>
        <v>6.2</v>
      </c>
      <c r="R14" s="28">
        <f>ROUND('IHC ELV'!BC14,2)</f>
        <v>8.1</v>
      </c>
      <c r="S14" s="28">
        <f>ROUND('IHC ELV'!AZ14,2)</f>
        <v>3.65</v>
      </c>
      <c r="T14" s="29">
        <f>ROUND('IHC ELV'!BA14,2)</f>
        <v>0.45</v>
      </c>
      <c r="U14" s="16">
        <v>12</v>
      </c>
      <c r="V14" s="11">
        <f>ROUND('UBC ELV'!BA14,2)</f>
        <v>0</v>
      </c>
      <c r="W14" s="11">
        <f>ROUND('UBC ELV'!BB14,2)</f>
        <v>0</v>
      </c>
      <c r="X14" s="11">
        <f>ROUND('UBC ELV'!AY14,2)</f>
        <v>0</v>
      </c>
      <c r="Y14" s="11">
        <f>ROUND('UBC ELV'!AZ14,2)</f>
        <v>13.8</v>
      </c>
      <c r="Z14" s="16">
        <v>12</v>
      </c>
      <c r="AA14" s="6">
        <f t="shared" si="0"/>
        <v>67.55</v>
      </c>
      <c r="AB14" s="7">
        <f t="shared" si="0"/>
        <v>58.15</v>
      </c>
      <c r="AC14" s="7">
        <f t="shared" si="0"/>
        <v>62</v>
      </c>
      <c r="AD14" s="7">
        <f t="shared" si="0"/>
        <v>89.1</v>
      </c>
    </row>
    <row r="15" spans="1:30" ht="15" thickBot="1" x14ac:dyDescent="0.4">
      <c r="A15" s="14">
        <v>13</v>
      </c>
      <c r="B15" s="21">
        <f>'Inventory ELV'!BC15</f>
        <v>13</v>
      </c>
      <c r="C15" s="22">
        <f>'Inventory ELV'!BD15</f>
        <v>17</v>
      </c>
      <c r="D15" s="22">
        <f>'Inventory ELV'!BA15</f>
        <v>8</v>
      </c>
      <c r="E15" s="23">
        <f>'Inventory ELV'!BB15</f>
        <v>0</v>
      </c>
      <c r="F15" s="16">
        <v>13</v>
      </c>
      <c r="G15" s="21">
        <f>'Backlog ELV'!BC15</f>
        <v>0</v>
      </c>
      <c r="H15" s="22">
        <f>'Backlog ELV'!BD15</f>
        <v>0</v>
      </c>
      <c r="I15" s="22">
        <f>'Backlog ELV'!BA15</f>
        <v>0</v>
      </c>
      <c r="J15" s="23">
        <f>'Backlog ELV'!BB15</f>
        <v>7.3</v>
      </c>
      <c r="K15" s="16">
        <v>13</v>
      </c>
      <c r="L15" s="21">
        <f>'Orders ELV'!BB15</f>
        <v>8.9</v>
      </c>
      <c r="M15" s="22">
        <f>'Orders ELV'!BC15</f>
        <v>3.7</v>
      </c>
      <c r="N15" s="22">
        <f>'Orders ELV'!AZ15</f>
        <v>8</v>
      </c>
      <c r="O15" s="22">
        <f>'Orders ELV'!BA15</f>
        <v>0.8</v>
      </c>
      <c r="P15" s="16">
        <v>13</v>
      </c>
      <c r="Q15" s="27">
        <f>ROUND('IHC ELV'!BB15,2)</f>
        <v>5.6</v>
      </c>
      <c r="R15" s="28">
        <f>ROUND('IHC ELV'!BC15,2)</f>
        <v>6.2</v>
      </c>
      <c r="S15" s="28">
        <f>ROUND('IHC ELV'!AZ15,2)</f>
        <v>9.25</v>
      </c>
      <c r="T15" s="29">
        <f>ROUND('IHC ELV'!BA15,2)</f>
        <v>1.8</v>
      </c>
      <c r="U15" s="16">
        <v>13</v>
      </c>
      <c r="V15" s="11">
        <f>ROUND('UBC ELV'!BA15,2)</f>
        <v>0</v>
      </c>
      <c r="W15" s="11">
        <f>ROUND('UBC ELV'!BB15,2)</f>
        <v>0</v>
      </c>
      <c r="X15" s="11">
        <f>ROUND('UBC ELV'!AY15,2)</f>
        <v>0</v>
      </c>
      <c r="Y15" s="11">
        <f>ROUND('UBC ELV'!AZ15,2)</f>
        <v>7.3</v>
      </c>
      <c r="Z15" s="16">
        <v>13</v>
      </c>
      <c r="AA15" s="6">
        <f t="shared" si="0"/>
        <v>73.149999999999991</v>
      </c>
      <c r="AB15" s="7">
        <f t="shared" si="0"/>
        <v>64.349999999999994</v>
      </c>
      <c r="AC15" s="7">
        <f t="shared" si="0"/>
        <v>71.25</v>
      </c>
      <c r="AD15" s="7">
        <f t="shared" si="0"/>
        <v>98.199999999999989</v>
      </c>
    </row>
    <row r="16" spans="1:30" ht="15" thickBot="1" x14ac:dyDescent="0.4">
      <c r="A16" s="14">
        <v>14</v>
      </c>
      <c r="B16" s="21">
        <f>'Inventory ELV'!BC16</f>
        <v>11</v>
      </c>
      <c r="C16" s="22">
        <f>'Inventory ELV'!BD16</f>
        <v>12</v>
      </c>
      <c r="D16" s="22">
        <f>'Inventory ELV'!BA16</f>
        <v>24</v>
      </c>
      <c r="E16" s="23">
        <f>'Inventory ELV'!BB16</f>
        <v>4</v>
      </c>
      <c r="F16" s="16">
        <v>14</v>
      </c>
      <c r="G16" s="21">
        <f>'Backlog ELV'!BC16</f>
        <v>0</v>
      </c>
      <c r="H16" s="22">
        <f>'Backlog ELV'!BD16</f>
        <v>0</v>
      </c>
      <c r="I16" s="22">
        <f>'Backlog ELV'!BA16</f>
        <v>0</v>
      </c>
      <c r="J16" s="23">
        <f>'Backlog ELV'!BB16</f>
        <v>0.9</v>
      </c>
      <c r="K16" s="16">
        <v>14</v>
      </c>
      <c r="L16" s="21">
        <f>'Orders ELV'!BB16</f>
        <v>8.9</v>
      </c>
      <c r="M16" s="22">
        <f>'Orders ELV'!BC16</f>
        <v>10.3</v>
      </c>
      <c r="N16" s="22">
        <f>'Orders ELV'!AZ16</f>
        <v>8</v>
      </c>
      <c r="O16" s="22">
        <f>'Orders ELV'!BA16</f>
        <v>1.5</v>
      </c>
      <c r="P16" s="16">
        <v>14</v>
      </c>
      <c r="Q16" s="27">
        <f>ROUND('IHC ELV'!BB16,2)</f>
        <v>5.65</v>
      </c>
      <c r="R16" s="28">
        <f>ROUND('IHC ELV'!BC16,2)</f>
        <v>3.9</v>
      </c>
      <c r="S16" s="28">
        <f>ROUND('IHC ELV'!AZ16,2)</f>
        <v>8.5</v>
      </c>
      <c r="T16" s="29">
        <f>ROUND('IHC ELV'!BA16,2)</f>
        <v>9.35</v>
      </c>
      <c r="U16" s="16">
        <v>14</v>
      </c>
      <c r="V16" s="11">
        <f>ROUND('UBC ELV'!BA16,2)</f>
        <v>0</v>
      </c>
      <c r="W16" s="11">
        <f>ROUND('UBC ELV'!BB16,2)</f>
        <v>0</v>
      </c>
      <c r="X16" s="11">
        <f>ROUND('UBC ELV'!AY16,2)</f>
        <v>0</v>
      </c>
      <c r="Y16" s="11">
        <f>ROUND('UBC ELV'!AZ16,2)</f>
        <v>0.9</v>
      </c>
      <c r="Z16" s="16">
        <v>14</v>
      </c>
      <c r="AA16" s="6">
        <f t="shared" si="0"/>
        <v>78.8</v>
      </c>
      <c r="AB16" s="7">
        <f t="shared" si="0"/>
        <v>68.25</v>
      </c>
      <c r="AC16" s="7">
        <f t="shared" si="0"/>
        <v>79.75</v>
      </c>
      <c r="AD16" s="7">
        <f t="shared" si="0"/>
        <v>108.44999999999999</v>
      </c>
    </row>
    <row r="17" spans="1:30" ht="15" thickBot="1" x14ac:dyDescent="0.4">
      <c r="A17" s="14">
        <v>15</v>
      </c>
      <c r="B17" s="21">
        <f>'Inventory ELV'!BC17</f>
        <v>11</v>
      </c>
      <c r="C17" s="22">
        <f>'Inventory ELV'!BD17</f>
        <v>7</v>
      </c>
      <c r="D17" s="22">
        <f>'Inventory ELV'!BA17</f>
        <v>19</v>
      </c>
      <c r="E17" s="23">
        <f>'Inventory ELV'!BB17</f>
        <v>20</v>
      </c>
      <c r="F17" s="16">
        <v>15</v>
      </c>
      <c r="G17" s="21">
        <f>'Backlog ELV'!BC17</f>
        <v>0</v>
      </c>
      <c r="H17" s="22">
        <f>'Backlog ELV'!BD17</f>
        <v>0</v>
      </c>
      <c r="I17" s="22">
        <f>'Backlog ELV'!BA17</f>
        <v>0.5</v>
      </c>
      <c r="J17" s="23">
        <f>'Backlog ELV'!BB17</f>
        <v>0</v>
      </c>
      <c r="K17" s="16">
        <v>15</v>
      </c>
      <c r="L17" s="21">
        <f>'Orders ELV'!BB17</f>
        <v>8.4</v>
      </c>
      <c r="M17" s="22">
        <f>'Orders ELV'!BC17</f>
        <v>12</v>
      </c>
      <c r="N17" s="22">
        <f>'Orders ELV'!AZ17</f>
        <v>8</v>
      </c>
      <c r="O17" s="22">
        <f>'Orders ELV'!BA17</f>
        <v>2.2000000000000002</v>
      </c>
      <c r="P17" s="16">
        <v>15</v>
      </c>
      <c r="Q17" s="27">
        <f>ROUND('IHC ELV'!BB17,2)</f>
        <v>6.05</v>
      </c>
      <c r="R17" s="28">
        <f>ROUND('IHC ELV'!BC17,2)</f>
        <v>2</v>
      </c>
      <c r="S17" s="28">
        <f>ROUND('IHC ELV'!AZ17,2)</f>
        <v>4.7</v>
      </c>
      <c r="T17" s="29">
        <f>ROUND('IHC ELV'!BA17,2)</f>
        <v>12.7</v>
      </c>
      <c r="U17" s="16">
        <v>15</v>
      </c>
      <c r="V17" s="11">
        <f>ROUND('UBC ELV'!BA17,2)</f>
        <v>0</v>
      </c>
      <c r="W17" s="11">
        <f>ROUND('UBC ELV'!BB17,2)</f>
        <v>0</v>
      </c>
      <c r="X17" s="11">
        <f>ROUND('UBC ELV'!AY17,2)</f>
        <v>0.5</v>
      </c>
      <c r="Y17" s="11">
        <f>ROUND('UBC ELV'!AZ17,2)</f>
        <v>0</v>
      </c>
      <c r="Z17" s="16">
        <v>15</v>
      </c>
      <c r="AA17" s="6">
        <f t="shared" si="0"/>
        <v>84.85</v>
      </c>
      <c r="AB17" s="7">
        <f t="shared" si="0"/>
        <v>70.25</v>
      </c>
      <c r="AC17" s="7">
        <f t="shared" si="0"/>
        <v>84.95</v>
      </c>
      <c r="AD17" s="7">
        <f t="shared" si="0"/>
        <v>121.14999999999999</v>
      </c>
    </row>
    <row r="18" spans="1:30" ht="15" thickBot="1" x14ac:dyDescent="0.4">
      <c r="A18" s="14">
        <v>16</v>
      </c>
      <c r="B18" s="21">
        <f>'Inventory ELV'!BC18</f>
        <v>13</v>
      </c>
      <c r="C18" s="22">
        <f>'Inventory ELV'!BD18</f>
        <v>2</v>
      </c>
      <c r="D18" s="22">
        <f>'Inventory ELV'!BA18</f>
        <v>6</v>
      </c>
      <c r="E18" s="23">
        <f>'Inventory ELV'!BB18</f>
        <v>26</v>
      </c>
      <c r="F18" s="16">
        <v>16</v>
      </c>
      <c r="G18" s="21">
        <f>'Backlog ELV'!BC18</f>
        <v>0</v>
      </c>
      <c r="H18" s="22">
        <f>'Backlog ELV'!BD18</f>
        <v>0</v>
      </c>
      <c r="I18" s="22">
        <f>'Backlog ELV'!BA18</f>
        <v>1.2</v>
      </c>
      <c r="J18" s="23">
        <f>'Backlog ELV'!BB18</f>
        <v>0</v>
      </c>
      <c r="K18" s="16">
        <v>16</v>
      </c>
      <c r="L18" s="21">
        <f>'Orders ELV'!BB18</f>
        <v>7.7</v>
      </c>
      <c r="M18" s="22">
        <f>'Orders ELV'!BC18</f>
        <v>9</v>
      </c>
      <c r="N18" s="22">
        <f>'Orders ELV'!AZ18</f>
        <v>8</v>
      </c>
      <c r="O18" s="22">
        <f>'Orders ELV'!BA18</f>
        <v>10.9</v>
      </c>
      <c r="P18" s="16">
        <v>16</v>
      </c>
      <c r="Q18" s="27">
        <f>ROUND('IHC ELV'!BB18,2)</f>
        <v>6.45</v>
      </c>
      <c r="R18" s="28">
        <f>ROUND('IHC ELV'!BC18,2)</f>
        <v>3.65</v>
      </c>
      <c r="S18" s="28">
        <f>ROUND('IHC ELV'!AZ18,2)</f>
        <v>3.4</v>
      </c>
      <c r="T18" s="29">
        <f>ROUND('IHC ELV'!BA18,2)</f>
        <v>9.3000000000000007</v>
      </c>
      <c r="U18" s="16">
        <v>16</v>
      </c>
      <c r="V18" s="11">
        <f>ROUND('UBC ELV'!BA18,2)</f>
        <v>0</v>
      </c>
      <c r="W18" s="11">
        <f>ROUND('UBC ELV'!BB18,2)</f>
        <v>0</v>
      </c>
      <c r="X18" s="11">
        <f>ROUND('UBC ELV'!AY18,2)</f>
        <v>1.2</v>
      </c>
      <c r="Y18" s="11">
        <f>ROUND('UBC ELV'!AZ18,2)</f>
        <v>0</v>
      </c>
      <c r="Z18" s="16">
        <v>16</v>
      </c>
      <c r="AA18" s="6">
        <f t="shared" si="0"/>
        <v>91.3</v>
      </c>
      <c r="AB18" s="7">
        <f t="shared" si="0"/>
        <v>73.900000000000006</v>
      </c>
      <c r="AC18" s="7">
        <f t="shared" si="0"/>
        <v>89.55</v>
      </c>
      <c r="AD18" s="7">
        <f t="shared" si="0"/>
        <v>130.44999999999999</v>
      </c>
    </row>
    <row r="19" spans="1:30" ht="15" thickBot="1" x14ac:dyDescent="0.4">
      <c r="A19" s="14">
        <v>17</v>
      </c>
      <c r="B19" s="21">
        <f>'Inventory ELV'!BC19</f>
        <v>13</v>
      </c>
      <c r="C19" s="22">
        <f>'Inventory ELV'!BD19</f>
        <v>8</v>
      </c>
      <c r="D19" s="22">
        <f>'Inventory ELV'!BA19</f>
        <v>0</v>
      </c>
      <c r="E19" s="23">
        <f>'Inventory ELV'!BB19</f>
        <v>12</v>
      </c>
      <c r="F19" s="16">
        <v>17</v>
      </c>
      <c r="G19" s="21">
        <f>'Backlog ELV'!BC19</f>
        <v>0</v>
      </c>
      <c r="H19" s="22">
        <f>'Backlog ELV'!BD19</f>
        <v>0</v>
      </c>
      <c r="I19" s="22">
        <f>'Backlog ELV'!BA19</f>
        <v>0.3</v>
      </c>
      <c r="J19" s="23">
        <f>'Backlog ELV'!BB19</f>
        <v>4.3</v>
      </c>
      <c r="K19" s="16">
        <v>17</v>
      </c>
      <c r="L19" s="21">
        <f>'Orders ELV'!BB19</f>
        <v>7.8</v>
      </c>
      <c r="M19" s="22">
        <f>'Orders ELV'!BC19</f>
        <v>3.6</v>
      </c>
      <c r="N19" s="22">
        <f>'Orders ELV'!AZ19</f>
        <v>8</v>
      </c>
      <c r="O19" s="22">
        <f>'Orders ELV'!BA19</f>
        <v>18.7</v>
      </c>
      <c r="P19" s="16">
        <v>17</v>
      </c>
      <c r="Q19" s="27">
        <f>ROUND('IHC ELV'!BB19,2)</f>
        <v>6.45</v>
      </c>
      <c r="R19" s="28">
        <f>ROUND('IHC ELV'!BC19,2)</f>
        <v>7.05</v>
      </c>
      <c r="S19" s="28">
        <f>ROUND('IHC ELV'!AZ19,2)</f>
        <v>2.85</v>
      </c>
      <c r="T19" s="29">
        <f>ROUND('IHC ELV'!BA19,2)</f>
        <v>3.85</v>
      </c>
      <c r="U19" s="16">
        <v>17</v>
      </c>
      <c r="V19" s="11">
        <f>ROUND('UBC ELV'!BA19,2)</f>
        <v>0</v>
      </c>
      <c r="W19" s="11">
        <f>ROUND('UBC ELV'!BB19,2)</f>
        <v>0</v>
      </c>
      <c r="X19" s="11">
        <f>ROUND('UBC ELV'!AY19,2)</f>
        <v>0.3</v>
      </c>
      <c r="Y19" s="11">
        <f>ROUND('UBC ELV'!AZ19,2)</f>
        <v>4.3</v>
      </c>
      <c r="Z19" s="16">
        <v>17</v>
      </c>
      <c r="AA19" s="6">
        <f t="shared" ref="AA19:AD34" si="1">Q19+V19+AA18</f>
        <v>97.75</v>
      </c>
      <c r="AB19" s="7">
        <f t="shared" si="1"/>
        <v>80.95</v>
      </c>
      <c r="AC19" s="7">
        <f t="shared" si="1"/>
        <v>92.7</v>
      </c>
      <c r="AD19" s="7">
        <f t="shared" si="1"/>
        <v>138.6</v>
      </c>
    </row>
    <row r="20" spans="1:30" ht="15" thickBot="1" x14ac:dyDescent="0.4">
      <c r="A20" s="14">
        <v>18</v>
      </c>
      <c r="B20" s="21">
        <f>'Inventory ELV'!BC20</f>
        <v>14</v>
      </c>
      <c r="C20" s="22">
        <f>'Inventory ELV'!BD20</f>
        <v>18</v>
      </c>
      <c r="D20" s="22">
        <f>'Inventory ELV'!BA20</f>
        <v>1</v>
      </c>
      <c r="E20" s="23">
        <f>'Inventory ELV'!BB20</f>
        <v>0</v>
      </c>
      <c r="F20" s="16">
        <v>18</v>
      </c>
      <c r="G20" s="21">
        <f>'Backlog ELV'!BC20</f>
        <v>0</v>
      </c>
      <c r="H20" s="22">
        <f>'Backlog ELV'!BD20</f>
        <v>0</v>
      </c>
      <c r="I20" s="22">
        <f>'Backlog ELV'!BA20</f>
        <v>0</v>
      </c>
      <c r="J20" s="23">
        <f>'Backlog ELV'!BB20</f>
        <v>9.8000000000000007</v>
      </c>
      <c r="K20" s="16">
        <v>18</v>
      </c>
      <c r="L20" s="21">
        <f>'Orders ELV'!BB20</f>
        <v>8.3000000000000007</v>
      </c>
      <c r="M20" s="22">
        <f>'Orders ELV'!BC20</f>
        <v>2.8</v>
      </c>
      <c r="N20" s="22">
        <f>'Orders ELV'!AZ20</f>
        <v>8</v>
      </c>
      <c r="O20" s="22">
        <f>'Orders ELV'!BA20</f>
        <v>6.4</v>
      </c>
      <c r="P20" s="16">
        <v>18</v>
      </c>
      <c r="Q20" s="27">
        <f>ROUND('IHC ELV'!BB20,2)</f>
        <v>6.2</v>
      </c>
      <c r="R20" s="28">
        <f>ROUND('IHC ELV'!BC20,2)</f>
        <v>7.5</v>
      </c>
      <c r="S20" s="28">
        <f>ROUND('IHC ELV'!AZ20,2)</f>
        <v>5.3</v>
      </c>
      <c r="T20" s="29">
        <f>ROUND('IHC ELV'!BA20,2)</f>
        <v>2.4500000000000002</v>
      </c>
      <c r="U20" s="16">
        <v>18</v>
      </c>
      <c r="V20" s="11">
        <f>ROUND('UBC ELV'!BA20,2)</f>
        <v>0</v>
      </c>
      <c r="W20" s="11">
        <f>ROUND('UBC ELV'!BB20,2)</f>
        <v>0</v>
      </c>
      <c r="X20" s="11">
        <f>ROUND('UBC ELV'!AY20,2)</f>
        <v>0</v>
      </c>
      <c r="Y20" s="11">
        <f>ROUND('UBC ELV'!AZ20,2)</f>
        <v>9.8000000000000007</v>
      </c>
      <c r="Z20" s="16">
        <v>18</v>
      </c>
      <c r="AA20" s="6">
        <f t="shared" si="1"/>
        <v>103.95</v>
      </c>
      <c r="AB20" s="7">
        <f t="shared" si="1"/>
        <v>88.45</v>
      </c>
      <c r="AC20" s="7">
        <f t="shared" si="1"/>
        <v>98</v>
      </c>
      <c r="AD20" s="7">
        <f t="shared" si="1"/>
        <v>150.85</v>
      </c>
    </row>
    <row r="21" spans="1:30" ht="15" thickBot="1" x14ac:dyDescent="0.4">
      <c r="A21" s="14">
        <v>19</v>
      </c>
      <c r="B21" s="21">
        <f>'Inventory ELV'!BC21</f>
        <v>13</v>
      </c>
      <c r="C21" s="22">
        <f>'Inventory ELV'!BD21</f>
        <v>16</v>
      </c>
      <c r="D21" s="22">
        <f>'Inventory ELV'!BA21</f>
        <v>10</v>
      </c>
      <c r="E21" s="23">
        <f>'Inventory ELV'!BB21</f>
        <v>0</v>
      </c>
      <c r="F21" s="16">
        <v>19</v>
      </c>
      <c r="G21" s="21">
        <f>'Backlog ELV'!BC21</f>
        <v>0</v>
      </c>
      <c r="H21" s="22">
        <f>'Backlog ELV'!BD21</f>
        <v>0</v>
      </c>
      <c r="I21" s="22">
        <f>'Backlog ELV'!BA21</f>
        <v>0</v>
      </c>
      <c r="J21" s="23">
        <f>'Backlog ELV'!BB21</f>
        <v>0.9</v>
      </c>
      <c r="K21" s="16">
        <v>19</v>
      </c>
      <c r="L21" s="21">
        <f>'Orders ELV'!BB21</f>
        <v>8.6</v>
      </c>
      <c r="M21" s="22">
        <f>'Orders ELV'!BC21</f>
        <v>5.5</v>
      </c>
      <c r="N21" s="22">
        <f>'Orders ELV'!AZ21</f>
        <v>8</v>
      </c>
      <c r="O21" s="22">
        <f>'Orders ELV'!BA21</f>
        <v>2.1</v>
      </c>
      <c r="P21" s="16">
        <v>19</v>
      </c>
      <c r="Q21" s="27">
        <f>ROUND('IHC ELV'!BB21,2)</f>
        <v>5.85</v>
      </c>
      <c r="R21" s="28">
        <f>ROUND('IHC ELV'!BC21,2)</f>
        <v>6.2</v>
      </c>
      <c r="S21" s="28">
        <f>ROUND('IHC ELV'!AZ21,2)</f>
        <v>8.15</v>
      </c>
      <c r="T21" s="29">
        <f>ROUND('IHC ELV'!BA21,2)</f>
        <v>5.35</v>
      </c>
      <c r="U21" s="16">
        <v>19</v>
      </c>
      <c r="V21" s="11">
        <f>ROUND('UBC ELV'!BA21,2)</f>
        <v>0</v>
      </c>
      <c r="W21" s="11">
        <f>ROUND('UBC ELV'!BB21,2)</f>
        <v>0</v>
      </c>
      <c r="X21" s="11">
        <f>ROUND('UBC ELV'!AY21,2)</f>
        <v>0</v>
      </c>
      <c r="Y21" s="11">
        <f>ROUND('UBC ELV'!AZ21,2)</f>
        <v>0.9</v>
      </c>
      <c r="Z21" s="16">
        <v>19</v>
      </c>
      <c r="AA21" s="6">
        <f t="shared" si="1"/>
        <v>109.8</v>
      </c>
      <c r="AB21" s="7">
        <f t="shared" si="1"/>
        <v>94.65</v>
      </c>
      <c r="AC21" s="7">
        <f t="shared" si="1"/>
        <v>106.15</v>
      </c>
      <c r="AD21" s="7">
        <f t="shared" si="1"/>
        <v>157.1</v>
      </c>
    </row>
    <row r="22" spans="1:30" ht="15" thickBot="1" x14ac:dyDescent="0.4">
      <c r="A22" s="14">
        <v>20</v>
      </c>
      <c r="B22" s="21">
        <f>'Inventory ELV'!BC22</f>
        <v>12</v>
      </c>
      <c r="C22" s="22">
        <f>'Inventory ELV'!BD22</f>
        <v>15</v>
      </c>
      <c r="D22" s="22">
        <f>'Inventory ELV'!BA22</f>
        <v>24</v>
      </c>
      <c r="E22" s="23">
        <f>'Inventory ELV'!BB22</f>
        <v>1</v>
      </c>
      <c r="F22" s="16">
        <v>20</v>
      </c>
      <c r="G22" s="21">
        <f>'Backlog ELV'!BC22</f>
        <v>0</v>
      </c>
      <c r="H22" s="22">
        <f>'Backlog ELV'!BD22</f>
        <v>0</v>
      </c>
      <c r="I22" s="22">
        <f>'Backlog ELV'!BA22</f>
        <v>0</v>
      </c>
      <c r="J22" s="23">
        <f>'Backlog ELV'!BB22</f>
        <v>0</v>
      </c>
      <c r="K22" s="16">
        <v>20</v>
      </c>
      <c r="L22" s="21">
        <f>'Orders ELV'!BB22</f>
        <v>8.4</v>
      </c>
      <c r="M22" s="22">
        <f>'Orders ELV'!BC22</f>
        <v>10</v>
      </c>
      <c r="N22" s="22">
        <f>'Orders ELV'!AZ22</f>
        <v>8</v>
      </c>
      <c r="O22" s="22">
        <f>'Orders ELV'!BA22</f>
        <v>2.2999999999999998</v>
      </c>
      <c r="P22" s="16">
        <v>20</v>
      </c>
      <c r="Q22" s="27">
        <f>ROUND('IHC ELV'!BB22,2)</f>
        <v>5.9</v>
      </c>
      <c r="R22" s="28">
        <f>ROUND('IHC ELV'!BC22,2)</f>
        <v>3.5</v>
      </c>
      <c r="S22" s="28">
        <f>ROUND('IHC ELV'!AZ22,2)</f>
        <v>7.85</v>
      </c>
      <c r="T22" s="29">
        <f>ROUND('IHC ELV'!BA22,2)</f>
        <v>10</v>
      </c>
      <c r="U22" s="16">
        <v>20</v>
      </c>
      <c r="V22" s="11">
        <f>ROUND('UBC ELV'!BA22,2)</f>
        <v>0</v>
      </c>
      <c r="W22" s="11">
        <f>ROUND('UBC ELV'!BB22,2)</f>
        <v>0</v>
      </c>
      <c r="X22" s="11">
        <f>ROUND('UBC ELV'!AY22,2)</f>
        <v>0</v>
      </c>
      <c r="Y22" s="11">
        <f>ROUND('UBC ELV'!AZ22,2)</f>
        <v>0</v>
      </c>
      <c r="Z22" s="16">
        <v>20</v>
      </c>
      <c r="AA22" s="6">
        <f t="shared" si="1"/>
        <v>115.7</v>
      </c>
      <c r="AB22" s="7">
        <f t="shared" si="1"/>
        <v>98.15</v>
      </c>
      <c r="AC22" s="7">
        <f t="shared" si="1"/>
        <v>114</v>
      </c>
      <c r="AD22" s="7">
        <f t="shared" si="1"/>
        <v>167.1</v>
      </c>
    </row>
    <row r="23" spans="1:30" ht="15" thickBot="1" x14ac:dyDescent="0.4">
      <c r="A23" s="14">
        <v>21</v>
      </c>
      <c r="B23" s="21">
        <f>'Inventory ELV'!BC23</f>
        <v>12</v>
      </c>
      <c r="C23" s="22">
        <f>'Inventory ELV'!BD23</f>
        <v>5</v>
      </c>
      <c r="D23" s="22">
        <f>'Inventory ELV'!BA23</f>
        <v>15</v>
      </c>
      <c r="E23" s="23">
        <f>'Inventory ELV'!BB23</f>
        <v>24</v>
      </c>
      <c r="F23" s="16">
        <v>21</v>
      </c>
      <c r="G23" s="21">
        <f>'Backlog ELV'!BC23</f>
        <v>0</v>
      </c>
      <c r="H23" s="22">
        <f>'Backlog ELV'!BD23</f>
        <v>0</v>
      </c>
      <c r="I23" s="22">
        <f>'Backlog ELV'!BA23</f>
        <v>0</v>
      </c>
      <c r="J23" s="23">
        <f>'Backlog ELV'!BB23</f>
        <v>0</v>
      </c>
      <c r="K23" s="16">
        <v>21</v>
      </c>
      <c r="L23" s="21">
        <f>'Orders ELV'!BB23</f>
        <v>8.1999999999999993</v>
      </c>
      <c r="M23" s="22">
        <f>'Orders ELV'!BC23</f>
        <v>10.6</v>
      </c>
      <c r="N23" s="22">
        <f>'Orders ELV'!AZ23</f>
        <v>8</v>
      </c>
      <c r="O23" s="22">
        <f>'Orders ELV'!BA23</f>
        <v>4.4000000000000004</v>
      </c>
      <c r="P23" s="16">
        <v>21</v>
      </c>
      <c r="Q23" s="27">
        <f>ROUND('IHC ELV'!BB23,2)</f>
        <v>6.15</v>
      </c>
      <c r="R23" s="28">
        <f>ROUND('IHC ELV'!BC23,2)</f>
        <v>3.2</v>
      </c>
      <c r="S23" s="28">
        <f>ROUND('IHC ELV'!AZ23,2)</f>
        <v>3.75</v>
      </c>
      <c r="T23" s="29">
        <f>ROUND('IHC ELV'!BA23,2)</f>
        <v>13.4</v>
      </c>
      <c r="U23" s="16">
        <v>21</v>
      </c>
      <c r="V23" s="11">
        <f>ROUND('UBC ELV'!BA23,2)</f>
        <v>0</v>
      </c>
      <c r="W23" s="11">
        <f>ROUND('UBC ELV'!BB23,2)</f>
        <v>0</v>
      </c>
      <c r="X23" s="11">
        <f>ROUND('UBC ELV'!AY23,2)</f>
        <v>0</v>
      </c>
      <c r="Y23" s="11">
        <f>ROUND('UBC ELV'!AZ23,2)</f>
        <v>0</v>
      </c>
      <c r="Z23" s="16">
        <v>21</v>
      </c>
      <c r="AA23" s="6">
        <f t="shared" si="1"/>
        <v>121.85000000000001</v>
      </c>
      <c r="AB23" s="7">
        <f t="shared" si="1"/>
        <v>101.35000000000001</v>
      </c>
      <c r="AC23" s="7">
        <f t="shared" si="1"/>
        <v>117.75</v>
      </c>
      <c r="AD23" s="7">
        <f t="shared" si="1"/>
        <v>180.5</v>
      </c>
    </row>
    <row r="24" spans="1:30" ht="15" thickBot="1" x14ac:dyDescent="0.4">
      <c r="A24" s="14">
        <v>22</v>
      </c>
      <c r="B24" s="21">
        <f>'Inventory ELV'!BC24</f>
        <v>12</v>
      </c>
      <c r="C24" s="22">
        <f>'Inventory ELV'!BD24</f>
        <v>3</v>
      </c>
      <c r="D24" s="22">
        <f>'Inventory ELV'!BA24</f>
        <v>13</v>
      </c>
      <c r="E24" s="23">
        <f>'Inventory ELV'!BB24</f>
        <v>23</v>
      </c>
      <c r="F24" s="16">
        <v>22</v>
      </c>
      <c r="G24" s="21">
        <f>'Backlog ELV'!BC24</f>
        <v>0</v>
      </c>
      <c r="H24" s="22">
        <f>'Backlog ELV'!BD24</f>
        <v>0</v>
      </c>
      <c r="I24" s="22">
        <f>'Backlog ELV'!BA24</f>
        <v>0.4</v>
      </c>
      <c r="J24" s="23">
        <f>'Backlog ELV'!BB24</f>
        <v>1</v>
      </c>
      <c r="K24" s="16">
        <v>22</v>
      </c>
      <c r="L24" s="21">
        <f>'Orders ELV'!BB24</f>
        <v>8.1</v>
      </c>
      <c r="M24" s="22">
        <f>'Orders ELV'!BC24</f>
        <v>6.4</v>
      </c>
      <c r="N24" s="22">
        <f>'Orders ELV'!AZ24</f>
        <v>8</v>
      </c>
      <c r="O24" s="22">
        <f>'Orders ELV'!BA24</f>
        <v>13.9</v>
      </c>
      <c r="P24" s="16">
        <v>22</v>
      </c>
      <c r="Q24" s="27">
        <f>ROUND('IHC ELV'!BB24,2)</f>
        <v>6.3</v>
      </c>
      <c r="R24" s="28">
        <f>ROUND('IHC ELV'!BC24,2)</f>
        <v>4.6500000000000004</v>
      </c>
      <c r="S24" s="28">
        <f>ROUND('IHC ELV'!AZ24,2)</f>
        <v>1.95</v>
      </c>
      <c r="T24" s="29">
        <f>ROUND('IHC ELV'!BA24,2)</f>
        <v>6.35</v>
      </c>
      <c r="U24" s="16">
        <v>22</v>
      </c>
      <c r="V24" s="11">
        <f>ROUND('UBC ELV'!BA24,2)</f>
        <v>0</v>
      </c>
      <c r="W24" s="11">
        <f>ROUND('UBC ELV'!BB24,2)</f>
        <v>0</v>
      </c>
      <c r="X24" s="11">
        <f>ROUND('UBC ELV'!AY24,2)</f>
        <v>0.4</v>
      </c>
      <c r="Y24" s="11">
        <f>ROUND('UBC ELV'!AZ24,2)</f>
        <v>1</v>
      </c>
      <c r="Z24" s="16">
        <v>22</v>
      </c>
      <c r="AA24" s="6">
        <f t="shared" si="1"/>
        <v>128.15</v>
      </c>
      <c r="AB24" s="7">
        <f t="shared" si="1"/>
        <v>106.00000000000001</v>
      </c>
      <c r="AC24" s="7">
        <f t="shared" si="1"/>
        <v>120.1</v>
      </c>
      <c r="AD24" s="7">
        <f t="shared" si="1"/>
        <v>187.85</v>
      </c>
    </row>
    <row r="25" spans="1:30" ht="15" thickBot="1" x14ac:dyDescent="0.4">
      <c r="A25" s="14">
        <v>23</v>
      </c>
      <c r="B25" s="21">
        <f>'Inventory ELV'!BC25</f>
        <v>13</v>
      </c>
      <c r="C25" s="22">
        <f>'Inventory ELV'!BD25</f>
        <v>12</v>
      </c>
      <c r="D25" s="22">
        <f>'Inventory ELV'!BA25</f>
        <v>0</v>
      </c>
      <c r="E25" s="23">
        <f>'Inventory ELV'!BB25</f>
        <v>10</v>
      </c>
      <c r="F25" s="16">
        <v>23</v>
      </c>
      <c r="G25" s="21">
        <f>'Backlog ELV'!BC25</f>
        <v>0</v>
      </c>
      <c r="H25" s="22">
        <f>'Backlog ELV'!BD25</f>
        <v>0</v>
      </c>
      <c r="I25" s="22">
        <f>'Backlog ELV'!BA25</f>
        <v>0.2</v>
      </c>
      <c r="J25" s="23">
        <f>'Backlog ELV'!BB25</f>
        <v>4.5999999999999996</v>
      </c>
      <c r="K25" s="16">
        <v>23</v>
      </c>
      <c r="L25" s="21">
        <f>'Orders ELV'!BB25</f>
        <v>8</v>
      </c>
      <c r="M25" s="22">
        <f>'Orders ELV'!BC25</f>
        <v>3.8</v>
      </c>
      <c r="N25" s="22">
        <f>'Orders ELV'!AZ25</f>
        <v>8</v>
      </c>
      <c r="O25" s="22">
        <f>'Orders ELV'!BA25</f>
        <v>14.8</v>
      </c>
      <c r="P25" s="16">
        <v>23</v>
      </c>
      <c r="Q25" s="27">
        <f>ROUND('IHC ELV'!BB25,2)</f>
        <v>6.1</v>
      </c>
      <c r="R25" s="28">
        <f>ROUND('IHC ELV'!BC25,2)</f>
        <v>6.95</v>
      </c>
      <c r="S25" s="28">
        <f>ROUND('IHC ELV'!AZ25,2)</f>
        <v>4.05</v>
      </c>
      <c r="T25" s="29">
        <f>ROUND('IHC ELV'!BA25,2)</f>
        <v>1.75</v>
      </c>
      <c r="U25" s="16">
        <v>23</v>
      </c>
      <c r="V25" s="11">
        <f>ROUND('UBC ELV'!BA25,2)</f>
        <v>0</v>
      </c>
      <c r="W25" s="11">
        <f>ROUND('UBC ELV'!BB25,2)</f>
        <v>0</v>
      </c>
      <c r="X25" s="11">
        <f>ROUND('UBC ELV'!AY25,2)</f>
        <v>0.2</v>
      </c>
      <c r="Y25" s="11">
        <f>ROUND('UBC ELV'!AZ25,2)</f>
        <v>4.5999999999999996</v>
      </c>
      <c r="Z25" s="16">
        <v>23</v>
      </c>
      <c r="AA25" s="6">
        <f t="shared" si="1"/>
        <v>134.25</v>
      </c>
      <c r="AB25" s="7">
        <f t="shared" si="1"/>
        <v>112.95000000000002</v>
      </c>
      <c r="AC25" s="7">
        <f t="shared" si="1"/>
        <v>124.35</v>
      </c>
      <c r="AD25" s="7">
        <f t="shared" si="1"/>
        <v>194.2</v>
      </c>
    </row>
    <row r="26" spans="1:30" ht="15" thickBot="1" x14ac:dyDescent="0.4">
      <c r="A26" s="14">
        <v>24</v>
      </c>
      <c r="B26" s="21">
        <f>'Inventory ELV'!BC26</f>
        <v>13</v>
      </c>
      <c r="C26" s="22">
        <f>'Inventory ELV'!BD26</f>
        <v>13</v>
      </c>
      <c r="D26" s="22">
        <f>'Inventory ELV'!BA26</f>
        <v>4</v>
      </c>
      <c r="E26" s="23">
        <f>'Inventory ELV'!BB26</f>
        <v>0</v>
      </c>
      <c r="F26" s="16">
        <v>24</v>
      </c>
      <c r="G26" s="21">
        <f>'Backlog ELV'!BC26</f>
        <v>0</v>
      </c>
      <c r="H26" s="22">
        <f>'Backlog ELV'!BD26</f>
        <v>0</v>
      </c>
      <c r="I26" s="22">
        <f>'Backlog ELV'!BA26</f>
        <v>0</v>
      </c>
      <c r="J26" s="23">
        <f>'Backlog ELV'!BB26</f>
        <v>4.8</v>
      </c>
      <c r="K26" s="16">
        <v>24</v>
      </c>
      <c r="L26" s="21">
        <f>'Orders ELV'!BB26</f>
        <v>8.4</v>
      </c>
      <c r="M26" s="22">
        <f>'Orders ELV'!BC26</f>
        <v>4</v>
      </c>
      <c r="N26" s="22">
        <f>'Orders ELV'!AZ26</f>
        <v>8</v>
      </c>
      <c r="O26" s="22">
        <f>'Orders ELV'!BA26</f>
        <v>3.9</v>
      </c>
      <c r="P26" s="16">
        <v>24</v>
      </c>
      <c r="Q26" s="27">
        <f>ROUND('IHC ELV'!BB26,2)</f>
        <v>6.1</v>
      </c>
      <c r="R26" s="28">
        <f>ROUND('IHC ELV'!BC26,2)</f>
        <v>7.1</v>
      </c>
      <c r="S26" s="28">
        <f>ROUND('IHC ELV'!AZ26,2)</f>
        <v>5.8</v>
      </c>
      <c r="T26" s="29">
        <f>ROUND('IHC ELV'!BA26,2)</f>
        <v>1.2</v>
      </c>
      <c r="U26" s="16">
        <v>24</v>
      </c>
      <c r="V26" s="11">
        <f>ROUND('UBC ELV'!BA26,2)</f>
        <v>0</v>
      </c>
      <c r="W26" s="11">
        <f>ROUND('UBC ELV'!BB26,2)</f>
        <v>0</v>
      </c>
      <c r="X26" s="11">
        <f>ROUND('UBC ELV'!AY26,2)</f>
        <v>0</v>
      </c>
      <c r="Y26" s="11">
        <f>ROUND('UBC ELV'!AZ26,2)</f>
        <v>4.8</v>
      </c>
      <c r="Z26" s="16">
        <v>24</v>
      </c>
      <c r="AA26" s="6">
        <f t="shared" si="1"/>
        <v>140.35</v>
      </c>
      <c r="AB26" s="7">
        <f t="shared" si="1"/>
        <v>120.05000000000001</v>
      </c>
      <c r="AC26" s="7">
        <f t="shared" si="1"/>
        <v>130.15</v>
      </c>
      <c r="AD26" s="7">
        <f t="shared" si="1"/>
        <v>200.2</v>
      </c>
    </row>
    <row r="27" spans="1:30" ht="15" thickBot="1" x14ac:dyDescent="0.4">
      <c r="A27" s="14">
        <v>25</v>
      </c>
      <c r="B27" s="21">
        <f>'Inventory ELV'!BC27</f>
        <v>13</v>
      </c>
      <c r="C27" s="22">
        <f>'Inventory ELV'!BD27</f>
        <v>16</v>
      </c>
      <c r="D27" s="22">
        <f>'Inventory ELV'!BA27</f>
        <v>15</v>
      </c>
      <c r="E27" s="23">
        <f>'Inventory ELV'!BB27</f>
        <v>0</v>
      </c>
      <c r="F27" s="16">
        <v>25</v>
      </c>
      <c r="G27" s="21">
        <f>'Backlog ELV'!BC27</f>
        <v>0</v>
      </c>
      <c r="H27" s="22">
        <f>'Backlog ELV'!BD27</f>
        <v>0</v>
      </c>
      <c r="I27" s="22">
        <f>'Backlog ELV'!BA27</f>
        <v>0</v>
      </c>
      <c r="J27" s="23">
        <f>'Backlog ELV'!BB27</f>
        <v>2.7</v>
      </c>
      <c r="K27" s="16">
        <v>25</v>
      </c>
      <c r="L27" s="21">
        <f>'Orders ELV'!BB27</f>
        <v>8.1999999999999993</v>
      </c>
      <c r="M27" s="22">
        <f>'Orders ELV'!BC27</f>
        <v>7.4</v>
      </c>
      <c r="N27" s="22">
        <f>'Orders ELV'!AZ27</f>
        <v>8</v>
      </c>
      <c r="O27" s="22">
        <f>'Orders ELV'!BA27</f>
        <v>3</v>
      </c>
      <c r="P27" s="16">
        <v>25</v>
      </c>
      <c r="Q27" s="27">
        <f>ROUND('IHC ELV'!BB27,2)</f>
        <v>6.05</v>
      </c>
      <c r="R27" s="28">
        <f>ROUND('IHC ELV'!BC27,2)</f>
        <v>4.9000000000000004</v>
      </c>
      <c r="S27" s="28">
        <f>ROUND('IHC ELV'!AZ27,2)</f>
        <v>8.65</v>
      </c>
      <c r="T27" s="29">
        <f>ROUND('IHC ELV'!BA27,2)</f>
        <v>5.85</v>
      </c>
      <c r="U27" s="16">
        <v>25</v>
      </c>
      <c r="V27" s="11">
        <f>ROUND('UBC ELV'!BA27,2)</f>
        <v>0</v>
      </c>
      <c r="W27" s="11">
        <f>ROUND('UBC ELV'!BB27,2)</f>
        <v>0</v>
      </c>
      <c r="X27" s="11">
        <f>ROUND('UBC ELV'!AY27,2)</f>
        <v>0</v>
      </c>
      <c r="Y27" s="11">
        <f>ROUND('UBC ELV'!AZ27,2)</f>
        <v>2.7</v>
      </c>
      <c r="Z27" s="16">
        <v>25</v>
      </c>
      <c r="AA27" s="6">
        <f t="shared" si="1"/>
        <v>146.4</v>
      </c>
      <c r="AB27" s="7">
        <f t="shared" si="1"/>
        <v>124.95000000000002</v>
      </c>
      <c r="AC27" s="7">
        <f t="shared" si="1"/>
        <v>138.80000000000001</v>
      </c>
      <c r="AD27" s="7">
        <f t="shared" si="1"/>
        <v>208.75</v>
      </c>
    </row>
    <row r="28" spans="1:30" ht="15" thickBot="1" x14ac:dyDescent="0.4">
      <c r="A28" s="14">
        <v>26</v>
      </c>
      <c r="B28" s="21">
        <f>'Inventory ELV'!BC28</f>
        <v>13</v>
      </c>
      <c r="C28" s="22">
        <f>'Inventory ELV'!BD28</f>
        <v>12</v>
      </c>
      <c r="D28" s="22">
        <f>'Inventory ELV'!BA28</f>
        <v>16</v>
      </c>
      <c r="E28" s="23">
        <f>'Inventory ELV'!BB28</f>
        <v>5</v>
      </c>
      <c r="F28" s="16">
        <v>26</v>
      </c>
      <c r="G28" s="21">
        <f>'Backlog ELV'!BC28</f>
        <v>0</v>
      </c>
      <c r="H28" s="22">
        <f>'Backlog ELV'!BD28</f>
        <v>0</v>
      </c>
      <c r="I28" s="22">
        <f>'Backlog ELV'!BA28</f>
        <v>0</v>
      </c>
      <c r="J28" s="23">
        <f>'Backlog ELV'!BB28</f>
        <v>1.3</v>
      </c>
      <c r="K28" s="16">
        <v>26</v>
      </c>
      <c r="L28" s="21">
        <f>'Orders ELV'!BB28</f>
        <v>8.3000000000000007</v>
      </c>
      <c r="M28" s="22">
        <f>'Orders ELV'!BC28</f>
        <v>10.4</v>
      </c>
      <c r="N28" s="22">
        <f>'Orders ELV'!AZ28</f>
        <v>8</v>
      </c>
      <c r="O28" s="22">
        <f>'Orders ELV'!BA28</f>
        <v>2</v>
      </c>
      <c r="P28" s="16">
        <v>26</v>
      </c>
      <c r="Q28" s="27">
        <f>ROUND('IHC ELV'!BB28,2)</f>
        <v>6</v>
      </c>
      <c r="R28" s="28">
        <f>ROUND('IHC ELV'!BC28,2)</f>
        <v>3.8</v>
      </c>
      <c r="S28" s="28">
        <f>ROUND('IHC ELV'!AZ28,2)</f>
        <v>7.3</v>
      </c>
      <c r="T28" s="29">
        <f>ROUND('IHC ELV'!BA28,2)</f>
        <v>9</v>
      </c>
      <c r="U28" s="16">
        <v>26</v>
      </c>
      <c r="V28" s="11">
        <f>ROUND('UBC ELV'!BA28,2)</f>
        <v>0</v>
      </c>
      <c r="W28" s="11">
        <f>ROUND('UBC ELV'!BB28,2)</f>
        <v>0</v>
      </c>
      <c r="X28" s="11">
        <f>ROUND('UBC ELV'!AY28,2)</f>
        <v>0</v>
      </c>
      <c r="Y28" s="11">
        <f>ROUND('UBC ELV'!AZ28,2)</f>
        <v>1.3</v>
      </c>
      <c r="Z28" s="16">
        <v>26</v>
      </c>
      <c r="AA28" s="6">
        <f t="shared" si="1"/>
        <v>152.4</v>
      </c>
      <c r="AB28" s="7">
        <f t="shared" si="1"/>
        <v>128.75000000000003</v>
      </c>
      <c r="AC28" s="7">
        <f t="shared" si="1"/>
        <v>146.10000000000002</v>
      </c>
      <c r="AD28" s="7">
        <f t="shared" si="1"/>
        <v>219.05</v>
      </c>
    </row>
    <row r="29" spans="1:30" ht="15" thickBot="1" x14ac:dyDescent="0.4">
      <c r="A29" s="14">
        <v>27</v>
      </c>
      <c r="B29" s="21">
        <f>'Inventory ELV'!BC29</f>
        <v>12</v>
      </c>
      <c r="C29" s="22">
        <f>'Inventory ELV'!BD29</f>
        <v>4</v>
      </c>
      <c r="D29" s="22">
        <f>'Inventory ELV'!BA29</f>
        <v>17</v>
      </c>
      <c r="E29" s="23">
        <f>'Inventory ELV'!BB29</f>
        <v>19</v>
      </c>
      <c r="F29" s="16">
        <v>27</v>
      </c>
      <c r="G29" s="21">
        <f>'Backlog ELV'!BC29</f>
        <v>0</v>
      </c>
      <c r="H29" s="22">
        <f>'Backlog ELV'!BD29</f>
        <v>0</v>
      </c>
      <c r="I29" s="22">
        <f>'Backlog ELV'!BA29</f>
        <v>0.8</v>
      </c>
      <c r="J29" s="23">
        <f>'Backlog ELV'!BB29</f>
        <v>0.1</v>
      </c>
      <c r="K29" s="16">
        <v>27</v>
      </c>
      <c r="L29" s="21">
        <f>'Orders ELV'!BB29</f>
        <v>8.4</v>
      </c>
      <c r="M29" s="22">
        <f>'Orders ELV'!BC29</f>
        <v>7.2</v>
      </c>
      <c r="N29" s="22">
        <f>'Orders ELV'!AZ29</f>
        <v>8</v>
      </c>
      <c r="O29" s="22">
        <f>'Orders ELV'!BA29</f>
        <v>5.5</v>
      </c>
      <c r="P29" s="16">
        <v>27</v>
      </c>
      <c r="Q29" s="27">
        <f>ROUND('IHC ELV'!BB29,2)</f>
        <v>6.2</v>
      </c>
      <c r="R29" s="28">
        <f>ROUND('IHC ELV'!BC29,2)</f>
        <v>3.85</v>
      </c>
      <c r="S29" s="28">
        <f>ROUND('IHC ELV'!AZ29,2)</f>
        <v>2.6</v>
      </c>
      <c r="T29" s="29">
        <f>ROUND('IHC ELV'!BA29,2)</f>
        <v>10.45</v>
      </c>
      <c r="U29" s="16">
        <v>27</v>
      </c>
      <c r="V29" s="11">
        <f>ROUND('UBC ELV'!BA29,2)</f>
        <v>0</v>
      </c>
      <c r="W29" s="11">
        <f>ROUND('UBC ELV'!BB29,2)</f>
        <v>0</v>
      </c>
      <c r="X29" s="11">
        <f>ROUND('UBC ELV'!AY29,2)</f>
        <v>0.8</v>
      </c>
      <c r="Y29" s="11">
        <f>ROUND('UBC ELV'!AZ29,2)</f>
        <v>0.1</v>
      </c>
      <c r="Z29" s="16">
        <v>27</v>
      </c>
      <c r="AA29" s="6">
        <f t="shared" si="1"/>
        <v>158.6</v>
      </c>
      <c r="AB29" s="7">
        <f t="shared" si="1"/>
        <v>132.60000000000002</v>
      </c>
      <c r="AC29" s="7">
        <f t="shared" si="1"/>
        <v>149.50000000000003</v>
      </c>
      <c r="AD29" s="7">
        <f t="shared" si="1"/>
        <v>229.60000000000002</v>
      </c>
    </row>
    <row r="30" spans="1:30" ht="15" thickBot="1" x14ac:dyDescent="0.4">
      <c r="A30" s="14">
        <v>28</v>
      </c>
      <c r="B30" s="21">
        <f>'Inventory ELV'!BC30</f>
        <v>12</v>
      </c>
      <c r="C30" s="22">
        <f>'Inventory ELV'!BD30</f>
        <v>11</v>
      </c>
      <c r="D30" s="22">
        <f>'Inventory ELV'!BA30</f>
        <v>9</v>
      </c>
      <c r="E30" s="23">
        <f>'Inventory ELV'!BB30</f>
        <v>24</v>
      </c>
      <c r="F30" s="16">
        <v>28</v>
      </c>
      <c r="G30" s="21">
        <f>'Backlog ELV'!BC30</f>
        <v>0</v>
      </c>
      <c r="H30" s="22">
        <f>'Backlog ELV'!BD30</f>
        <v>0</v>
      </c>
      <c r="I30" s="22">
        <f>'Backlog ELV'!BA30</f>
        <v>0.1</v>
      </c>
      <c r="J30" s="23">
        <f>'Backlog ELV'!BB30</f>
        <v>0.9</v>
      </c>
      <c r="K30" s="16">
        <v>28</v>
      </c>
      <c r="L30" s="21">
        <f>'Orders ELV'!BB30</f>
        <v>8.1</v>
      </c>
      <c r="M30" s="22">
        <f>'Orders ELV'!BC30</f>
        <v>6</v>
      </c>
      <c r="N30" s="22">
        <f>'Orders ELV'!AZ30</f>
        <v>8</v>
      </c>
      <c r="O30" s="22">
        <f>'Orders ELV'!BA30</f>
        <v>16.8</v>
      </c>
      <c r="P30" s="16">
        <v>28</v>
      </c>
      <c r="Q30" s="27">
        <f>ROUND('IHC ELV'!BB30,2)</f>
        <v>6.1</v>
      </c>
      <c r="R30" s="28">
        <f>ROUND('IHC ELV'!BC30,2)</f>
        <v>5.5</v>
      </c>
      <c r="S30" s="28">
        <f>ROUND('IHC ELV'!AZ30,2)</f>
        <v>4.2</v>
      </c>
      <c r="T30" s="29">
        <f>ROUND('IHC ELV'!BA30,2)</f>
        <v>5.65</v>
      </c>
      <c r="U30" s="16">
        <v>28</v>
      </c>
      <c r="V30" s="11">
        <f>ROUND('UBC ELV'!BA30,2)</f>
        <v>0</v>
      </c>
      <c r="W30" s="11">
        <f>ROUND('UBC ELV'!BB30,2)</f>
        <v>0</v>
      </c>
      <c r="X30" s="11">
        <f>ROUND('UBC ELV'!AY30,2)</f>
        <v>0.1</v>
      </c>
      <c r="Y30" s="11">
        <f>ROUND('UBC ELV'!AZ30,2)</f>
        <v>0.9</v>
      </c>
      <c r="Z30" s="16">
        <v>28</v>
      </c>
      <c r="AA30" s="6">
        <f t="shared" si="1"/>
        <v>164.7</v>
      </c>
      <c r="AB30" s="7">
        <f t="shared" si="1"/>
        <v>138.10000000000002</v>
      </c>
      <c r="AC30" s="7">
        <f t="shared" si="1"/>
        <v>153.80000000000004</v>
      </c>
      <c r="AD30" s="7">
        <f t="shared" si="1"/>
        <v>236.15000000000003</v>
      </c>
    </row>
    <row r="31" spans="1:30" ht="15" thickBot="1" x14ac:dyDescent="0.4">
      <c r="A31" s="14">
        <v>29</v>
      </c>
      <c r="B31" s="21">
        <f>'Inventory ELV'!BC31</f>
        <v>13</v>
      </c>
      <c r="C31" s="22">
        <f>'Inventory ELV'!BD31</f>
        <v>10</v>
      </c>
      <c r="D31" s="22">
        <f>'Inventory ELV'!BA31</f>
        <v>1</v>
      </c>
      <c r="E31" s="23">
        <f>'Inventory ELV'!BB31</f>
        <v>6</v>
      </c>
      <c r="F31" s="16">
        <v>29</v>
      </c>
      <c r="G31" s="21">
        <f>'Backlog ELV'!BC31</f>
        <v>0</v>
      </c>
      <c r="H31" s="22">
        <f>'Backlog ELV'!BD31</f>
        <v>0</v>
      </c>
      <c r="I31" s="22">
        <f>'Backlog ELV'!BA31</f>
        <v>0</v>
      </c>
      <c r="J31" s="23">
        <f>'Backlog ELV'!BB31</f>
        <v>7.4</v>
      </c>
      <c r="K31" s="16">
        <v>29</v>
      </c>
      <c r="L31" s="21">
        <f>'Orders ELV'!BB31</f>
        <v>8.1</v>
      </c>
      <c r="M31" s="22">
        <f>'Orders ELV'!BC31</f>
        <v>5.0999999999999996</v>
      </c>
      <c r="N31" s="22">
        <f>'Orders ELV'!AZ31</f>
        <v>8</v>
      </c>
      <c r="O31" s="22">
        <f>'Orders ELV'!BA31</f>
        <v>8.1</v>
      </c>
      <c r="P31" s="16">
        <v>29</v>
      </c>
      <c r="Q31" s="27">
        <f>ROUND('IHC ELV'!BB31,2)</f>
        <v>6.15</v>
      </c>
      <c r="R31" s="28">
        <f>ROUND('IHC ELV'!BC31,2)</f>
        <v>6.75</v>
      </c>
      <c r="S31" s="28">
        <f>ROUND('IHC ELV'!AZ31,2)</f>
        <v>4.45</v>
      </c>
      <c r="T31" s="29">
        <f>ROUND('IHC ELV'!BA31,2)</f>
        <v>1.6</v>
      </c>
      <c r="U31" s="16">
        <v>29</v>
      </c>
      <c r="V31" s="11">
        <f>ROUND('UBC ELV'!BA31,2)</f>
        <v>0</v>
      </c>
      <c r="W31" s="11">
        <f>ROUND('UBC ELV'!BB31,2)</f>
        <v>0</v>
      </c>
      <c r="X31" s="11">
        <f>ROUND('UBC ELV'!AY31,2)</f>
        <v>0</v>
      </c>
      <c r="Y31" s="11">
        <f>ROUND('UBC ELV'!AZ31,2)</f>
        <v>7.4</v>
      </c>
      <c r="Z31" s="16">
        <v>29</v>
      </c>
      <c r="AA31" s="6">
        <f t="shared" si="1"/>
        <v>170.85</v>
      </c>
      <c r="AB31" s="7">
        <f t="shared" si="1"/>
        <v>144.85000000000002</v>
      </c>
      <c r="AC31" s="7">
        <f t="shared" si="1"/>
        <v>158.25000000000003</v>
      </c>
      <c r="AD31" s="7">
        <f t="shared" si="1"/>
        <v>245.15000000000003</v>
      </c>
    </row>
    <row r="32" spans="1:30" ht="15" thickBot="1" x14ac:dyDescent="0.4">
      <c r="A32" s="14">
        <v>30</v>
      </c>
      <c r="B32" s="21">
        <f>'Inventory ELV'!BC32</f>
        <v>13</v>
      </c>
      <c r="C32" s="22">
        <f>'Inventory ELV'!BD32</f>
        <v>13</v>
      </c>
      <c r="D32" s="22">
        <f>'Inventory ELV'!BA32</f>
        <v>10</v>
      </c>
      <c r="E32" s="23">
        <f>'Inventory ELV'!BB32</f>
        <v>0</v>
      </c>
      <c r="F32" s="16">
        <v>30</v>
      </c>
      <c r="G32" s="21">
        <f>'Backlog ELV'!BC32</f>
        <v>0</v>
      </c>
      <c r="H32" s="22">
        <f>'Backlog ELV'!BD32</f>
        <v>0</v>
      </c>
      <c r="I32" s="22">
        <f>'Backlog ELV'!BA32</f>
        <v>0</v>
      </c>
      <c r="J32" s="23">
        <f>'Backlog ELV'!BB32</f>
        <v>1.9</v>
      </c>
      <c r="K32" s="16">
        <v>30</v>
      </c>
      <c r="L32" s="21">
        <f>'Orders ELV'!BB32</f>
        <v>8.1999999999999993</v>
      </c>
      <c r="M32" s="22">
        <f>'Orders ELV'!BC32</f>
        <v>6.1</v>
      </c>
      <c r="N32" s="22">
        <f>'Orders ELV'!AZ32</f>
        <v>8</v>
      </c>
      <c r="O32" s="22">
        <f>'Orders ELV'!BA32</f>
        <v>3.4</v>
      </c>
      <c r="P32" s="16">
        <v>30</v>
      </c>
      <c r="Q32" s="27">
        <f>ROUND('IHC ELV'!BB32,2)</f>
        <v>6.05</v>
      </c>
      <c r="R32" s="28">
        <f>ROUND('IHC ELV'!BC32,2)</f>
        <v>5.5</v>
      </c>
      <c r="S32" s="28">
        <f>ROUND('IHC ELV'!AZ32,2)</f>
        <v>5.75</v>
      </c>
      <c r="T32" s="29">
        <f>ROUND('IHC ELV'!BA32,2)</f>
        <v>3.75</v>
      </c>
      <c r="U32" s="16">
        <v>30</v>
      </c>
      <c r="V32" s="11">
        <f>ROUND('UBC ELV'!BA32,2)</f>
        <v>0</v>
      </c>
      <c r="W32" s="11">
        <f>ROUND('UBC ELV'!BB32,2)</f>
        <v>0</v>
      </c>
      <c r="X32" s="11">
        <f>ROUND('UBC ELV'!AY32,2)</f>
        <v>0</v>
      </c>
      <c r="Y32" s="11">
        <f>ROUND('UBC ELV'!AZ32,2)</f>
        <v>1.9</v>
      </c>
      <c r="Z32" s="16">
        <v>30</v>
      </c>
      <c r="AA32" s="6">
        <f t="shared" si="1"/>
        <v>176.9</v>
      </c>
      <c r="AB32" s="7">
        <f t="shared" si="1"/>
        <v>150.35000000000002</v>
      </c>
      <c r="AC32" s="7">
        <f t="shared" si="1"/>
        <v>164.00000000000003</v>
      </c>
      <c r="AD32" s="7">
        <f t="shared" si="1"/>
        <v>250.80000000000004</v>
      </c>
    </row>
    <row r="33" spans="1:30" ht="15" thickBot="1" x14ac:dyDescent="0.4">
      <c r="A33" s="14">
        <v>31</v>
      </c>
      <c r="B33" s="21">
        <f>'Inventory ELV'!BC33</f>
        <v>13</v>
      </c>
      <c r="C33" s="22">
        <f>'Inventory ELV'!BD33</f>
        <v>15</v>
      </c>
      <c r="D33" s="22">
        <f>'Inventory ELV'!BA33</f>
        <v>10</v>
      </c>
      <c r="E33" s="23">
        <f>'Inventory ELV'!BB33</f>
        <v>0</v>
      </c>
      <c r="F33" s="16">
        <v>31</v>
      </c>
      <c r="G33" s="21">
        <f>'Backlog ELV'!BC33</f>
        <v>0</v>
      </c>
      <c r="H33" s="22">
        <f>'Backlog ELV'!BD33</f>
        <v>0</v>
      </c>
      <c r="I33" s="22">
        <f>'Backlog ELV'!BA33</f>
        <v>0</v>
      </c>
      <c r="J33" s="23">
        <f>'Backlog ELV'!BB33</f>
        <v>0.3</v>
      </c>
      <c r="K33" s="16">
        <v>31</v>
      </c>
      <c r="L33" s="21">
        <f>'Orders ELV'!BB33</f>
        <v>8.4</v>
      </c>
      <c r="M33" s="22">
        <f>'Orders ELV'!BC33</f>
        <v>8.1</v>
      </c>
      <c r="N33" s="22">
        <f>'Orders ELV'!AZ33</f>
        <v>8</v>
      </c>
      <c r="O33" s="22">
        <f>'Orders ELV'!BA33</f>
        <v>4.5999999999999996</v>
      </c>
      <c r="P33" s="16">
        <v>31</v>
      </c>
      <c r="Q33" s="27">
        <f>ROUND('IHC ELV'!BB33,2)</f>
        <v>6.05</v>
      </c>
      <c r="R33" s="28">
        <f>ROUND('IHC ELV'!BC33,2)</f>
        <v>4.9000000000000004</v>
      </c>
      <c r="S33" s="28">
        <f>ROUND('IHC ELV'!AZ33,2)</f>
        <v>8</v>
      </c>
      <c r="T33" s="29">
        <f>ROUND('IHC ELV'!BA33,2)</f>
        <v>6.2</v>
      </c>
      <c r="U33" s="16">
        <v>31</v>
      </c>
      <c r="V33" s="11">
        <f>ROUND('UBC ELV'!BA33,2)</f>
        <v>0</v>
      </c>
      <c r="W33" s="11">
        <f>ROUND('UBC ELV'!BB33,2)</f>
        <v>0</v>
      </c>
      <c r="X33" s="11">
        <f>ROUND('UBC ELV'!AY33,2)</f>
        <v>0</v>
      </c>
      <c r="Y33" s="11">
        <f>ROUND('UBC ELV'!AZ33,2)</f>
        <v>0.3</v>
      </c>
      <c r="Z33" s="16">
        <v>31</v>
      </c>
      <c r="AA33" s="6">
        <f t="shared" si="1"/>
        <v>182.95000000000002</v>
      </c>
      <c r="AB33" s="7">
        <f t="shared" si="1"/>
        <v>155.25000000000003</v>
      </c>
      <c r="AC33" s="7">
        <f t="shared" si="1"/>
        <v>172.00000000000003</v>
      </c>
      <c r="AD33" s="7">
        <f t="shared" si="1"/>
        <v>257.30000000000007</v>
      </c>
    </row>
    <row r="34" spans="1:30" ht="15" thickBot="1" x14ac:dyDescent="0.4">
      <c r="A34" s="14">
        <v>32</v>
      </c>
      <c r="B34" s="21">
        <f>'Inventory ELV'!BC34</f>
        <v>13</v>
      </c>
      <c r="C34" s="22">
        <f>'Inventory ELV'!BD34</f>
        <v>8</v>
      </c>
      <c r="D34" s="22">
        <f>'Inventory ELV'!BA34</f>
        <v>17</v>
      </c>
      <c r="E34" s="23">
        <f>'Inventory ELV'!BB34</f>
        <v>14</v>
      </c>
      <c r="F34" s="16">
        <v>32</v>
      </c>
      <c r="G34" s="21">
        <f>'Backlog ELV'!BC34</f>
        <v>0</v>
      </c>
      <c r="H34" s="22">
        <f>'Backlog ELV'!BD34</f>
        <v>0</v>
      </c>
      <c r="I34" s="22">
        <f>'Backlog ELV'!BA34</f>
        <v>0.7</v>
      </c>
      <c r="J34" s="23">
        <f>'Backlog ELV'!BB34</f>
        <v>2</v>
      </c>
      <c r="K34" s="16">
        <v>32</v>
      </c>
      <c r="L34" s="21">
        <f>'Orders ELV'!BB34</f>
        <v>8.3000000000000007</v>
      </c>
      <c r="M34" s="22">
        <f>'Orders ELV'!BC34</f>
        <v>7</v>
      </c>
      <c r="N34" s="22">
        <f>'Orders ELV'!AZ34</f>
        <v>8</v>
      </c>
      <c r="O34" s="22">
        <f>'Orders ELV'!BA34</f>
        <v>4.3</v>
      </c>
      <c r="P34" s="16">
        <v>32</v>
      </c>
      <c r="Q34" s="27">
        <f>ROUND('IHC ELV'!BB34,2)</f>
        <v>6.05</v>
      </c>
      <c r="R34" s="28">
        <f>ROUND('IHC ELV'!BC34,2)</f>
        <v>4.3499999999999996</v>
      </c>
      <c r="S34" s="28">
        <f>ROUND('IHC ELV'!AZ34,2)</f>
        <v>5.4</v>
      </c>
      <c r="T34" s="29">
        <f>ROUND('IHC ELV'!BA34,2)</f>
        <v>10</v>
      </c>
      <c r="U34" s="16">
        <v>32</v>
      </c>
      <c r="V34" s="11">
        <f>ROUND('UBC ELV'!BA34,2)</f>
        <v>0</v>
      </c>
      <c r="W34" s="11">
        <f>ROUND('UBC ELV'!BB34,2)</f>
        <v>0</v>
      </c>
      <c r="X34" s="11">
        <f>ROUND('UBC ELV'!AY34,2)</f>
        <v>0.7</v>
      </c>
      <c r="Y34" s="11">
        <f>ROUND('UBC ELV'!AZ34,2)</f>
        <v>2</v>
      </c>
      <c r="Z34" s="16">
        <v>32</v>
      </c>
      <c r="AA34" s="6">
        <f t="shared" si="1"/>
        <v>189.00000000000003</v>
      </c>
      <c r="AB34" s="7">
        <f t="shared" si="1"/>
        <v>159.60000000000002</v>
      </c>
      <c r="AC34" s="7">
        <f t="shared" si="1"/>
        <v>178.10000000000002</v>
      </c>
      <c r="AD34" s="7">
        <f t="shared" si="1"/>
        <v>269.30000000000007</v>
      </c>
    </row>
    <row r="35" spans="1:30" ht="15" thickBot="1" x14ac:dyDescent="0.4">
      <c r="A35" s="14">
        <v>33</v>
      </c>
      <c r="B35" s="21">
        <f>'Inventory ELV'!BC35</f>
        <v>12</v>
      </c>
      <c r="C35" s="22">
        <f>'Inventory ELV'!BD35</f>
        <v>11</v>
      </c>
      <c r="D35" s="22">
        <f>'Inventory ELV'!BA35</f>
        <v>18</v>
      </c>
      <c r="E35" s="23">
        <f>'Inventory ELV'!BB35</f>
        <v>16</v>
      </c>
      <c r="F35" s="16">
        <v>33</v>
      </c>
      <c r="G35" s="21">
        <f>'Backlog ELV'!BC35</f>
        <v>0</v>
      </c>
      <c r="H35" s="22">
        <f>'Backlog ELV'!BD35</f>
        <v>0</v>
      </c>
      <c r="I35" s="22">
        <f>'Backlog ELV'!BA35</f>
        <v>0</v>
      </c>
      <c r="J35" s="23">
        <f>'Backlog ELV'!BB35</f>
        <v>0.4</v>
      </c>
      <c r="K35" s="16">
        <v>33</v>
      </c>
      <c r="L35" s="21">
        <f>'Orders ELV'!BB35</f>
        <v>8.3000000000000007</v>
      </c>
      <c r="M35" s="22">
        <f>'Orders ELV'!BC35</f>
        <v>7.6</v>
      </c>
      <c r="N35" s="22">
        <f>'Orders ELV'!AZ35</f>
        <v>8</v>
      </c>
      <c r="O35" s="22">
        <f>'Orders ELV'!BA35</f>
        <v>7.9</v>
      </c>
      <c r="P35" s="16">
        <v>33</v>
      </c>
      <c r="Q35" s="27">
        <f>ROUND('IHC ELV'!BB35,2)</f>
        <v>6.1</v>
      </c>
      <c r="R35" s="28">
        <f>ROUND('IHC ELV'!BC35,2)</f>
        <v>4.9000000000000004</v>
      </c>
      <c r="S35" s="28">
        <f>ROUND('IHC ELV'!AZ35,2)</f>
        <v>4.05</v>
      </c>
      <c r="T35" s="29">
        <f>ROUND('IHC ELV'!BA35,2)</f>
        <v>7.6</v>
      </c>
      <c r="U35" s="16">
        <v>33</v>
      </c>
      <c r="V35" s="11">
        <f>ROUND('UBC ELV'!BA35,2)</f>
        <v>0</v>
      </c>
      <c r="W35" s="11">
        <f>ROUND('UBC ELV'!BB35,2)</f>
        <v>0</v>
      </c>
      <c r="X35" s="11">
        <f>ROUND('UBC ELV'!AY35,2)</f>
        <v>0</v>
      </c>
      <c r="Y35" s="11">
        <f>ROUND('UBC ELV'!AZ35,2)</f>
        <v>0.4</v>
      </c>
      <c r="Z35" s="16">
        <v>33</v>
      </c>
      <c r="AA35" s="6">
        <f t="shared" ref="AA35:AD38" si="2">Q35+V35+AA34</f>
        <v>195.10000000000002</v>
      </c>
      <c r="AB35" s="7">
        <f t="shared" si="2"/>
        <v>164.50000000000003</v>
      </c>
      <c r="AC35" s="7">
        <f t="shared" si="2"/>
        <v>182.15000000000003</v>
      </c>
      <c r="AD35" s="7">
        <f t="shared" si="2"/>
        <v>277.30000000000007</v>
      </c>
    </row>
    <row r="36" spans="1:30" ht="15" thickBot="1" x14ac:dyDescent="0.4">
      <c r="A36" s="14">
        <v>34</v>
      </c>
      <c r="B36" s="21">
        <f>'Inventory ELV'!BC36</f>
        <v>12</v>
      </c>
      <c r="C36" s="22">
        <f>'Inventory ELV'!BD36</f>
        <v>10</v>
      </c>
      <c r="D36" s="22">
        <f>'Inventory ELV'!BA36</f>
        <v>2</v>
      </c>
      <c r="E36" s="23">
        <f>'Inventory ELV'!BB36</f>
        <v>16</v>
      </c>
      <c r="F36" s="16">
        <v>34</v>
      </c>
      <c r="G36" s="21">
        <f>'Backlog ELV'!BC36</f>
        <v>0</v>
      </c>
      <c r="H36" s="22">
        <f>'Backlog ELV'!BD36</f>
        <v>0</v>
      </c>
      <c r="I36" s="22">
        <f>'Backlog ELV'!BA36</f>
        <v>0.1</v>
      </c>
      <c r="J36" s="23">
        <f>'Backlog ELV'!BB36</f>
        <v>2.7</v>
      </c>
      <c r="K36" s="16">
        <v>34</v>
      </c>
      <c r="L36" s="21">
        <f>'Orders ELV'!BB36</f>
        <v>8.1999999999999993</v>
      </c>
      <c r="M36" s="22">
        <f>'Orders ELV'!BC36</f>
        <v>6.7</v>
      </c>
      <c r="N36" s="22">
        <f>'Orders ELV'!AZ36</f>
        <v>8</v>
      </c>
      <c r="O36" s="22">
        <f>'Orders ELV'!BA36</f>
        <v>12.5</v>
      </c>
      <c r="P36" s="16">
        <v>34</v>
      </c>
      <c r="Q36" s="27">
        <f>ROUND('IHC ELV'!BB36,2)</f>
        <v>6.2</v>
      </c>
      <c r="R36" s="28">
        <f>ROUND('IHC ELV'!BC36,2)</f>
        <v>5.45</v>
      </c>
      <c r="S36" s="28">
        <f>ROUND('IHC ELV'!AZ36,2)</f>
        <v>3.55</v>
      </c>
      <c r="T36" s="29">
        <f>ROUND('IHC ELV'!BA36,2)</f>
        <v>4.95</v>
      </c>
      <c r="U36" s="16">
        <v>34</v>
      </c>
      <c r="V36" s="11">
        <f>ROUND('UBC ELV'!BA36,2)</f>
        <v>0</v>
      </c>
      <c r="W36" s="11">
        <f>ROUND('UBC ELV'!BB36,2)</f>
        <v>0</v>
      </c>
      <c r="X36" s="11">
        <f>ROUND('UBC ELV'!AY36,2)</f>
        <v>0.1</v>
      </c>
      <c r="Y36" s="11">
        <f>ROUND('UBC ELV'!AZ36,2)</f>
        <v>2.7</v>
      </c>
      <c r="Z36" s="16">
        <v>34</v>
      </c>
      <c r="AA36" s="6">
        <f t="shared" si="2"/>
        <v>201.3</v>
      </c>
      <c r="AB36" s="7">
        <f t="shared" si="2"/>
        <v>169.95000000000002</v>
      </c>
      <c r="AC36" s="7">
        <f t="shared" si="2"/>
        <v>185.80000000000004</v>
      </c>
      <c r="AD36" s="7">
        <f t="shared" si="2"/>
        <v>284.95000000000005</v>
      </c>
    </row>
    <row r="37" spans="1:30" ht="15" thickBot="1" x14ac:dyDescent="0.4">
      <c r="A37" s="14">
        <v>35</v>
      </c>
      <c r="B37" s="21">
        <f>'Inventory ELV'!BC37</f>
        <v>13</v>
      </c>
      <c r="C37" s="22">
        <f>'Inventory ELV'!BD37</f>
        <v>9</v>
      </c>
      <c r="D37" s="22">
        <f>'Inventory ELV'!BA37</f>
        <v>9</v>
      </c>
      <c r="E37" s="23">
        <f>'Inventory ELV'!BB37</f>
        <v>7</v>
      </c>
      <c r="F37" s="16">
        <v>35</v>
      </c>
      <c r="G37" s="21">
        <f>'Backlog ELV'!BC37</f>
        <v>0</v>
      </c>
      <c r="H37" s="22">
        <f>'Backlog ELV'!BD37</f>
        <v>0</v>
      </c>
      <c r="I37" s="22">
        <f>'Backlog ELV'!BA37</f>
        <v>0</v>
      </c>
      <c r="J37" s="23">
        <f>'Backlog ELV'!BB37</f>
        <v>4.2</v>
      </c>
      <c r="K37" s="16">
        <v>35</v>
      </c>
      <c r="L37" s="21">
        <f>'Orders ELV'!BB37</f>
        <v>8</v>
      </c>
      <c r="M37" s="22">
        <f>'Orders ELV'!BC37</f>
        <v>6.4</v>
      </c>
      <c r="N37" s="22">
        <f>'Orders ELV'!AZ37</f>
        <v>8</v>
      </c>
      <c r="O37" s="22">
        <f>'Orders ELV'!BA37</f>
        <v>9.3000000000000007</v>
      </c>
      <c r="P37" s="16">
        <v>35</v>
      </c>
      <c r="Q37" s="27">
        <f>ROUND('IHC ELV'!BB37,2)</f>
        <v>6.15</v>
      </c>
      <c r="R37" s="28">
        <f>ROUND('IHC ELV'!BC37,2)</f>
        <v>5.4</v>
      </c>
      <c r="S37" s="28">
        <f>ROUND('IHC ELV'!AZ37,2)</f>
        <v>4.5999999999999996</v>
      </c>
      <c r="T37" s="29">
        <f>ROUND('IHC ELV'!BA37,2)</f>
        <v>2.75</v>
      </c>
      <c r="U37" s="16">
        <v>35</v>
      </c>
      <c r="V37" s="11">
        <f>ROUND('UBC ELV'!BA37,2)</f>
        <v>0</v>
      </c>
      <c r="W37" s="11">
        <f>ROUND('UBC ELV'!BB37,2)</f>
        <v>0</v>
      </c>
      <c r="X37" s="11">
        <f>ROUND('UBC ELV'!AY37,2)</f>
        <v>0</v>
      </c>
      <c r="Y37" s="11">
        <f>ROUND('UBC ELV'!AZ37,2)</f>
        <v>4.2</v>
      </c>
      <c r="Z37" s="16">
        <v>35</v>
      </c>
      <c r="AA37" s="6">
        <f t="shared" si="2"/>
        <v>207.45000000000002</v>
      </c>
      <c r="AB37" s="7">
        <f t="shared" si="2"/>
        <v>175.35000000000002</v>
      </c>
      <c r="AC37" s="7">
        <f t="shared" si="2"/>
        <v>190.40000000000003</v>
      </c>
      <c r="AD37" s="7">
        <f t="shared" si="2"/>
        <v>291.90000000000003</v>
      </c>
    </row>
    <row r="38" spans="1:30" ht="15" thickBot="1" x14ac:dyDescent="0.4">
      <c r="A38" s="15">
        <v>36</v>
      </c>
      <c r="B38" s="21">
        <f>'Inventory ELV'!BC38</f>
        <v>13</v>
      </c>
      <c r="C38" s="25">
        <f>'Inventory ELV'!BD38</f>
        <v>13</v>
      </c>
      <c r="D38" s="25">
        <f>'Inventory ELV'!BA38</f>
        <v>8</v>
      </c>
      <c r="E38" s="26">
        <f>'Inventory ELV'!BB38</f>
        <v>0</v>
      </c>
      <c r="F38" s="17">
        <v>36</v>
      </c>
      <c r="G38" s="24">
        <f>'Backlog ELV'!BC38</f>
        <v>0</v>
      </c>
      <c r="H38" s="25">
        <f>'Backlog ELV'!BD38</f>
        <v>0</v>
      </c>
      <c r="I38" s="25">
        <f>'Backlog ELV'!BA38</f>
        <v>0</v>
      </c>
      <c r="J38" s="26">
        <f>'Backlog ELV'!BB38</f>
        <v>3.9</v>
      </c>
      <c r="K38" s="17">
        <v>36</v>
      </c>
      <c r="L38" s="24">
        <f>'Orders ELV'!BB38</f>
        <v>8.1999999999999993</v>
      </c>
      <c r="M38" s="25">
        <f>'Orders ELV'!BC38</f>
        <v>6.5</v>
      </c>
      <c r="N38" s="25">
        <f>'Orders ELV'!AZ38</f>
        <v>8</v>
      </c>
      <c r="O38" s="25">
        <f>'Orders ELV'!BA38</f>
        <v>3</v>
      </c>
      <c r="P38" s="17">
        <v>36</v>
      </c>
      <c r="Q38" s="27">
        <f>ROUND('IHC ELV'!BB38,2)</f>
        <v>6.15</v>
      </c>
      <c r="R38" s="28">
        <f>ROUND('IHC ELV'!BC38,2)</f>
        <v>5.75</v>
      </c>
      <c r="S38" s="28">
        <f>ROUND('IHC ELV'!AZ38,2)</f>
        <v>5.4</v>
      </c>
      <c r="T38" s="29">
        <f>ROUND('IHC ELV'!BA38,2)</f>
        <v>4.75</v>
      </c>
      <c r="U38" s="17">
        <v>36</v>
      </c>
      <c r="V38" s="11">
        <f>ROUND('UBC ELV'!BA38,2)</f>
        <v>0</v>
      </c>
      <c r="W38" s="11">
        <f>ROUND('UBC ELV'!BB38,2)</f>
        <v>0</v>
      </c>
      <c r="X38" s="11">
        <f>ROUND('UBC ELV'!AY38,2)</f>
        <v>0</v>
      </c>
      <c r="Y38" s="11">
        <f>ROUND('UBC ELV'!AZ38,2)</f>
        <v>3.9</v>
      </c>
      <c r="Z38" s="17">
        <v>36</v>
      </c>
      <c r="AA38" s="8">
        <f t="shared" si="2"/>
        <v>213.60000000000002</v>
      </c>
      <c r="AB38" s="9">
        <f t="shared" si="2"/>
        <v>181.10000000000002</v>
      </c>
      <c r="AC38" s="9">
        <f t="shared" si="2"/>
        <v>195.80000000000004</v>
      </c>
      <c r="AD38" s="9">
        <f t="shared" si="2"/>
        <v>300.55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B7EF-A932-481B-B8CF-1420CE216DB8}">
  <dimension ref="A1"/>
  <sheetViews>
    <sheetView topLeftCell="A67" workbookViewId="0">
      <selection activeCell="M11" sqref="M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D18F-2BCA-46D7-8CD7-DB3DAC890F5E}">
  <dimension ref="A1:BD40"/>
  <sheetViews>
    <sheetView workbookViewId="0">
      <pane xSplit="1" ySplit="1" topLeftCell="AG2" activePane="bottomRight" state="frozen"/>
      <selection pane="topRight" activeCell="B1" sqref="B1"/>
      <selection pane="bottomLeft" activeCell="A2" sqref="A2"/>
      <selection pane="bottomRight" activeCell="AU2" sqref="AU2:AX38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1" max="52" width="8.7265625" style="5"/>
  </cols>
  <sheetData>
    <row r="1" spans="1:56" x14ac:dyDescent="0.35">
      <c r="A1" t="s">
        <v>19</v>
      </c>
      <c r="B1" t="s">
        <v>23</v>
      </c>
      <c r="C1" t="s">
        <v>24</v>
      </c>
      <c r="D1" t="s">
        <v>25</v>
      </c>
      <c r="E1" t="s">
        <v>26</v>
      </c>
      <c r="F1" s="5">
        <v>1</v>
      </c>
      <c r="G1">
        <v>1</v>
      </c>
      <c r="H1" t="s">
        <v>24</v>
      </c>
      <c r="I1" t="s">
        <v>25</v>
      </c>
      <c r="J1" t="s">
        <v>26</v>
      </c>
      <c r="K1" s="5">
        <v>2</v>
      </c>
      <c r="L1" t="s">
        <v>23</v>
      </c>
      <c r="M1" t="s">
        <v>24</v>
      </c>
      <c r="N1" t="s">
        <v>25</v>
      </c>
      <c r="O1" t="s">
        <v>26</v>
      </c>
      <c r="P1" s="5">
        <v>3</v>
      </c>
      <c r="Q1" t="s">
        <v>23</v>
      </c>
      <c r="R1" t="s">
        <v>24</v>
      </c>
      <c r="S1" t="s">
        <v>25</v>
      </c>
      <c r="T1" t="s">
        <v>26</v>
      </c>
      <c r="U1" s="5">
        <v>4</v>
      </c>
      <c r="V1" t="s">
        <v>23</v>
      </c>
      <c r="W1" t="s">
        <v>24</v>
      </c>
      <c r="X1" t="s">
        <v>25</v>
      </c>
      <c r="Y1" t="s">
        <v>26</v>
      </c>
      <c r="Z1" s="5">
        <v>5</v>
      </c>
      <c r="AA1" t="s">
        <v>23</v>
      </c>
      <c r="AB1" t="s">
        <v>24</v>
      </c>
      <c r="AC1" t="s">
        <v>25</v>
      </c>
      <c r="AD1" t="s">
        <v>26</v>
      </c>
      <c r="AE1" s="5">
        <v>6</v>
      </c>
      <c r="AF1" t="s">
        <v>23</v>
      </c>
      <c r="AG1" t="s">
        <v>24</v>
      </c>
      <c r="AH1" t="s">
        <v>25</v>
      </c>
      <c r="AI1" t="s">
        <v>26</v>
      </c>
      <c r="AJ1" s="5">
        <v>7</v>
      </c>
      <c r="AK1" t="s">
        <v>23</v>
      </c>
      <c r="AL1" t="s">
        <v>24</v>
      </c>
      <c r="AM1" t="s">
        <v>25</v>
      </c>
      <c r="AN1" t="s">
        <v>26</v>
      </c>
      <c r="AO1" s="5">
        <v>8</v>
      </c>
      <c r="AP1" t="s">
        <v>23</v>
      </c>
      <c r="AQ1" t="s">
        <v>24</v>
      </c>
      <c r="AR1" t="s">
        <v>25</v>
      </c>
      <c r="AS1" t="s">
        <v>26</v>
      </c>
      <c r="AT1" s="5">
        <v>9</v>
      </c>
      <c r="AU1" t="s">
        <v>23</v>
      </c>
      <c r="AV1" t="s">
        <v>24</v>
      </c>
      <c r="AW1" t="s">
        <v>25</v>
      </c>
      <c r="AX1" t="s">
        <v>26</v>
      </c>
      <c r="AY1" s="5">
        <v>10</v>
      </c>
      <c r="BA1" t="s">
        <v>37</v>
      </c>
      <c r="BB1" t="s">
        <v>129</v>
      </c>
      <c r="BC1" t="s">
        <v>35</v>
      </c>
      <c r="BD1" t="s">
        <v>130</v>
      </c>
    </row>
    <row r="2" spans="1:56" x14ac:dyDescent="0.35">
      <c r="A2">
        <v>0</v>
      </c>
      <c r="B2">
        <f>[1]CRP_Outcome_ELV!$S2</f>
        <v>12</v>
      </c>
      <c r="C2">
        <f>[1]CRP_Outcome_ELV!$T2</f>
        <v>12</v>
      </c>
      <c r="D2">
        <f>[1]CRP_Outcome_ELV!$U2</f>
        <v>12</v>
      </c>
      <c r="E2">
        <f>[1]CRP_Outcome_ELV!$V2</f>
        <v>12</v>
      </c>
      <c r="G2">
        <f>[2]CRP_Outcome_ELV!$T2</f>
        <v>12</v>
      </c>
      <c r="H2">
        <f>[2]CRP_Outcome_ELV!$T2</f>
        <v>12</v>
      </c>
      <c r="I2">
        <f>[2]CRP_Outcome_ELV!$U2</f>
        <v>12</v>
      </c>
      <c r="J2">
        <f>[2]CRP_Outcome_ELV!$V2</f>
        <v>12</v>
      </c>
      <c r="L2">
        <f>[3]CRP_Outcome_ELV!$S2</f>
        <v>12</v>
      </c>
      <c r="M2">
        <f>[3]CRP_Outcome_ELV!$T2</f>
        <v>12</v>
      </c>
      <c r="N2">
        <f>[3]CRP_Outcome_ELV!$U2</f>
        <v>12</v>
      </c>
      <c r="O2">
        <f>[3]CRP_Outcome_ELV!$V2</f>
        <v>12</v>
      </c>
      <c r="Q2">
        <f>[4]CRP_Outcome_ELV!$S2</f>
        <v>12</v>
      </c>
      <c r="R2">
        <f>[4]CRP_Outcome_ELV!$T2</f>
        <v>12</v>
      </c>
      <c r="S2">
        <f>[4]CRP_Outcome_ELV!$U2</f>
        <v>12</v>
      </c>
      <c r="T2">
        <f>[4]CRP_Outcome_ELV!$V2</f>
        <v>12</v>
      </c>
      <c r="V2">
        <f>[5]CRP_Outcome_ELV!$S2</f>
        <v>12</v>
      </c>
      <c r="W2">
        <f>[5]CRP_Outcome_ELV!$T2</f>
        <v>12</v>
      </c>
      <c r="X2">
        <f>[5]CRP_Outcome_ELV!$U2</f>
        <v>12</v>
      </c>
      <c r="Y2">
        <f>[5]CRP_Outcome_ELV!$V2</f>
        <v>12</v>
      </c>
      <c r="AA2">
        <f>[6]CRP_Outcome_ELV!$S2</f>
        <v>12</v>
      </c>
      <c r="AB2">
        <f>[6]CRP_Outcome_ELV!$T2</f>
        <v>12</v>
      </c>
      <c r="AC2">
        <f>[6]CRP_Outcome_ELV!$U2</f>
        <v>12</v>
      </c>
      <c r="AD2">
        <f>[6]CRP_Outcome_ELV!$V2</f>
        <v>12</v>
      </c>
      <c r="AF2">
        <f>[7]CRP_Outcome_ELV!$S2</f>
        <v>12</v>
      </c>
      <c r="AG2">
        <f>[7]CRP_Outcome_ELV!$T2</f>
        <v>12</v>
      </c>
      <c r="AH2">
        <f>[7]CRP_Outcome_ELV!$U2</f>
        <v>12</v>
      </c>
      <c r="AI2">
        <f>[7]CRP_Outcome_ELV!$V2</f>
        <v>12</v>
      </c>
      <c r="AK2">
        <f>[8]CRP_Outcome_ELV!$S2</f>
        <v>12</v>
      </c>
      <c r="AL2">
        <f>[8]CRP_Outcome_ELV!$T2</f>
        <v>12</v>
      </c>
      <c r="AM2">
        <f>[8]CRP_Outcome_ELV!$U2</f>
        <v>12</v>
      </c>
      <c r="AN2">
        <f>[8]CRP_Outcome_ELV!$V2</f>
        <v>12</v>
      </c>
      <c r="AP2">
        <f>[9]CRP_Outcome_ELV!$S2</f>
        <v>12</v>
      </c>
      <c r="AQ2">
        <f>[9]CRP_Outcome_ELV!$T2</f>
        <v>12</v>
      </c>
      <c r="AR2">
        <f>[9]CRP_Outcome_ELV!$U2</f>
        <v>12</v>
      </c>
      <c r="AS2">
        <f>[9]CRP_Outcome_ELV!$V2</f>
        <v>12</v>
      </c>
      <c r="AU2">
        <f>[10]CRP_Outcome_ELV!$S2</f>
        <v>12</v>
      </c>
      <c r="AV2">
        <f>[10]CRP_Outcome_ELV!$T2</f>
        <v>12</v>
      </c>
      <c r="AW2">
        <f>[10]CRP_Outcome_ELV!$U2</f>
        <v>12</v>
      </c>
      <c r="AX2">
        <f>[10]CRP_Outcome_ELV!$V2</f>
        <v>12</v>
      </c>
      <c r="BA2">
        <f>[1]CRP_Outcome_ELV!$S2</f>
        <v>12</v>
      </c>
      <c r="BB2">
        <f>[1]CRP_Outcome_ELV!$T2</f>
        <v>12</v>
      </c>
      <c r="BC2">
        <f>[1]CRP_Outcome_ELV!$U2</f>
        <v>12</v>
      </c>
      <c r="BD2">
        <f>[1]CRP_Outcome_ELV!$V2</f>
        <v>12</v>
      </c>
    </row>
    <row r="3" spans="1:56" x14ac:dyDescent="0.35">
      <c r="A3">
        <v>1</v>
      </c>
      <c r="B3">
        <f>[1]CRP_Outcome_ELV!$S3</f>
        <v>12</v>
      </c>
      <c r="C3">
        <f>[1]CRP_Outcome_ELV!$T3</f>
        <v>12</v>
      </c>
      <c r="D3">
        <f>[1]CRP_Outcome_ELV!$U3</f>
        <v>12</v>
      </c>
      <c r="E3">
        <f>[1]CRP_Outcome_ELV!$V3</f>
        <v>12</v>
      </c>
      <c r="G3">
        <f>[2]CRP_Outcome_ELV!$S3</f>
        <v>12</v>
      </c>
      <c r="H3">
        <f>[2]CRP_Outcome_ELV!$T3</f>
        <v>12</v>
      </c>
      <c r="I3">
        <f>[2]CRP_Outcome_ELV!$U3</f>
        <v>12</v>
      </c>
      <c r="J3">
        <f>[2]CRP_Outcome_ELV!$V3</f>
        <v>12</v>
      </c>
      <c r="L3">
        <f>[3]CRP_Outcome_ELV!$S3</f>
        <v>12</v>
      </c>
      <c r="M3">
        <f>[3]CRP_Outcome_ELV!$T3</f>
        <v>12</v>
      </c>
      <c r="N3">
        <f>[3]CRP_Outcome_ELV!$U3</f>
        <v>12</v>
      </c>
      <c r="O3">
        <f>[3]CRP_Outcome_ELV!$V3</f>
        <v>12</v>
      </c>
      <c r="Q3">
        <f>[4]CRP_Outcome_ELV!$S3</f>
        <v>12</v>
      </c>
      <c r="R3">
        <f>[4]CRP_Outcome_ELV!$T3</f>
        <v>12</v>
      </c>
      <c r="S3">
        <f>[4]CRP_Outcome_ELV!$U3</f>
        <v>12</v>
      </c>
      <c r="T3">
        <f>[4]CRP_Outcome_ELV!$V3</f>
        <v>12</v>
      </c>
      <c r="V3">
        <f>[5]CRP_Outcome_ELV!$S3</f>
        <v>12</v>
      </c>
      <c r="W3">
        <f>[5]CRP_Outcome_ELV!$T3</f>
        <v>12</v>
      </c>
      <c r="X3">
        <f>[5]CRP_Outcome_ELV!$U3</f>
        <v>12</v>
      </c>
      <c r="Y3">
        <f>[5]CRP_Outcome_ELV!$V3</f>
        <v>12</v>
      </c>
      <c r="AA3">
        <f>[6]CRP_Outcome_ELV!$S3</f>
        <v>12</v>
      </c>
      <c r="AB3">
        <f>[6]CRP_Outcome_ELV!$T3</f>
        <v>12</v>
      </c>
      <c r="AC3">
        <f>[6]CRP_Outcome_ELV!$U3</f>
        <v>12</v>
      </c>
      <c r="AD3">
        <f>[6]CRP_Outcome_ELV!$V3</f>
        <v>12</v>
      </c>
      <c r="AF3">
        <f>[7]CRP_Outcome_ELV!$S3</f>
        <v>12</v>
      </c>
      <c r="AG3">
        <f>[7]CRP_Outcome_ELV!$T3</f>
        <v>12</v>
      </c>
      <c r="AH3">
        <f>[7]CRP_Outcome_ELV!$U3</f>
        <v>12</v>
      </c>
      <c r="AI3">
        <f>[7]CRP_Outcome_ELV!$V3</f>
        <v>12</v>
      </c>
      <c r="AK3">
        <f>[8]CRP_Outcome_ELV!$S3</f>
        <v>12</v>
      </c>
      <c r="AL3">
        <f>[8]CRP_Outcome_ELV!$T3</f>
        <v>12</v>
      </c>
      <c r="AM3">
        <f>[8]CRP_Outcome_ELV!$U3</f>
        <v>12</v>
      </c>
      <c r="AN3">
        <f>[8]CRP_Outcome_ELV!$V3</f>
        <v>12</v>
      </c>
      <c r="AP3">
        <f>[9]CRP_Outcome_ELV!$S3</f>
        <v>12</v>
      </c>
      <c r="AQ3">
        <f>[9]CRP_Outcome_ELV!$T3</f>
        <v>12</v>
      </c>
      <c r="AR3">
        <f>[9]CRP_Outcome_ELV!$U3</f>
        <v>12</v>
      </c>
      <c r="AS3">
        <f>[9]CRP_Outcome_ELV!$V3</f>
        <v>12</v>
      </c>
      <c r="AU3">
        <f>[10]CRP_Outcome_ELV!$S3</f>
        <v>12</v>
      </c>
      <c r="AV3">
        <f>[10]CRP_Outcome_ELV!$T3</f>
        <v>12</v>
      </c>
      <c r="AW3">
        <f>[10]CRP_Outcome_ELV!$U3</f>
        <v>12</v>
      </c>
      <c r="AX3">
        <f>[10]CRP_Outcome_ELV!$V3</f>
        <v>12</v>
      </c>
      <c r="BA3">
        <f>[1]CRP_Outcome_ELV!$S3</f>
        <v>12</v>
      </c>
      <c r="BB3">
        <f>[1]CRP_Outcome_ELV!$T3</f>
        <v>12</v>
      </c>
      <c r="BC3">
        <f>[1]CRP_Outcome_ELV!$U3</f>
        <v>12</v>
      </c>
      <c r="BD3">
        <f>[1]CRP_Outcome_ELV!$V3</f>
        <v>12</v>
      </c>
    </row>
    <row r="4" spans="1:56" x14ac:dyDescent="0.35">
      <c r="A4">
        <v>2</v>
      </c>
      <c r="B4">
        <f>[1]CRP_Outcome_ELV!$S4</f>
        <v>16</v>
      </c>
      <c r="C4">
        <f>[1]CRP_Outcome_ELV!$T4</f>
        <v>20</v>
      </c>
      <c r="D4">
        <f>[1]CRP_Outcome_ELV!$U4</f>
        <v>16</v>
      </c>
      <c r="E4">
        <f>[1]CRP_Outcome_ELV!$V4</f>
        <v>16</v>
      </c>
      <c r="G4">
        <f>[2]CRP_Outcome_ELV!$S4</f>
        <v>12</v>
      </c>
      <c r="H4">
        <f>[2]CRP_Outcome_ELV!$T4</f>
        <v>20</v>
      </c>
      <c r="I4">
        <f>[2]CRP_Outcome_ELV!$U4</f>
        <v>16</v>
      </c>
      <c r="J4">
        <f>[2]CRP_Outcome_ELV!$V4</f>
        <v>12</v>
      </c>
      <c r="L4">
        <f>[3]CRP_Outcome_ELV!$S4</f>
        <v>12</v>
      </c>
      <c r="M4">
        <f>[3]CRP_Outcome_ELV!$T4</f>
        <v>20</v>
      </c>
      <c r="N4">
        <f>[3]CRP_Outcome_ELV!$U4</f>
        <v>20</v>
      </c>
      <c r="O4">
        <f>[3]CRP_Outcome_ELV!$V4</f>
        <v>16</v>
      </c>
      <c r="Q4">
        <f>[4]CRP_Outcome_ELV!$S4</f>
        <v>12</v>
      </c>
      <c r="R4">
        <f>[4]CRP_Outcome_ELV!$T4</f>
        <v>20</v>
      </c>
      <c r="S4">
        <f>[4]CRP_Outcome_ELV!$U4</f>
        <v>20</v>
      </c>
      <c r="T4">
        <f>[4]CRP_Outcome_ELV!$V4</f>
        <v>12</v>
      </c>
      <c r="V4">
        <f>[5]CRP_Outcome_ELV!$S4</f>
        <v>8</v>
      </c>
      <c r="W4">
        <f>[5]CRP_Outcome_ELV!$T4</f>
        <v>20</v>
      </c>
      <c r="X4">
        <f>[5]CRP_Outcome_ELV!$U4</f>
        <v>12</v>
      </c>
      <c r="Y4">
        <f>[5]CRP_Outcome_ELV!$V4</f>
        <v>12</v>
      </c>
      <c r="AA4">
        <f>[6]CRP_Outcome_ELV!$S4</f>
        <v>12</v>
      </c>
      <c r="AB4">
        <f>[6]CRP_Outcome_ELV!$T4</f>
        <v>20</v>
      </c>
      <c r="AC4">
        <f>[6]CRP_Outcome_ELV!$U4</f>
        <v>16</v>
      </c>
      <c r="AD4">
        <f>[6]CRP_Outcome_ELV!$V4</f>
        <v>8</v>
      </c>
      <c r="AF4">
        <f>[7]CRP_Outcome_ELV!$S4</f>
        <v>12</v>
      </c>
      <c r="AG4">
        <f>[7]CRP_Outcome_ELV!$T4</f>
        <v>20</v>
      </c>
      <c r="AH4">
        <f>[7]CRP_Outcome_ELV!$U4</f>
        <v>16</v>
      </c>
      <c r="AI4">
        <f>[7]CRP_Outcome_ELV!$V4</f>
        <v>8</v>
      </c>
      <c r="AK4">
        <f>[8]CRP_Outcome_ELV!$S4</f>
        <v>12</v>
      </c>
      <c r="AL4">
        <f>[8]CRP_Outcome_ELV!$T4</f>
        <v>20</v>
      </c>
      <c r="AM4">
        <f>[8]CRP_Outcome_ELV!$U4</f>
        <v>12</v>
      </c>
      <c r="AN4">
        <f>[8]CRP_Outcome_ELV!$V4</f>
        <v>8</v>
      </c>
      <c r="AP4">
        <f>[9]CRP_Outcome_ELV!$S4</f>
        <v>12</v>
      </c>
      <c r="AQ4">
        <f>[9]CRP_Outcome_ELV!$T4</f>
        <v>20</v>
      </c>
      <c r="AR4">
        <f>[9]CRP_Outcome_ELV!$U4</f>
        <v>20</v>
      </c>
      <c r="AS4">
        <f>[9]CRP_Outcome_ELV!$V4</f>
        <v>12</v>
      </c>
      <c r="AU4">
        <f>[10]CRP_Outcome_ELV!$S4</f>
        <v>12</v>
      </c>
      <c r="AV4">
        <f>[10]CRP_Outcome_ELV!$T4</f>
        <v>12</v>
      </c>
      <c r="AW4">
        <f>[10]CRP_Outcome_ELV!$U4</f>
        <v>12</v>
      </c>
      <c r="AX4">
        <f>[10]CRP_Outcome_ELV!$V4</f>
        <v>12</v>
      </c>
      <c r="BA4">
        <f>[1]CRP_Outcome_ELV!$S4</f>
        <v>16</v>
      </c>
      <c r="BB4">
        <f>[1]CRP_Outcome_ELV!$T4</f>
        <v>20</v>
      </c>
      <c r="BC4">
        <f>[1]CRP_Outcome_ELV!$U4</f>
        <v>16</v>
      </c>
      <c r="BD4">
        <f>[1]CRP_Outcome_ELV!$V4</f>
        <v>16</v>
      </c>
    </row>
    <row r="5" spans="1:56" x14ac:dyDescent="0.35">
      <c r="A5">
        <v>3</v>
      </c>
      <c r="B5">
        <f>[1]CRP_Outcome_ELV!$S5</f>
        <v>12</v>
      </c>
      <c r="C5">
        <f>[1]CRP_Outcome_ELV!$T5</f>
        <v>12</v>
      </c>
      <c r="D5">
        <f>[1]CRP_Outcome_ELV!$U5</f>
        <v>16</v>
      </c>
      <c r="E5">
        <f>[1]CRP_Outcome_ELV!$V5</f>
        <v>8</v>
      </c>
      <c r="G5">
        <f>[2]CRP_Outcome_ELV!$S5</f>
        <v>12</v>
      </c>
      <c r="H5">
        <f>[2]CRP_Outcome_ELV!$T5</f>
        <v>20</v>
      </c>
      <c r="I5">
        <f>[2]CRP_Outcome_ELV!$U5</f>
        <v>12</v>
      </c>
      <c r="J5">
        <f>[2]CRP_Outcome_ELV!$V5</f>
        <v>12</v>
      </c>
      <c r="L5">
        <f>[3]CRP_Outcome_ELV!$S5</f>
        <v>12</v>
      </c>
      <c r="M5">
        <f>[3]CRP_Outcome_ELV!$T5</f>
        <v>12</v>
      </c>
      <c r="N5">
        <f>[3]CRP_Outcome_ELV!$U5</f>
        <v>12</v>
      </c>
      <c r="O5">
        <f>[3]CRP_Outcome_ELV!$V5</f>
        <v>8</v>
      </c>
      <c r="Q5">
        <f>[4]CRP_Outcome_ELV!$S5</f>
        <v>12</v>
      </c>
      <c r="R5">
        <f>[4]CRP_Outcome_ELV!$T5</f>
        <v>12</v>
      </c>
      <c r="S5">
        <f>[4]CRP_Outcome_ELV!$U5</f>
        <v>12</v>
      </c>
      <c r="T5">
        <f>[4]CRP_Outcome_ELV!$V5</f>
        <v>12</v>
      </c>
      <c r="V5">
        <f>[5]CRP_Outcome_ELV!$S5</f>
        <v>12</v>
      </c>
      <c r="W5">
        <f>[5]CRP_Outcome_ELV!$T5</f>
        <v>12</v>
      </c>
      <c r="X5">
        <f>[5]CRP_Outcome_ELV!$U5</f>
        <v>16</v>
      </c>
      <c r="Y5">
        <f>[5]CRP_Outcome_ELV!$V5</f>
        <v>12</v>
      </c>
      <c r="AA5">
        <f>[6]CRP_Outcome_ELV!$S5</f>
        <v>12</v>
      </c>
      <c r="AB5">
        <f>[6]CRP_Outcome_ELV!$T5</f>
        <v>12</v>
      </c>
      <c r="AC5">
        <f>[6]CRP_Outcome_ELV!$U5</f>
        <v>12</v>
      </c>
      <c r="AD5">
        <f>[6]CRP_Outcome_ELV!$V5</f>
        <v>12</v>
      </c>
      <c r="AF5">
        <f>[7]CRP_Outcome_ELV!$S5</f>
        <v>12</v>
      </c>
      <c r="AG5">
        <f>[7]CRP_Outcome_ELV!$T5</f>
        <v>12</v>
      </c>
      <c r="AH5">
        <f>[7]CRP_Outcome_ELV!$U5</f>
        <v>12</v>
      </c>
      <c r="AI5">
        <f>[7]CRP_Outcome_ELV!$V5</f>
        <v>12</v>
      </c>
      <c r="AK5">
        <f>[8]CRP_Outcome_ELV!$S5</f>
        <v>12</v>
      </c>
      <c r="AL5">
        <f>[8]CRP_Outcome_ELV!$T5</f>
        <v>12</v>
      </c>
      <c r="AM5">
        <f>[8]CRP_Outcome_ELV!$U5</f>
        <v>12</v>
      </c>
      <c r="AN5">
        <f>[8]CRP_Outcome_ELV!$V5</f>
        <v>4</v>
      </c>
      <c r="AP5">
        <f>[9]CRP_Outcome_ELV!$S5</f>
        <v>12</v>
      </c>
      <c r="AQ5">
        <f>[9]CRP_Outcome_ELV!$T5</f>
        <v>8</v>
      </c>
      <c r="AR5">
        <f>[9]CRP_Outcome_ELV!$U5</f>
        <v>12</v>
      </c>
      <c r="AS5">
        <f>[9]CRP_Outcome_ELV!$V5</f>
        <v>4</v>
      </c>
      <c r="AU5">
        <f>[10]CRP_Outcome_ELV!$S5</f>
        <v>12</v>
      </c>
      <c r="AV5">
        <f>[10]CRP_Outcome_ELV!$T5</f>
        <v>12</v>
      </c>
      <c r="AW5">
        <f>[10]CRP_Outcome_ELV!$U5</f>
        <v>12</v>
      </c>
      <c r="AX5">
        <f>[10]CRP_Outcome_ELV!$V5</f>
        <v>12</v>
      </c>
      <c r="BA5">
        <f>[1]CRP_Outcome_ELV!$S5</f>
        <v>12</v>
      </c>
      <c r="BB5">
        <f>[1]CRP_Outcome_ELV!$T5</f>
        <v>12</v>
      </c>
      <c r="BC5">
        <f>[1]CRP_Outcome_ELV!$U5</f>
        <v>16</v>
      </c>
      <c r="BD5">
        <f>[1]CRP_Outcome_ELV!$V5</f>
        <v>8</v>
      </c>
    </row>
    <row r="6" spans="1:56" x14ac:dyDescent="0.35">
      <c r="A6">
        <v>4</v>
      </c>
      <c r="B6">
        <f>[1]CRP_Outcome_ELV!$S6</f>
        <v>8</v>
      </c>
      <c r="C6">
        <f>[1]CRP_Outcome_ELV!$T6</f>
        <v>12</v>
      </c>
      <c r="D6">
        <f>[1]CRP_Outcome_ELV!$U6</f>
        <v>16</v>
      </c>
      <c r="E6">
        <f>[1]CRP_Outcome_ELV!$V6</f>
        <v>12</v>
      </c>
      <c r="G6">
        <f>[2]CRP_Outcome_ELV!$S6</f>
        <v>8</v>
      </c>
      <c r="H6">
        <f>[2]CRP_Outcome_ELV!$T6</f>
        <v>12</v>
      </c>
      <c r="I6">
        <f>[2]CRP_Outcome_ELV!$U6</f>
        <v>12</v>
      </c>
      <c r="J6">
        <f>[2]CRP_Outcome_ELV!$V6</f>
        <v>12</v>
      </c>
      <c r="L6">
        <f>[3]CRP_Outcome_ELV!$S6</f>
        <v>8</v>
      </c>
      <c r="M6">
        <f>[3]CRP_Outcome_ELV!$T6</f>
        <v>12</v>
      </c>
      <c r="N6">
        <f>[3]CRP_Outcome_ELV!$U6</f>
        <v>12</v>
      </c>
      <c r="O6">
        <f>[3]CRP_Outcome_ELV!$V6</f>
        <v>8</v>
      </c>
      <c r="Q6">
        <f>[4]CRP_Outcome_ELV!$S6</f>
        <v>8</v>
      </c>
      <c r="R6">
        <f>[4]CRP_Outcome_ELV!$T6</f>
        <v>12</v>
      </c>
      <c r="S6">
        <f>[4]CRP_Outcome_ELV!$U6</f>
        <v>12</v>
      </c>
      <c r="T6">
        <f>[4]CRP_Outcome_ELV!$V6</f>
        <v>12</v>
      </c>
      <c r="V6">
        <f>[5]CRP_Outcome_ELV!$S6</f>
        <v>8</v>
      </c>
      <c r="W6">
        <f>[5]CRP_Outcome_ELV!$T6</f>
        <v>12</v>
      </c>
      <c r="X6">
        <f>[5]CRP_Outcome_ELV!$U6</f>
        <v>12</v>
      </c>
      <c r="Y6">
        <f>[5]CRP_Outcome_ELV!$V6</f>
        <v>12</v>
      </c>
      <c r="AA6">
        <f>[6]CRP_Outcome_ELV!$S6</f>
        <v>8</v>
      </c>
      <c r="AB6">
        <f>[6]CRP_Outcome_ELV!$T6</f>
        <v>12</v>
      </c>
      <c r="AC6">
        <f>[6]CRP_Outcome_ELV!$U6</f>
        <v>12</v>
      </c>
      <c r="AD6">
        <f>[6]CRP_Outcome_ELV!$V6</f>
        <v>12</v>
      </c>
      <c r="AF6">
        <f>[7]CRP_Outcome_ELV!$S6</f>
        <v>8</v>
      </c>
      <c r="AG6">
        <f>[7]CRP_Outcome_ELV!$T6</f>
        <v>12</v>
      </c>
      <c r="AH6">
        <f>[7]CRP_Outcome_ELV!$U6</f>
        <v>12</v>
      </c>
      <c r="AI6">
        <f>[7]CRP_Outcome_ELV!$V6</f>
        <v>12</v>
      </c>
      <c r="AK6">
        <f>[8]CRP_Outcome_ELV!$S6</f>
        <v>8</v>
      </c>
      <c r="AL6">
        <f>[8]CRP_Outcome_ELV!$T6</f>
        <v>12</v>
      </c>
      <c r="AM6">
        <f>[8]CRP_Outcome_ELV!$U6</f>
        <v>12</v>
      </c>
      <c r="AN6">
        <f>[8]CRP_Outcome_ELV!$V6</f>
        <v>4</v>
      </c>
      <c r="AP6">
        <f>[9]CRP_Outcome_ELV!$S6</f>
        <v>8</v>
      </c>
      <c r="AQ6">
        <f>[9]CRP_Outcome_ELV!$T6</f>
        <v>8</v>
      </c>
      <c r="AR6">
        <f>[9]CRP_Outcome_ELV!$U6</f>
        <v>12</v>
      </c>
      <c r="AS6">
        <f>[9]CRP_Outcome_ELV!$V6</f>
        <v>4</v>
      </c>
      <c r="AU6">
        <f>[10]CRP_Outcome_ELV!$S6</f>
        <v>12</v>
      </c>
      <c r="AV6">
        <f>[10]CRP_Outcome_ELV!$T6</f>
        <v>12</v>
      </c>
      <c r="AW6">
        <f>[10]CRP_Outcome_ELV!$U6</f>
        <v>12</v>
      </c>
      <c r="AX6">
        <f>[10]CRP_Outcome_ELV!$V6</f>
        <v>12</v>
      </c>
      <c r="BA6">
        <f>[1]CRP_Outcome_ELV!$S6</f>
        <v>8</v>
      </c>
      <c r="BB6">
        <f>[1]CRP_Outcome_ELV!$T6</f>
        <v>12</v>
      </c>
      <c r="BC6">
        <f>[1]CRP_Outcome_ELV!$U6</f>
        <v>16</v>
      </c>
      <c r="BD6">
        <f>[1]CRP_Outcome_ELV!$V6</f>
        <v>12</v>
      </c>
    </row>
    <row r="7" spans="1:56" x14ac:dyDescent="0.35">
      <c r="A7">
        <v>5</v>
      </c>
      <c r="B7">
        <f>[1]CRP_Outcome_ELV!$S7</f>
        <v>12</v>
      </c>
      <c r="C7">
        <f>[1]CRP_Outcome_ELV!$T7</f>
        <v>12</v>
      </c>
      <c r="D7">
        <f>[1]CRP_Outcome_ELV!$U7</f>
        <v>8</v>
      </c>
      <c r="E7">
        <f>[1]CRP_Outcome_ELV!$V7</f>
        <v>12</v>
      </c>
      <c r="G7">
        <f>[2]CRP_Outcome_ELV!$S7</f>
        <v>8</v>
      </c>
      <c r="H7">
        <f>[2]CRP_Outcome_ELV!$T7</f>
        <v>12</v>
      </c>
      <c r="I7">
        <f>[2]CRP_Outcome_ELV!$U7</f>
        <v>8</v>
      </c>
      <c r="J7">
        <f>[2]CRP_Outcome_ELV!$V7</f>
        <v>12</v>
      </c>
      <c r="L7">
        <f>[3]CRP_Outcome_ELV!$S7</f>
        <v>12</v>
      </c>
      <c r="M7">
        <f>[3]CRP_Outcome_ELV!$T7</f>
        <v>12</v>
      </c>
      <c r="N7">
        <f>[3]CRP_Outcome_ELV!$U7</f>
        <v>8</v>
      </c>
      <c r="O7">
        <f>[3]CRP_Outcome_ELV!$V7</f>
        <v>12</v>
      </c>
      <c r="Q7">
        <f>[4]CRP_Outcome_ELV!$S7</f>
        <v>12</v>
      </c>
      <c r="R7">
        <f>[4]CRP_Outcome_ELV!$T7</f>
        <v>12</v>
      </c>
      <c r="S7">
        <f>[4]CRP_Outcome_ELV!$U7</f>
        <v>8</v>
      </c>
      <c r="T7">
        <f>[4]CRP_Outcome_ELV!$V7</f>
        <v>12</v>
      </c>
      <c r="V7">
        <f>[5]CRP_Outcome_ELV!$S7</f>
        <v>12</v>
      </c>
      <c r="W7">
        <f>[5]CRP_Outcome_ELV!$T7</f>
        <v>12</v>
      </c>
      <c r="X7">
        <f>[5]CRP_Outcome_ELV!$U7</f>
        <v>8</v>
      </c>
      <c r="Y7">
        <f>[5]CRP_Outcome_ELV!$V7</f>
        <v>12</v>
      </c>
      <c r="AA7">
        <f>[6]CRP_Outcome_ELV!$S7</f>
        <v>12</v>
      </c>
      <c r="AB7">
        <f>[6]CRP_Outcome_ELV!$T7</f>
        <v>12</v>
      </c>
      <c r="AC7">
        <f>[6]CRP_Outcome_ELV!$U7</f>
        <v>8</v>
      </c>
      <c r="AD7">
        <f>[6]CRP_Outcome_ELV!$V7</f>
        <v>12</v>
      </c>
      <c r="AF7">
        <f>[7]CRP_Outcome_ELV!$S7</f>
        <v>12</v>
      </c>
      <c r="AG7">
        <f>[7]CRP_Outcome_ELV!$T7</f>
        <v>12</v>
      </c>
      <c r="AH7">
        <f>[7]CRP_Outcome_ELV!$U7</f>
        <v>8</v>
      </c>
      <c r="AI7">
        <f>[7]CRP_Outcome_ELV!$V7</f>
        <v>12</v>
      </c>
      <c r="AK7">
        <f>[8]CRP_Outcome_ELV!$S7</f>
        <v>12</v>
      </c>
      <c r="AL7">
        <f>[8]CRP_Outcome_ELV!$T7</f>
        <v>12</v>
      </c>
      <c r="AM7">
        <f>[8]CRP_Outcome_ELV!$U7</f>
        <v>8</v>
      </c>
      <c r="AN7">
        <f>[8]CRP_Outcome_ELV!$V7</f>
        <v>8</v>
      </c>
      <c r="AP7">
        <f>[9]CRP_Outcome_ELV!$S7</f>
        <v>12</v>
      </c>
      <c r="AQ7">
        <f>[9]CRP_Outcome_ELV!$T7</f>
        <v>8</v>
      </c>
      <c r="AR7">
        <f>[9]CRP_Outcome_ELV!$U7</f>
        <v>8</v>
      </c>
      <c r="AS7">
        <f>[9]CRP_Outcome_ELV!$V7</f>
        <v>8</v>
      </c>
      <c r="AU7">
        <f>[10]CRP_Outcome_ELV!$S7</f>
        <v>12</v>
      </c>
      <c r="AV7">
        <f>[10]CRP_Outcome_ELV!$T7</f>
        <v>12</v>
      </c>
      <c r="AW7">
        <f>[10]CRP_Outcome_ELV!$U7</f>
        <v>8</v>
      </c>
      <c r="AX7">
        <f>[10]CRP_Outcome_ELV!$V7</f>
        <v>12</v>
      </c>
      <c r="BA7">
        <f>[1]CRP_Outcome_ELV!$S7</f>
        <v>12</v>
      </c>
      <c r="BB7">
        <f>[1]CRP_Outcome_ELV!$T7</f>
        <v>12</v>
      </c>
      <c r="BC7">
        <f>[1]CRP_Outcome_ELV!$U7</f>
        <v>8</v>
      </c>
      <c r="BD7">
        <f>[1]CRP_Outcome_ELV!$V7</f>
        <v>12</v>
      </c>
    </row>
    <row r="8" spans="1:56" x14ac:dyDescent="0.35">
      <c r="A8">
        <v>6</v>
      </c>
      <c r="B8">
        <f>[1]CRP_Outcome_ELV!$S8</f>
        <v>12</v>
      </c>
      <c r="C8">
        <f>[1]CRP_Outcome_ELV!$T8</f>
        <v>12</v>
      </c>
      <c r="D8">
        <f>[1]CRP_Outcome_ELV!$U8</f>
        <v>8</v>
      </c>
      <c r="E8">
        <f>[1]CRP_Outcome_ELV!$V8</f>
        <v>12</v>
      </c>
      <c r="G8">
        <f>[2]CRP_Outcome_ELV!$S8</f>
        <v>12</v>
      </c>
      <c r="H8">
        <f>[2]CRP_Outcome_ELV!$T8</f>
        <v>12</v>
      </c>
      <c r="I8">
        <f>[2]CRP_Outcome_ELV!$U8</f>
        <v>8</v>
      </c>
      <c r="J8">
        <f>[2]CRP_Outcome_ELV!$V8</f>
        <v>12</v>
      </c>
      <c r="L8">
        <f>[3]CRP_Outcome_ELV!$S8</f>
        <v>12</v>
      </c>
      <c r="M8">
        <f>[3]CRP_Outcome_ELV!$T8</f>
        <v>12</v>
      </c>
      <c r="N8">
        <f>[3]CRP_Outcome_ELV!$U8</f>
        <v>8</v>
      </c>
      <c r="O8">
        <f>[3]CRP_Outcome_ELV!$V8</f>
        <v>12</v>
      </c>
      <c r="Q8">
        <f>[4]CRP_Outcome_ELV!$S8</f>
        <v>12</v>
      </c>
      <c r="R8">
        <f>[4]CRP_Outcome_ELV!$T8</f>
        <v>12</v>
      </c>
      <c r="S8">
        <f>[4]CRP_Outcome_ELV!$U8</f>
        <v>8</v>
      </c>
      <c r="T8">
        <f>[4]CRP_Outcome_ELV!$V8</f>
        <v>12</v>
      </c>
      <c r="V8">
        <f>[5]CRP_Outcome_ELV!$S8</f>
        <v>12</v>
      </c>
      <c r="W8">
        <f>[5]CRP_Outcome_ELV!$T8</f>
        <v>12</v>
      </c>
      <c r="X8">
        <f>[5]CRP_Outcome_ELV!$U8</f>
        <v>8</v>
      </c>
      <c r="Y8">
        <f>[5]CRP_Outcome_ELV!$V8</f>
        <v>12</v>
      </c>
      <c r="AA8">
        <f>[6]CRP_Outcome_ELV!$S8</f>
        <v>12</v>
      </c>
      <c r="AB8">
        <f>[6]CRP_Outcome_ELV!$T8</f>
        <v>12</v>
      </c>
      <c r="AC8">
        <f>[6]CRP_Outcome_ELV!$U8</f>
        <v>8</v>
      </c>
      <c r="AD8">
        <f>[6]CRP_Outcome_ELV!$V8</f>
        <v>12</v>
      </c>
      <c r="AF8">
        <f>[7]CRP_Outcome_ELV!$S8</f>
        <v>12</v>
      </c>
      <c r="AG8">
        <f>[7]CRP_Outcome_ELV!$T8</f>
        <v>12</v>
      </c>
      <c r="AH8">
        <f>[7]CRP_Outcome_ELV!$U8</f>
        <v>8</v>
      </c>
      <c r="AI8">
        <f>[7]CRP_Outcome_ELV!$V8</f>
        <v>12</v>
      </c>
      <c r="AK8">
        <f>[8]CRP_Outcome_ELV!$S8</f>
        <v>12</v>
      </c>
      <c r="AL8">
        <f>[8]CRP_Outcome_ELV!$T8</f>
        <v>12</v>
      </c>
      <c r="AM8">
        <f>[8]CRP_Outcome_ELV!$U8</f>
        <v>8</v>
      </c>
      <c r="AN8">
        <f>[8]CRP_Outcome_ELV!$V8</f>
        <v>8</v>
      </c>
      <c r="AP8">
        <f>[9]CRP_Outcome_ELV!$S8</f>
        <v>12</v>
      </c>
      <c r="AQ8">
        <f>[9]CRP_Outcome_ELV!$T8</f>
        <v>8</v>
      </c>
      <c r="AR8">
        <f>[9]CRP_Outcome_ELV!$U8</f>
        <v>8</v>
      </c>
      <c r="AS8">
        <f>[9]CRP_Outcome_ELV!$V8</f>
        <v>8</v>
      </c>
      <c r="AU8">
        <f>[10]CRP_Outcome_ELV!$S8</f>
        <v>12</v>
      </c>
      <c r="AV8">
        <f>[10]CRP_Outcome_ELV!$T8</f>
        <v>12</v>
      </c>
      <c r="AW8">
        <f>[10]CRP_Outcome_ELV!$U8</f>
        <v>8</v>
      </c>
      <c r="AX8">
        <f>[10]CRP_Outcome_ELV!$V8</f>
        <v>12</v>
      </c>
      <c r="BA8">
        <f>[1]CRP_Outcome_ELV!$S8</f>
        <v>12</v>
      </c>
      <c r="BB8">
        <f>[1]CRP_Outcome_ELV!$T8</f>
        <v>12</v>
      </c>
      <c r="BC8">
        <f>[1]CRP_Outcome_ELV!$U8</f>
        <v>8</v>
      </c>
      <c r="BD8">
        <f>[1]CRP_Outcome_ELV!$V8</f>
        <v>12</v>
      </c>
    </row>
    <row r="9" spans="1:56" x14ac:dyDescent="0.35">
      <c r="A9">
        <v>7</v>
      </c>
      <c r="B9">
        <f>[1]CRP_Outcome_ELV!$S9</f>
        <v>16</v>
      </c>
      <c r="C9">
        <f>[1]CRP_Outcome_ELV!$T9</f>
        <v>16</v>
      </c>
      <c r="D9">
        <f>[1]CRP_Outcome_ELV!$U9</f>
        <v>8</v>
      </c>
      <c r="E9">
        <f>[1]CRP_Outcome_ELV!$V9</f>
        <v>13</v>
      </c>
      <c r="G9">
        <f>[2]CRP_Outcome_ELV!$S9</f>
        <v>16</v>
      </c>
      <c r="H9">
        <f>[2]CRP_Outcome_ELV!$T9</f>
        <v>16</v>
      </c>
      <c r="I9">
        <f>[2]CRP_Outcome_ELV!$U9</f>
        <v>8</v>
      </c>
      <c r="J9">
        <f>[2]CRP_Outcome_ELV!$V9</f>
        <v>9</v>
      </c>
      <c r="L9">
        <f>[3]CRP_Outcome_ELV!$S9</f>
        <v>16</v>
      </c>
      <c r="M9">
        <f>[3]CRP_Outcome_ELV!$T9</f>
        <v>16</v>
      </c>
      <c r="N9">
        <f>[3]CRP_Outcome_ELV!$U9</f>
        <v>8</v>
      </c>
      <c r="O9">
        <f>[3]CRP_Outcome_ELV!$V9</f>
        <v>9</v>
      </c>
      <c r="Q9">
        <f>[4]CRP_Outcome_ELV!$S9</f>
        <v>16</v>
      </c>
      <c r="R9">
        <f>[4]CRP_Outcome_ELV!$T9</f>
        <v>16</v>
      </c>
      <c r="S9">
        <f>[4]CRP_Outcome_ELV!$U9</f>
        <v>8</v>
      </c>
      <c r="T9">
        <f>[4]CRP_Outcome_ELV!$V9</f>
        <v>9</v>
      </c>
      <c r="V9">
        <f>[5]CRP_Outcome_ELV!$S9</f>
        <v>16</v>
      </c>
      <c r="W9">
        <f>[5]CRP_Outcome_ELV!$T9</f>
        <v>16</v>
      </c>
      <c r="X9">
        <f>[5]CRP_Outcome_ELV!$U9</f>
        <v>8</v>
      </c>
      <c r="Y9">
        <f>[5]CRP_Outcome_ELV!$V9</f>
        <v>12</v>
      </c>
      <c r="AA9">
        <f>[6]CRP_Outcome_ELV!$S9</f>
        <v>16</v>
      </c>
      <c r="AB9">
        <f>[6]CRP_Outcome_ELV!$T9</f>
        <v>16</v>
      </c>
      <c r="AC9">
        <f>[6]CRP_Outcome_ELV!$U9</f>
        <v>8</v>
      </c>
      <c r="AD9">
        <f>[6]CRP_Outcome_ELV!$V9</f>
        <v>7</v>
      </c>
      <c r="AF9">
        <f>[7]CRP_Outcome_ELV!$S9</f>
        <v>16</v>
      </c>
      <c r="AG9">
        <f>[7]CRP_Outcome_ELV!$T9</f>
        <v>16</v>
      </c>
      <c r="AH9">
        <f>[7]CRP_Outcome_ELV!$U9</f>
        <v>8</v>
      </c>
      <c r="AI9">
        <f>[7]CRP_Outcome_ELV!$V9</f>
        <v>7</v>
      </c>
      <c r="AK9">
        <f>[8]CRP_Outcome_ELV!$S9</f>
        <v>16</v>
      </c>
      <c r="AL9">
        <f>[8]CRP_Outcome_ELV!$T9</f>
        <v>16</v>
      </c>
      <c r="AM9">
        <f>[8]CRP_Outcome_ELV!$U9</f>
        <v>8</v>
      </c>
      <c r="AN9">
        <f>[8]CRP_Outcome_ELV!$V9</f>
        <v>8</v>
      </c>
      <c r="AP9">
        <f>[9]CRP_Outcome_ELV!$S9</f>
        <v>16</v>
      </c>
      <c r="AQ9">
        <f>[9]CRP_Outcome_ELV!$T9</f>
        <v>16</v>
      </c>
      <c r="AR9">
        <f>[9]CRP_Outcome_ELV!$U9</f>
        <v>8</v>
      </c>
      <c r="AS9">
        <f>[9]CRP_Outcome_ELV!$V9</f>
        <v>8</v>
      </c>
      <c r="AU9">
        <f>[10]CRP_Outcome_ELV!$S9</f>
        <v>16</v>
      </c>
      <c r="AV9">
        <f>[10]CRP_Outcome_ELV!$T9</f>
        <v>16</v>
      </c>
      <c r="AW9">
        <f>[10]CRP_Outcome_ELV!$U9</f>
        <v>8</v>
      </c>
      <c r="AX9">
        <f>[10]CRP_Outcome_ELV!$V9</f>
        <v>6</v>
      </c>
      <c r="BA9">
        <f>[1]CRP_Outcome_ELV!$S9</f>
        <v>16</v>
      </c>
      <c r="BB9">
        <f>[1]CRP_Outcome_ELV!$T9</f>
        <v>16</v>
      </c>
      <c r="BC9">
        <f>[1]CRP_Outcome_ELV!$U9</f>
        <v>8</v>
      </c>
      <c r="BD9">
        <f>[1]CRP_Outcome_ELV!$V9</f>
        <v>13</v>
      </c>
    </row>
    <row r="10" spans="1:56" x14ac:dyDescent="0.35">
      <c r="A10">
        <v>8</v>
      </c>
      <c r="B10">
        <f>[1]CRP_Outcome_ELV!$S10</f>
        <v>16</v>
      </c>
      <c r="C10">
        <f>[1]CRP_Outcome_ELV!$T10</f>
        <v>11</v>
      </c>
      <c r="D10">
        <f>[1]CRP_Outcome_ELV!$U10</f>
        <v>8</v>
      </c>
      <c r="E10">
        <f>[1]CRP_Outcome_ELV!$V10</f>
        <v>8</v>
      </c>
      <c r="G10">
        <f>[2]CRP_Outcome_ELV!$S10</f>
        <v>16</v>
      </c>
      <c r="H10">
        <f>[2]CRP_Outcome_ELV!$T10</f>
        <v>12</v>
      </c>
      <c r="I10">
        <f>[2]CRP_Outcome_ELV!$U10</f>
        <v>8</v>
      </c>
      <c r="J10">
        <f>[2]CRP_Outcome_ELV!$V10</f>
        <v>6</v>
      </c>
      <c r="L10">
        <f>[3]CRP_Outcome_ELV!$S10</f>
        <v>16</v>
      </c>
      <c r="M10">
        <f>[3]CRP_Outcome_ELV!$T10</f>
        <v>12</v>
      </c>
      <c r="N10">
        <f>[3]CRP_Outcome_ELV!$U10</f>
        <v>8</v>
      </c>
      <c r="O10">
        <f>[3]CRP_Outcome_ELV!$V10</f>
        <v>7</v>
      </c>
      <c r="Q10">
        <f>[4]CRP_Outcome_ELV!$S10</f>
        <v>16</v>
      </c>
      <c r="R10">
        <f>[4]CRP_Outcome_ELV!$T10</f>
        <v>11</v>
      </c>
      <c r="S10">
        <f>[4]CRP_Outcome_ELV!$U10</f>
        <v>8</v>
      </c>
      <c r="T10">
        <f>[4]CRP_Outcome_ELV!$V10</f>
        <v>7</v>
      </c>
      <c r="V10">
        <f>[5]CRP_Outcome_ELV!$S10</f>
        <v>16</v>
      </c>
      <c r="W10">
        <f>[5]CRP_Outcome_ELV!$T10</f>
        <v>10</v>
      </c>
      <c r="X10">
        <f>[5]CRP_Outcome_ELV!$U10</f>
        <v>8</v>
      </c>
      <c r="Y10">
        <f>[5]CRP_Outcome_ELV!$V10</f>
        <v>10</v>
      </c>
      <c r="AA10">
        <f>[6]CRP_Outcome_ELV!$S10</f>
        <v>16</v>
      </c>
      <c r="AB10">
        <f>[6]CRP_Outcome_ELV!$T10</f>
        <v>12</v>
      </c>
      <c r="AC10">
        <f>[6]CRP_Outcome_ELV!$U10</f>
        <v>8</v>
      </c>
      <c r="AD10">
        <f>[6]CRP_Outcome_ELV!$V10</f>
        <v>5</v>
      </c>
      <c r="AF10">
        <f>[7]CRP_Outcome_ELV!$S10</f>
        <v>16</v>
      </c>
      <c r="AG10">
        <f>[7]CRP_Outcome_ELV!$T10</f>
        <v>10</v>
      </c>
      <c r="AH10">
        <f>[7]CRP_Outcome_ELV!$U10</f>
        <v>8</v>
      </c>
      <c r="AI10">
        <f>[7]CRP_Outcome_ELV!$V10</f>
        <v>5</v>
      </c>
      <c r="AK10">
        <f>[8]CRP_Outcome_ELV!$S10</f>
        <v>15</v>
      </c>
      <c r="AL10">
        <f>[8]CRP_Outcome_ELV!$T10</f>
        <v>12</v>
      </c>
      <c r="AM10">
        <f>[8]CRP_Outcome_ELV!$U10</f>
        <v>8</v>
      </c>
      <c r="AN10">
        <f>[8]CRP_Outcome_ELV!$V10</f>
        <v>10</v>
      </c>
      <c r="AP10">
        <f>[9]CRP_Outcome_ELV!$S10</f>
        <v>14</v>
      </c>
      <c r="AQ10">
        <f>[9]CRP_Outcome_ELV!$T10</f>
        <v>12</v>
      </c>
      <c r="AR10">
        <f>[9]CRP_Outcome_ELV!$U10</f>
        <v>8</v>
      </c>
      <c r="AS10">
        <f>[9]CRP_Outcome_ELV!$V10</f>
        <v>6</v>
      </c>
      <c r="AU10">
        <f>[10]CRP_Outcome_ELV!$S10</f>
        <v>15</v>
      </c>
      <c r="AV10">
        <f>[10]CRP_Outcome_ELV!$T10</f>
        <v>14</v>
      </c>
      <c r="AW10">
        <f>[10]CRP_Outcome_ELV!$U10</f>
        <v>8</v>
      </c>
      <c r="AX10">
        <f>[10]CRP_Outcome_ELV!$V10</f>
        <v>2</v>
      </c>
      <c r="BA10">
        <f>[1]CRP_Outcome_ELV!$S10</f>
        <v>16</v>
      </c>
      <c r="BB10">
        <f>[1]CRP_Outcome_ELV!$T10</f>
        <v>11</v>
      </c>
      <c r="BC10">
        <f>[1]CRP_Outcome_ELV!$U10</f>
        <v>8</v>
      </c>
      <c r="BD10">
        <f>[1]CRP_Outcome_ELV!$V10</f>
        <v>8</v>
      </c>
    </row>
    <row r="11" spans="1:56" x14ac:dyDescent="0.35">
      <c r="A11">
        <v>9</v>
      </c>
      <c r="B11">
        <f>[1]CRP_Outcome_ELV!$S11</f>
        <v>12</v>
      </c>
      <c r="C11">
        <f>[1]CRP_Outcome_ELV!$T11</f>
        <v>12</v>
      </c>
      <c r="D11">
        <f>[1]CRP_Outcome_ELV!$U11</f>
        <v>7</v>
      </c>
      <c r="E11">
        <f>[1]CRP_Outcome_ELV!$V11</f>
        <v>2</v>
      </c>
      <c r="G11">
        <f>[2]CRP_Outcome_ELV!$S11</f>
        <v>5</v>
      </c>
      <c r="H11">
        <f>[2]CRP_Outcome_ELV!$T11</f>
        <v>13</v>
      </c>
      <c r="I11">
        <f>[2]CRP_Outcome_ELV!$U11</f>
        <v>11</v>
      </c>
      <c r="J11">
        <f>[2]CRP_Outcome_ELV!$V11</f>
        <v>2</v>
      </c>
      <c r="L11">
        <f>[3]CRP_Outcome_ELV!$S11</f>
        <v>5</v>
      </c>
      <c r="M11">
        <f>[3]CRP_Outcome_ELV!$T11</f>
        <v>13</v>
      </c>
      <c r="N11">
        <f>[3]CRP_Outcome_ELV!$U11</f>
        <v>11</v>
      </c>
      <c r="O11">
        <f>[3]CRP_Outcome_ELV!$V11</f>
        <v>3</v>
      </c>
      <c r="Q11">
        <f>[4]CRP_Outcome_ELV!$S11</f>
        <v>2</v>
      </c>
      <c r="R11">
        <f>[4]CRP_Outcome_ELV!$T11</f>
        <v>13</v>
      </c>
      <c r="S11">
        <f>[4]CRP_Outcome_ELV!$U11</f>
        <v>11</v>
      </c>
      <c r="T11">
        <f>[4]CRP_Outcome_ELV!$V11</f>
        <v>3</v>
      </c>
      <c r="V11">
        <f>[5]CRP_Outcome_ELV!$S11</f>
        <v>10</v>
      </c>
      <c r="W11">
        <f>[5]CRP_Outcome_ELV!$T11</f>
        <v>12</v>
      </c>
      <c r="X11">
        <f>[5]CRP_Outcome_ELV!$U11</f>
        <v>8</v>
      </c>
      <c r="Y11">
        <f>[5]CRP_Outcome_ELV!$V11</f>
        <v>6</v>
      </c>
      <c r="AA11">
        <f>[6]CRP_Outcome_ELV!$S11</f>
        <v>0</v>
      </c>
      <c r="AB11">
        <f>[6]CRP_Outcome_ELV!$T11</f>
        <v>13</v>
      </c>
      <c r="AC11">
        <f>[6]CRP_Outcome_ELV!$U11</f>
        <v>13</v>
      </c>
      <c r="AD11">
        <f>[6]CRP_Outcome_ELV!$V11</f>
        <v>2</v>
      </c>
      <c r="AF11">
        <f>[7]CRP_Outcome_ELV!$S11</f>
        <v>0</v>
      </c>
      <c r="AG11">
        <f>[7]CRP_Outcome_ELV!$T11</f>
        <v>12</v>
      </c>
      <c r="AH11">
        <f>[7]CRP_Outcome_ELV!$U11</f>
        <v>13</v>
      </c>
      <c r="AI11">
        <f>[7]CRP_Outcome_ELV!$V11</f>
        <v>2</v>
      </c>
      <c r="AK11">
        <f>[8]CRP_Outcome_ELV!$S11</f>
        <v>9</v>
      </c>
      <c r="AL11">
        <f>[8]CRP_Outcome_ELV!$T11</f>
        <v>12</v>
      </c>
      <c r="AM11">
        <f>[8]CRP_Outcome_ELV!$U11</f>
        <v>8</v>
      </c>
      <c r="AN11">
        <f>[8]CRP_Outcome_ELV!$V11</f>
        <v>6</v>
      </c>
      <c r="AP11">
        <f>[9]CRP_Outcome_ELV!$S11</f>
        <v>4</v>
      </c>
      <c r="AQ11">
        <f>[9]CRP_Outcome_ELV!$T11</f>
        <v>12</v>
      </c>
      <c r="AR11">
        <f>[9]CRP_Outcome_ELV!$U11</f>
        <v>12</v>
      </c>
      <c r="AS11">
        <f>[9]CRP_Outcome_ELV!$V11</f>
        <v>2</v>
      </c>
      <c r="AU11">
        <f>[10]CRP_Outcome_ELV!$S11</f>
        <v>0</v>
      </c>
      <c r="AV11">
        <f>[10]CRP_Outcome_ELV!$T11</f>
        <v>14</v>
      </c>
      <c r="AW11">
        <f>[10]CRP_Outcome_ELV!$U11</f>
        <v>14</v>
      </c>
      <c r="AX11">
        <f>[10]CRP_Outcome_ELV!$V11</f>
        <v>2</v>
      </c>
      <c r="BA11">
        <f>[1]CRP_Outcome_ELV!$S11</f>
        <v>12</v>
      </c>
      <c r="BB11">
        <f>[1]CRP_Outcome_ELV!$T11</f>
        <v>12</v>
      </c>
      <c r="BC11">
        <f>[1]CRP_Outcome_ELV!$U11</f>
        <v>7</v>
      </c>
      <c r="BD11">
        <f>[1]CRP_Outcome_ELV!$V11</f>
        <v>2</v>
      </c>
    </row>
    <row r="12" spans="1:56" x14ac:dyDescent="0.35">
      <c r="A12">
        <v>10</v>
      </c>
      <c r="B12">
        <f>[1]CRP_Outcome_ELV!$S12</f>
        <v>0</v>
      </c>
      <c r="C12">
        <f>[1]CRP_Outcome_ELV!$T12</f>
        <v>12</v>
      </c>
      <c r="D12">
        <f>[1]CRP_Outcome_ELV!$U12</f>
        <v>12</v>
      </c>
      <c r="E12">
        <f>[1]CRP_Outcome_ELV!$V12</f>
        <v>2</v>
      </c>
      <c r="G12">
        <f>[2]CRP_Outcome_ELV!$S12</f>
        <v>0</v>
      </c>
      <c r="H12">
        <f>[2]CRP_Outcome_ELV!$T12</f>
        <v>12</v>
      </c>
      <c r="I12">
        <f>[2]CRP_Outcome_ELV!$U12</f>
        <v>14</v>
      </c>
      <c r="J12">
        <f>[2]CRP_Outcome_ELV!$V12</f>
        <v>3</v>
      </c>
      <c r="L12">
        <f>[3]CRP_Outcome_ELV!$S12</f>
        <v>1</v>
      </c>
      <c r="M12">
        <f>[3]CRP_Outcome_ELV!$T12</f>
        <v>12</v>
      </c>
      <c r="N12">
        <f>[3]CRP_Outcome_ELV!$U12</f>
        <v>13</v>
      </c>
      <c r="O12">
        <f>[3]CRP_Outcome_ELV!$V12</f>
        <v>3</v>
      </c>
      <c r="Q12">
        <f>[4]CRP_Outcome_ELV!$S12</f>
        <v>0</v>
      </c>
      <c r="R12">
        <f>[4]CRP_Outcome_ELV!$T12</f>
        <v>12</v>
      </c>
      <c r="S12">
        <f>[4]CRP_Outcome_ELV!$U12</f>
        <v>13</v>
      </c>
      <c r="T12">
        <f>[4]CRP_Outcome_ELV!$V12</f>
        <v>3</v>
      </c>
      <c r="V12">
        <f>[5]CRP_Outcome_ELV!$S12</f>
        <v>5</v>
      </c>
      <c r="W12">
        <f>[5]CRP_Outcome_ELV!$T12</f>
        <v>12</v>
      </c>
      <c r="X12">
        <f>[5]CRP_Outcome_ELV!$U12</f>
        <v>10</v>
      </c>
      <c r="Y12">
        <f>[5]CRP_Outcome_ELV!$V12</f>
        <v>6</v>
      </c>
      <c r="AA12">
        <f>[6]CRP_Outcome_ELV!$S12</f>
        <v>0</v>
      </c>
      <c r="AB12">
        <f>[6]CRP_Outcome_ELV!$T12</f>
        <v>12</v>
      </c>
      <c r="AC12">
        <f>[6]CRP_Outcome_ELV!$U12</f>
        <v>15</v>
      </c>
      <c r="AD12">
        <f>[6]CRP_Outcome_ELV!$V12</f>
        <v>3</v>
      </c>
      <c r="AF12">
        <f>[7]CRP_Outcome_ELV!$S12</f>
        <v>0</v>
      </c>
      <c r="AG12">
        <f>[7]CRP_Outcome_ELV!$T12</f>
        <v>12</v>
      </c>
      <c r="AH12">
        <f>[7]CRP_Outcome_ELV!$U12</f>
        <v>15</v>
      </c>
      <c r="AI12">
        <f>[7]CRP_Outcome_ELV!$V12</f>
        <v>3</v>
      </c>
      <c r="AK12">
        <f>[8]CRP_Outcome_ELV!$S12</f>
        <v>7</v>
      </c>
      <c r="AL12">
        <f>[8]CRP_Outcome_ELV!$T12</f>
        <v>12</v>
      </c>
      <c r="AM12">
        <f>[8]CRP_Outcome_ELV!$U12</f>
        <v>10</v>
      </c>
      <c r="AN12">
        <f>[8]CRP_Outcome_ELV!$V12</f>
        <v>7</v>
      </c>
      <c r="AP12">
        <f>[9]CRP_Outcome_ELV!$S12</f>
        <v>0</v>
      </c>
      <c r="AQ12">
        <f>[9]CRP_Outcome_ELV!$T12</f>
        <v>12</v>
      </c>
      <c r="AR12">
        <f>[9]CRP_Outcome_ELV!$U12</f>
        <v>14</v>
      </c>
      <c r="AS12">
        <f>[9]CRP_Outcome_ELV!$V12</f>
        <v>5</v>
      </c>
      <c r="AU12">
        <f>[10]CRP_Outcome_ELV!$S12</f>
        <v>0</v>
      </c>
      <c r="AV12">
        <f>[10]CRP_Outcome_ELV!$T12</f>
        <v>14</v>
      </c>
      <c r="AW12">
        <f>[10]CRP_Outcome_ELV!$U12</f>
        <v>18</v>
      </c>
      <c r="AX12">
        <f>[10]CRP_Outcome_ELV!$V12</f>
        <v>5</v>
      </c>
      <c r="BA12">
        <f>[1]CRP_Outcome_ELV!$S12</f>
        <v>0</v>
      </c>
      <c r="BB12">
        <f>[1]CRP_Outcome_ELV!$T12</f>
        <v>12</v>
      </c>
      <c r="BC12">
        <f>[1]CRP_Outcome_ELV!$U12</f>
        <v>12</v>
      </c>
      <c r="BD12">
        <f>[1]CRP_Outcome_ELV!$V12</f>
        <v>2</v>
      </c>
    </row>
    <row r="13" spans="1:56" x14ac:dyDescent="0.35">
      <c r="A13">
        <v>11</v>
      </c>
      <c r="B13">
        <f>[1]CRP_Outcome_ELV!$S13</f>
        <v>0</v>
      </c>
      <c r="C13">
        <f>[1]CRP_Outcome_ELV!$T13</f>
        <v>12</v>
      </c>
      <c r="D13">
        <f>[1]CRP_Outcome_ELV!$U13</f>
        <v>14</v>
      </c>
      <c r="E13">
        <f>[1]CRP_Outcome_ELV!$V13</f>
        <v>3</v>
      </c>
      <c r="G13">
        <f>[2]CRP_Outcome_ELV!$S13</f>
        <v>0</v>
      </c>
      <c r="H13">
        <f>[2]CRP_Outcome_ELV!$T13</f>
        <v>0</v>
      </c>
      <c r="I13">
        <f>[2]CRP_Outcome_ELV!$U13</f>
        <v>14</v>
      </c>
      <c r="J13">
        <f>[2]CRP_Outcome_ELV!$V13</f>
        <v>12</v>
      </c>
      <c r="L13">
        <f>[3]CRP_Outcome_ELV!$S13</f>
        <v>0</v>
      </c>
      <c r="M13">
        <f>[3]CRP_Outcome_ELV!$T13</f>
        <v>0</v>
      </c>
      <c r="N13">
        <f>[3]CRP_Outcome_ELV!$U13</f>
        <v>13</v>
      </c>
      <c r="O13">
        <f>[3]CRP_Outcome_ELV!$V13</f>
        <v>11</v>
      </c>
      <c r="Q13">
        <f>[4]CRP_Outcome_ELV!$S13</f>
        <v>0</v>
      </c>
      <c r="R13">
        <f>[4]CRP_Outcome_ELV!$T13</f>
        <v>2</v>
      </c>
      <c r="S13">
        <f>[4]CRP_Outcome_ELV!$U13</f>
        <v>13</v>
      </c>
      <c r="T13">
        <f>[4]CRP_Outcome_ELV!$V13</f>
        <v>14</v>
      </c>
      <c r="V13">
        <f>[5]CRP_Outcome_ELV!$S13</f>
        <v>5</v>
      </c>
      <c r="W13">
        <f>[5]CRP_Outcome_ELV!$T13</f>
        <v>12</v>
      </c>
      <c r="X13">
        <f>[5]CRP_Outcome_ELV!$U13</f>
        <v>10</v>
      </c>
      <c r="Y13">
        <f>[5]CRP_Outcome_ELV!$V13</f>
        <v>8</v>
      </c>
      <c r="AA13">
        <f>[6]CRP_Outcome_ELV!$S13</f>
        <v>3</v>
      </c>
      <c r="AB13">
        <f>[6]CRP_Outcome_ELV!$T13</f>
        <v>0</v>
      </c>
      <c r="AC13">
        <f>[6]CRP_Outcome_ELV!$U13</f>
        <v>14</v>
      </c>
      <c r="AD13">
        <f>[6]CRP_Outcome_ELV!$V13</f>
        <v>17</v>
      </c>
      <c r="AF13">
        <f>[7]CRP_Outcome_ELV!$S13</f>
        <v>3</v>
      </c>
      <c r="AG13">
        <f>[7]CRP_Outcome_ELV!$T13</f>
        <v>0</v>
      </c>
      <c r="AH13">
        <f>[7]CRP_Outcome_ELV!$U13</f>
        <v>17</v>
      </c>
      <c r="AI13">
        <f>[7]CRP_Outcome_ELV!$V13</f>
        <v>17</v>
      </c>
      <c r="AK13">
        <f>[8]CRP_Outcome_ELV!$S13</f>
        <v>5</v>
      </c>
      <c r="AL13">
        <f>[8]CRP_Outcome_ELV!$T13</f>
        <v>11</v>
      </c>
      <c r="AM13">
        <f>[8]CRP_Outcome_ELV!$U13</f>
        <v>10</v>
      </c>
      <c r="AN13">
        <f>[8]CRP_Outcome_ELV!$V13</f>
        <v>9</v>
      </c>
      <c r="AP13">
        <f>[9]CRP_Outcome_ELV!$S13</f>
        <v>0</v>
      </c>
      <c r="AQ13">
        <f>[9]CRP_Outcome_ELV!$T13</f>
        <v>0</v>
      </c>
      <c r="AR13">
        <f>[9]CRP_Outcome_ELV!$U13</f>
        <v>14</v>
      </c>
      <c r="AS13">
        <f>[9]CRP_Outcome_ELV!$V13</f>
        <v>12</v>
      </c>
      <c r="AU13">
        <f>[10]CRP_Outcome_ELV!$S13</f>
        <v>7</v>
      </c>
      <c r="AV13">
        <f>[10]CRP_Outcome_ELV!$T13</f>
        <v>0</v>
      </c>
      <c r="AW13">
        <f>[10]CRP_Outcome_ELV!$U13</f>
        <v>14</v>
      </c>
      <c r="AX13">
        <f>[10]CRP_Outcome_ELV!$V13</f>
        <v>18</v>
      </c>
      <c r="BA13">
        <f>[1]CRP_Outcome_ELV!$S13</f>
        <v>0</v>
      </c>
      <c r="BB13">
        <f>[1]CRP_Outcome_ELV!$T13</f>
        <v>12</v>
      </c>
      <c r="BC13">
        <f>[1]CRP_Outcome_ELV!$U13</f>
        <v>14</v>
      </c>
      <c r="BD13">
        <f>[1]CRP_Outcome_ELV!$V13</f>
        <v>3</v>
      </c>
    </row>
    <row r="14" spans="1:56" x14ac:dyDescent="0.35">
      <c r="A14">
        <v>12</v>
      </c>
      <c r="B14">
        <f>[1]CRP_Outcome_ELV!$S14</f>
        <v>3</v>
      </c>
      <c r="C14">
        <f>[1]CRP_Outcome_ELV!$T14</f>
        <v>0</v>
      </c>
      <c r="D14">
        <f>[1]CRP_Outcome_ELV!$U14</f>
        <v>14</v>
      </c>
      <c r="E14">
        <f>[1]CRP_Outcome_ELV!$V14</f>
        <v>18</v>
      </c>
      <c r="G14">
        <f>[2]CRP_Outcome_ELV!$S14</f>
        <v>5</v>
      </c>
      <c r="H14">
        <f>[2]CRP_Outcome_ELV!$T14</f>
        <v>0</v>
      </c>
      <c r="I14">
        <f>[2]CRP_Outcome_ELV!$U14</f>
        <v>13</v>
      </c>
      <c r="J14">
        <f>[2]CRP_Outcome_ELV!$V14</f>
        <v>17</v>
      </c>
      <c r="L14">
        <f>[3]CRP_Outcome_ELV!$S14</f>
        <v>5</v>
      </c>
      <c r="M14">
        <f>[3]CRP_Outcome_ELV!$T14</f>
        <v>0</v>
      </c>
      <c r="N14">
        <f>[3]CRP_Outcome_ELV!$U14</f>
        <v>13</v>
      </c>
      <c r="O14">
        <f>[3]CRP_Outcome_ELV!$V14</f>
        <v>15</v>
      </c>
      <c r="Q14">
        <f>[4]CRP_Outcome_ELV!$S14</f>
        <v>8</v>
      </c>
      <c r="R14">
        <f>[4]CRP_Outcome_ELV!$T14</f>
        <v>0</v>
      </c>
      <c r="S14">
        <f>[4]CRP_Outcome_ELV!$U14</f>
        <v>13</v>
      </c>
      <c r="T14">
        <f>[4]CRP_Outcome_ELV!$V14</f>
        <v>17</v>
      </c>
      <c r="V14">
        <f>[5]CRP_Outcome_ELV!$S14</f>
        <v>9</v>
      </c>
      <c r="W14">
        <f>[5]CRP_Outcome_ELV!$T14</f>
        <v>1</v>
      </c>
      <c r="X14">
        <f>[5]CRP_Outcome_ELV!$U14</f>
        <v>10</v>
      </c>
      <c r="Y14">
        <f>[5]CRP_Outcome_ELV!$V14</f>
        <v>16</v>
      </c>
      <c r="AA14">
        <f>[6]CRP_Outcome_ELV!$S14</f>
        <v>8</v>
      </c>
      <c r="AB14">
        <f>[6]CRP_Outcome_ELV!$T14</f>
        <v>0</v>
      </c>
      <c r="AC14">
        <f>[6]CRP_Outcome_ELV!$U14</f>
        <v>13</v>
      </c>
      <c r="AD14">
        <f>[6]CRP_Outcome_ELV!$V14</f>
        <v>15</v>
      </c>
      <c r="AF14">
        <f>[7]CRP_Outcome_ELV!$S14</f>
        <v>8</v>
      </c>
      <c r="AG14">
        <f>[7]CRP_Outcome_ELV!$T14</f>
        <v>0</v>
      </c>
      <c r="AH14">
        <f>[7]CRP_Outcome_ELV!$U14</f>
        <v>13</v>
      </c>
      <c r="AI14">
        <f>[7]CRP_Outcome_ELV!$V14</f>
        <v>17</v>
      </c>
      <c r="AK14">
        <f>[8]CRP_Outcome_ELV!$S14</f>
        <v>9</v>
      </c>
      <c r="AL14">
        <f>[8]CRP_Outcome_ELV!$T14</f>
        <v>8</v>
      </c>
      <c r="AM14">
        <f>[8]CRP_Outcome_ELV!$U14</f>
        <v>10</v>
      </c>
      <c r="AN14">
        <f>[8]CRP_Outcome_ELV!$V14</f>
        <v>12</v>
      </c>
      <c r="AP14">
        <f>[9]CRP_Outcome_ELV!$S14</f>
        <v>7</v>
      </c>
      <c r="AQ14">
        <f>[9]CRP_Outcome_ELV!$T14</f>
        <v>0</v>
      </c>
      <c r="AR14">
        <f>[9]CRP_Outcome_ELV!$U14</f>
        <v>13</v>
      </c>
      <c r="AS14">
        <f>[9]CRP_Outcome_ELV!$V14</f>
        <v>16</v>
      </c>
      <c r="AU14">
        <f>[10]CRP_Outcome_ELV!$S14</f>
        <v>11</v>
      </c>
      <c r="AV14">
        <f>[10]CRP_Outcome_ELV!$T14</f>
        <v>0</v>
      </c>
      <c r="AW14">
        <f>[10]CRP_Outcome_ELV!$U14</f>
        <v>12</v>
      </c>
      <c r="AX14">
        <f>[10]CRP_Outcome_ELV!$V14</f>
        <v>19</v>
      </c>
      <c r="BA14">
        <f>[1]CRP_Outcome_ELV!$S14</f>
        <v>3</v>
      </c>
      <c r="BB14">
        <f>[1]CRP_Outcome_ELV!$T14</f>
        <v>0</v>
      </c>
      <c r="BC14">
        <f>[1]CRP_Outcome_ELV!$U14</f>
        <v>14</v>
      </c>
      <c r="BD14">
        <f>[1]CRP_Outcome_ELV!$V14</f>
        <v>18</v>
      </c>
    </row>
    <row r="15" spans="1:56" x14ac:dyDescent="0.35">
      <c r="A15">
        <v>13</v>
      </c>
      <c r="B15">
        <f>[1]CRP_Outcome_ELV!$S15</f>
        <v>8</v>
      </c>
      <c r="C15">
        <f>[1]CRP_Outcome_ELV!$T15</f>
        <v>0</v>
      </c>
      <c r="D15">
        <f>[1]CRP_Outcome_ELV!$U15</f>
        <v>13</v>
      </c>
      <c r="E15">
        <f>[1]CRP_Outcome_ELV!$V15</f>
        <v>17</v>
      </c>
      <c r="G15">
        <f>[2]CRP_Outcome_ELV!$S15</f>
        <v>24</v>
      </c>
      <c r="H15">
        <f>[2]CRP_Outcome_ELV!$T15</f>
        <v>1</v>
      </c>
      <c r="I15">
        <f>[2]CRP_Outcome_ELV!$U15</f>
        <v>11</v>
      </c>
      <c r="J15">
        <f>[2]CRP_Outcome_ELV!$V15</f>
        <v>15</v>
      </c>
      <c r="L15">
        <f>[3]CRP_Outcome_ELV!$S15</f>
        <v>23</v>
      </c>
      <c r="M15">
        <f>[3]CRP_Outcome_ELV!$T15</f>
        <v>2</v>
      </c>
      <c r="N15">
        <f>[3]CRP_Outcome_ELV!$U15</f>
        <v>12</v>
      </c>
      <c r="O15">
        <f>[3]CRP_Outcome_ELV!$V15</f>
        <v>16</v>
      </c>
      <c r="Q15">
        <f>[4]CRP_Outcome_ELV!$S15</f>
        <v>23</v>
      </c>
      <c r="R15">
        <f>[4]CRP_Outcome_ELV!$T15</f>
        <v>0</v>
      </c>
      <c r="S15">
        <f>[4]CRP_Outcome_ELV!$U15</f>
        <v>12</v>
      </c>
      <c r="T15">
        <f>[4]CRP_Outcome_ELV!$V15</f>
        <v>4</v>
      </c>
      <c r="V15">
        <f>[5]CRP_Outcome_ELV!$S15</f>
        <v>11</v>
      </c>
      <c r="W15">
        <f>[5]CRP_Outcome_ELV!$T15</f>
        <v>4</v>
      </c>
      <c r="X15">
        <f>[5]CRP_Outcome_ELV!$U15</f>
        <v>10</v>
      </c>
      <c r="Y15">
        <f>[5]CRP_Outcome_ELV!$V15</f>
        <v>13</v>
      </c>
      <c r="AA15">
        <f>[6]CRP_Outcome_ELV!$S15</f>
        <v>24</v>
      </c>
      <c r="AB15">
        <f>[6]CRP_Outcome_ELV!$T15</f>
        <v>6</v>
      </c>
      <c r="AC15">
        <f>[6]CRP_Outcome_ELV!$U15</f>
        <v>11</v>
      </c>
      <c r="AD15">
        <f>[6]CRP_Outcome_ELV!$V15</f>
        <v>11</v>
      </c>
      <c r="AF15">
        <f>[7]CRP_Outcome_ELV!$S15</f>
        <v>24</v>
      </c>
      <c r="AG15">
        <f>[7]CRP_Outcome_ELV!$T15</f>
        <v>5</v>
      </c>
      <c r="AH15">
        <f>[7]CRP_Outcome_ELV!$U15</f>
        <v>11</v>
      </c>
      <c r="AI15">
        <f>[7]CRP_Outcome_ELV!$V15</f>
        <v>13</v>
      </c>
      <c r="AK15">
        <f>[8]CRP_Outcome_ELV!$S15</f>
        <v>11</v>
      </c>
      <c r="AL15">
        <f>[8]CRP_Outcome_ELV!$T15</f>
        <v>6</v>
      </c>
      <c r="AM15">
        <f>[8]CRP_Outcome_ELV!$U15</f>
        <v>10</v>
      </c>
      <c r="AN15">
        <f>[8]CRP_Outcome_ELV!$V15</f>
        <v>13</v>
      </c>
      <c r="AP15">
        <f>[9]CRP_Outcome_ELV!$S15</f>
        <v>11</v>
      </c>
      <c r="AQ15">
        <f>[9]CRP_Outcome_ELV!$T15</f>
        <v>12</v>
      </c>
      <c r="AR15">
        <f>[9]CRP_Outcome_ELV!$U15</f>
        <v>12</v>
      </c>
      <c r="AS15">
        <f>[9]CRP_Outcome_ELV!$V15</f>
        <v>15</v>
      </c>
      <c r="AU15">
        <f>[10]CRP_Outcome_ELV!$S15</f>
        <v>26</v>
      </c>
      <c r="AV15">
        <f>[10]CRP_Outcome_ELV!$T15</f>
        <v>0</v>
      </c>
      <c r="AW15">
        <f>[10]CRP_Outcome_ELV!$U15</f>
        <v>10</v>
      </c>
      <c r="AX15">
        <f>[10]CRP_Outcome_ELV!$V15</f>
        <v>7</v>
      </c>
      <c r="BA15">
        <f>[1]CRP_Outcome_ELV!$S15</f>
        <v>8</v>
      </c>
      <c r="BB15">
        <f>[1]CRP_Outcome_ELV!$T15</f>
        <v>0</v>
      </c>
      <c r="BC15">
        <f>[1]CRP_Outcome_ELV!$U15</f>
        <v>13</v>
      </c>
      <c r="BD15">
        <f>[1]CRP_Outcome_ELV!$V15</f>
        <v>17</v>
      </c>
    </row>
    <row r="16" spans="1:56" x14ac:dyDescent="0.35">
      <c r="A16">
        <v>14</v>
      </c>
      <c r="B16">
        <f>[1]CRP_Outcome_ELV!$S16</f>
        <v>24</v>
      </c>
      <c r="C16">
        <f>[1]CRP_Outcome_ELV!$T16</f>
        <v>4</v>
      </c>
      <c r="D16">
        <f>[1]CRP_Outcome_ELV!$U16</f>
        <v>11</v>
      </c>
      <c r="E16">
        <f>[1]CRP_Outcome_ELV!$V16</f>
        <v>12</v>
      </c>
      <c r="G16">
        <f>[2]CRP_Outcome_ELV!$S16</f>
        <v>24</v>
      </c>
      <c r="H16">
        <f>[2]CRP_Outcome_ELV!$T16</f>
        <v>23</v>
      </c>
      <c r="I16">
        <f>[2]CRP_Outcome_ELV!$U16</f>
        <v>11</v>
      </c>
      <c r="J16">
        <f>[2]CRP_Outcome_ELV!$V16</f>
        <v>10</v>
      </c>
      <c r="L16">
        <f>[3]CRP_Outcome_ELV!$S16</f>
        <v>22</v>
      </c>
      <c r="M16">
        <f>[3]CRP_Outcome_ELV!$T16</f>
        <v>27</v>
      </c>
      <c r="N16">
        <f>[3]CRP_Outcome_ELV!$U16</f>
        <v>12</v>
      </c>
      <c r="O16">
        <f>[3]CRP_Outcome_ELV!$V16</f>
        <v>10</v>
      </c>
      <c r="Q16">
        <f>[4]CRP_Outcome_ELV!$S16</f>
        <v>10</v>
      </c>
      <c r="R16">
        <f>[4]CRP_Outcome_ELV!$T16</f>
        <v>19</v>
      </c>
      <c r="S16">
        <f>[4]CRP_Outcome_ELV!$U16</f>
        <v>12</v>
      </c>
      <c r="T16">
        <f>[4]CRP_Outcome_ELV!$V16</f>
        <v>7</v>
      </c>
      <c r="V16">
        <f>[5]CRP_Outcome_ELV!$S16</f>
        <v>23</v>
      </c>
      <c r="W16">
        <f>[5]CRP_Outcome_ELV!$T16</f>
        <v>12</v>
      </c>
      <c r="X16">
        <f>[5]CRP_Outcome_ELV!$U16</f>
        <v>9</v>
      </c>
      <c r="Y16">
        <f>[5]CRP_Outcome_ELV!$V16</f>
        <v>9</v>
      </c>
      <c r="AA16">
        <f>[6]CRP_Outcome_ELV!$S16</f>
        <v>14</v>
      </c>
      <c r="AB16">
        <f>[6]CRP_Outcome_ELV!$T16</f>
        <v>30</v>
      </c>
      <c r="AC16">
        <f>[6]CRP_Outcome_ELV!$U16</f>
        <v>13</v>
      </c>
      <c r="AD16">
        <f>[6]CRP_Outcome_ELV!$V16</f>
        <v>6</v>
      </c>
      <c r="AF16">
        <f>[7]CRP_Outcome_ELV!$S16</f>
        <v>16</v>
      </c>
      <c r="AG16">
        <f>[7]CRP_Outcome_ELV!$T16</f>
        <v>24</v>
      </c>
      <c r="AH16">
        <f>[7]CRP_Outcome_ELV!$U16</f>
        <v>13</v>
      </c>
      <c r="AI16">
        <f>[7]CRP_Outcome_ELV!$V16</f>
        <v>5</v>
      </c>
      <c r="AK16">
        <f>[8]CRP_Outcome_ELV!$S16</f>
        <v>16</v>
      </c>
      <c r="AL16">
        <f>[8]CRP_Outcome_ELV!$T16</f>
        <v>12</v>
      </c>
      <c r="AM16">
        <f>[8]CRP_Outcome_ELV!$U16</f>
        <v>9</v>
      </c>
      <c r="AN16">
        <f>[8]CRP_Outcome_ELV!$V16</f>
        <v>9</v>
      </c>
      <c r="AP16">
        <f>[9]CRP_Outcome_ELV!$S16</f>
        <v>9</v>
      </c>
      <c r="AQ16">
        <f>[9]CRP_Outcome_ELV!$T16</f>
        <v>36</v>
      </c>
      <c r="AR16">
        <f>[9]CRP_Outcome_ELV!$U16</f>
        <v>12</v>
      </c>
      <c r="AS16">
        <f>[9]CRP_Outcome_ELV!$V16</f>
        <v>7</v>
      </c>
      <c r="AU16">
        <f>[10]CRP_Outcome_ELV!$S16</f>
        <v>12</v>
      </c>
      <c r="AV16">
        <f>[10]CRP_Outcome_ELV!$T16</f>
        <v>0</v>
      </c>
      <c r="AW16">
        <f>[10]CRP_Outcome_ELV!$U16</f>
        <v>11</v>
      </c>
      <c r="AX16">
        <f>[10]CRP_Outcome_ELV!$V16</f>
        <v>3</v>
      </c>
      <c r="BA16">
        <f>[1]CRP_Outcome_ELV!$S16</f>
        <v>24</v>
      </c>
      <c r="BB16">
        <f>[1]CRP_Outcome_ELV!$T16</f>
        <v>4</v>
      </c>
      <c r="BC16">
        <f>[1]CRP_Outcome_ELV!$U16</f>
        <v>11</v>
      </c>
      <c r="BD16">
        <f>[1]CRP_Outcome_ELV!$V16</f>
        <v>12</v>
      </c>
    </row>
    <row r="17" spans="1:56" x14ac:dyDescent="0.35">
      <c r="A17">
        <v>15</v>
      </c>
      <c r="B17">
        <f>[1]CRP_Outcome_ELV!$S17</f>
        <v>19</v>
      </c>
      <c r="C17">
        <f>[1]CRP_Outcome_ELV!$T17</f>
        <v>20</v>
      </c>
      <c r="D17">
        <f>[1]CRP_Outcome_ELV!$U17</f>
        <v>11</v>
      </c>
      <c r="E17">
        <f>[1]CRP_Outcome_ELV!$V17</f>
        <v>7</v>
      </c>
      <c r="G17">
        <f>[2]CRP_Outcome_ELV!$S17</f>
        <v>14</v>
      </c>
      <c r="H17">
        <f>[2]CRP_Outcome_ELV!$T17</f>
        <v>44</v>
      </c>
      <c r="I17">
        <f>[2]CRP_Outcome_ELV!$U17</f>
        <v>13</v>
      </c>
      <c r="J17">
        <f>[2]CRP_Outcome_ELV!$V17</f>
        <v>2</v>
      </c>
      <c r="L17">
        <f>[3]CRP_Outcome_ELV!$S17</f>
        <v>15</v>
      </c>
      <c r="M17">
        <f>[3]CRP_Outcome_ELV!$T17</f>
        <v>34</v>
      </c>
      <c r="N17">
        <f>[3]CRP_Outcome_ELV!$U17</f>
        <v>12</v>
      </c>
      <c r="O17">
        <f>[3]CRP_Outcome_ELV!$V17</f>
        <v>4</v>
      </c>
      <c r="Q17">
        <f>[4]CRP_Outcome_ELV!$S17</f>
        <v>9</v>
      </c>
      <c r="R17">
        <f>[4]CRP_Outcome_ELV!$T17</f>
        <v>23</v>
      </c>
      <c r="S17">
        <f>[4]CRP_Outcome_ELV!$U17</f>
        <v>12</v>
      </c>
      <c r="T17">
        <f>[4]CRP_Outcome_ELV!$V17</f>
        <v>3</v>
      </c>
      <c r="V17">
        <f>[5]CRP_Outcome_ELV!$S17</f>
        <v>12</v>
      </c>
      <c r="W17">
        <f>[5]CRP_Outcome_ELV!$T17</f>
        <v>16</v>
      </c>
      <c r="X17">
        <f>[5]CRP_Outcome_ELV!$U17</f>
        <v>10</v>
      </c>
      <c r="Y17">
        <f>[5]CRP_Outcome_ELV!$V17</f>
        <v>7</v>
      </c>
      <c r="AA17">
        <f>[6]CRP_Outcome_ELV!$S17</f>
        <v>2</v>
      </c>
      <c r="AB17">
        <f>[6]CRP_Outcome_ELV!$T17</f>
        <v>36</v>
      </c>
      <c r="AC17">
        <f>[6]CRP_Outcome_ELV!$U17</f>
        <v>14</v>
      </c>
      <c r="AD17">
        <f>[6]CRP_Outcome_ELV!$V17</f>
        <v>2</v>
      </c>
      <c r="AF17">
        <f>[7]CRP_Outcome_ELV!$S17</f>
        <v>7</v>
      </c>
      <c r="AG17">
        <f>[7]CRP_Outcome_ELV!$T17</f>
        <v>28</v>
      </c>
      <c r="AH17">
        <f>[7]CRP_Outcome_ELV!$U17</f>
        <v>12</v>
      </c>
      <c r="AI17">
        <f>[7]CRP_Outcome_ELV!$V17</f>
        <v>2</v>
      </c>
      <c r="AK17">
        <f>[8]CRP_Outcome_ELV!$S17</f>
        <v>14</v>
      </c>
      <c r="AL17">
        <f>[8]CRP_Outcome_ELV!$T17</f>
        <v>12</v>
      </c>
      <c r="AM17">
        <f>[8]CRP_Outcome_ELV!$U17</f>
        <v>10</v>
      </c>
      <c r="AN17">
        <f>[8]CRP_Outcome_ELV!$V17</f>
        <v>8</v>
      </c>
      <c r="AP17">
        <f>[9]CRP_Outcome_ELV!$S17</f>
        <v>2</v>
      </c>
      <c r="AQ17">
        <f>[9]CRP_Outcome_ELV!$T17</f>
        <v>2</v>
      </c>
      <c r="AR17">
        <f>[9]CRP_Outcome_ELV!$U17</f>
        <v>13</v>
      </c>
      <c r="AS17">
        <f>[9]CRP_Outcome_ELV!$V17</f>
        <v>3</v>
      </c>
      <c r="AU17">
        <f>[10]CRP_Outcome_ELV!$S17</f>
        <v>0</v>
      </c>
      <c r="AV17">
        <f>[10]CRP_Outcome_ELV!$T17</f>
        <v>39</v>
      </c>
      <c r="AW17">
        <f>[10]CRP_Outcome_ELV!$U17</f>
        <v>14</v>
      </c>
      <c r="AX17">
        <f>[10]CRP_Outcome_ELV!$V17</f>
        <v>2</v>
      </c>
      <c r="BA17">
        <f>[1]CRP_Outcome_ELV!$S17</f>
        <v>19</v>
      </c>
      <c r="BB17">
        <f>[1]CRP_Outcome_ELV!$T17</f>
        <v>20</v>
      </c>
      <c r="BC17">
        <f>[1]CRP_Outcome_ELV!$U17</f>
        <v>11</v>
      </c>
      <c r="BD17">
        <f>[1]CRP_Outcome_ELV!$V17</f>
        <v>7</v>
      </c>
    </row>
    <row r="18" spans="1:56" x14ac:dyDescent="0.35">
      <c r="A18">
        <v>16</v>
      </c>
      <c r="B18">
        <f>[1]CRP_Outcome_ELV!$S18</f>
        <v>6</v>
      </c>
      <c r="C18">
        <f>[1]CRP_Outcome_ELV!$T18</f>
        <v>26</v>
      </c>
      <c r="D18">
        <f>[1]CRP_Outcome_ELV!$U18</f>
        <v>13</v>
      </c>
      <c r="E18">
        <f>[1]CRP_Outcome_ELV!$V18</f>
        <v>2</v>
      </c>
      <c r="G18">
        <f>[2]CRP_Outcome_ELV!$S18</f>
        <v>0</v>
      </c>
      <c r="H18">
        <f>[2]CRP_Outcome_ELV!$T18</f>
        <v>22</v>
      </c>
      <c r="I18">
        <f>[2]CRP_Outcome_ELV!$U18</f>
        <v>13</v>
      </c>
      <c r="J18">
        <f>[2]CRP_Outcome_ELV!$V18</f>
        <v>3</v>
      </c>
      <c r="L18">
        <f>[3]CRP_Outcome_ELV!$S18</f>
        <v>0</v>
      </c>
      <c r="M18">
        <f>[3]CRP_Outcome_ELV!$T18</f>
        <v>20</v>
      </c>
      <c r="N18">
        <f>[3]CRP_Outcome_ELV!$U18</f>
        <v>13</v>
      </c>
      <c r="O18">
        <f>[3]CRP_Outcome_ELV!$V18</f>
        <v>5</v>
      </c>
      <c r="Q18">
        <f>[4]CRP_Outcome_ELV!$S18</f>
        <v>7</v>
      </c>
      <c r="R18">
        <f>[4]CRP_Outcome_ELV!$T18</f>
        <v>12</v>
      </c>
      <c r="S18">
        <f>[4]CRP_Outcome_ELV!$U18</f>
        <v>13</v>
      </c>
      <c r="T18">
        <f>[4]CRP_Outcome_ELV!$V18</f>
        <v>17</v>
      </c>
      <c r="V18">
        <f>[5]CRP_Outcome_ELV!$S18</f>
        <v>4</v>
      </c>
      <c r="W18">
        <f>[5]CRP_Outcome_ELV!$T18</f>
        <v>14</v>
      </c>
      <c r="X18">
        <f>[5]CRP_Outcome_ELV!$U18</f>
        <v>10</v>
      </c>
      <c r="Y18">
        <f>[5]CRP_Outcome_ELV!$V18</f>
        <v>6</v>
      </c>
      <c r="AA18">
        <f>[6]CRP_Outcome_ELV!$S18</f>
        <v>0</v>
      </c>
      <c r="AB18">
        <f>[6]CRP_Outcome_ELV!$T18</f>
        <v>9</v>
      </c>
      <c r="AC18">
        <f>[6]CRP_Outcome_ELV!$U18</f>
        <v>14</v>
      </c>
      <c r="AD18">
        <f>[6]CRP_Outcome_ELV!$V18</f>
        <v>13</v>
      </c>
      <c r="AF18">
        <f>[7]CRP_Outcome_ELV!$S18</f>
        <v>0</v>
      </c>
      <c r="AG18">
        <f>[7]CRP_Outcome_ELV!$T18</f>
        <v>6</v>
      </c>
      <c r="AH18">
        <f>[7]CRP_Outcome_ELV!$U18</f>
        <v>15</v>
      </c>
      <c r="AI18">
        <f>[7]CRP_Outcome_ELV!$V18</f>
        <v>11</v>
      </c>
      <c r="AK18">
        <f>[8]CRP_Outcome_ELV!$S18</f>
        <v>4</v>
      </c>
      <c r="AL18">
        <f>[8]CRP_Outcome_ELV!$T18</f>
        <v>13</v>
      </c>
      <c r="AM18">
        <f>[8]CRP_Outcome_ELV!$U18</f>
        <v>10</v>
      </c>
      <c r="AN18">
        <f>[8]CRP_Outcome_ELV!$V18</f>
        <v>6</v>
      </c>
      <c r="AP18">
        <f>[9]CRP_Outcome_ELV!$S18</f>
        <v>0</v>
      </c>
      <c r="AQ18">
        <f>[9]CRP_Outcome_ELV!$T18</f>
        <v>12</v>
      </c>
      <c r="AR18">
        <f>[9]CRP_Outcome_ELV!$U18</f>
        <v>14</v>
      </c>
      <c r="AS18">
        <f>[9]CRP_Outcome_ELV!$V18</f>
        <v>6</v>
      </c>
      <c r="AU18">
        <f>[10]CRP_Outcome_ELV!$S18</f>
        <v>47</v>
      </c>
      <c r="AV18">
        <f>[10]CRP_Outcome_ELV!$T18</f>
        <v>52</v>
      </c>
      <c r="AW18">
        <f>[10]CRP_Outcome_ELV!$U18</f>
        <v>14</v>
      </c>
      <c r="AX18">
        <f>[10]CRP_Outcome_ELV!$V18</f>
        <v>4</v>
      </c>
      <c r="BA18">
        <f>[1]CRP_Outcome_ELV!$S18</f>
        <v>6</v>
      </c>
      <c r="BB18">
        <f>[1]CRP_Outcome_ELV!$T18</f>
        <v>26</v>
      </c>
      <c r="BC18">
        <f>[1]CRP_Outcome_ELV!$U18</f>
        <v>13</v>
      </c>
      <c r="BD18">
        <f>[1]CRP_Outcome_ELV!$V18</f>
        <v>2</v>
      </c>
    </row>
    <row r="19" spans="1:56" x14ac:dyDescent="0.35">
      <c r="A19">
        <v>17</v>
      </c>
      <c r="B19">
        <f>[1]CRP_Outcome_ELV!$S19</f>
        <v>0</v>
      </c>
      <c r="C19">
        <f>[1]CRP_Outcome_ELV!$T19</f>
        <v>12</v>
      </c>
      <c r="D19">
        <f>[1]CRP_Outcome_ELV!$U19</f>
        <v>13</v>
      </c>
      <c r="E19">
        <f>[1]CRP_Outcome_ELV!$V19</f>
        <v>8</v>
      </c>
      <c r="G19">
        <f>[2]CRP_Outcome_ELV!$S19</f>
        <v>0</v>
      </c>
      <c r="H19">
        <f>[2]CRP_Outcome_ELV!$T19</f>
        <v>2</v>
      </c>
      <c r="I19">
        <f>[2]CRP_Outcome_ELV!$U19</f>
        <v>14</v>
      </c>
      <c r="J19">
        <f>[2]CRP_Outcome_ELV!$V19</f>
        <v>13</v>
      </c>
      <c r="L19">
        <f>[3]CRP_Outcome_ELV!$S19</f>
        <v>0</v>
      </c>
      <c r="M19">
        <f>[3]CRP_Outcome_ELV!$T19</f>
        <v>1</v>
      </c>
      <c r="N19">
        <f>[3]CRP_Outcome_ELV!$U19</f>
        <v>13</v>
      </c>
      <c r="O19">
        <f>[3]CRP_Outcome_ELV!$V19</f>
        <v>11</v>
      </c>
      <c r="Q19">
        <f>[4]CRP_Outcome_ELV!$S19</f>
        <v>6</v>
      </c>
      <c r="R19">
        <f>[4]CRP_Outcome_ELV!$T19</f>
        <v>0</v>
      </c>
      <c r="S19">
        <f>[4]CRP_Outcome_ELV!$U19</f>
        <v>13</v>
      </c>
      <c r="T19">
        <f>[4]CRP_Outcome_ELV!$V19</f>
        <v>19</v>
      </c>
      <c r="V19">
        <f>[5]CRP_Outcome_ELV!$S19</f>
        <v>7</v>
      </c>
      <c r="W19">
        <f>[5]CRP_Outcome_ELV!$T19</f>
        <v>5</v>
      </c>
      <c r="X19">
        <f>[5]CRP_Outcome_ELV!$U19</f>
        <v>10</v>
      </c>
      <c r="Y19">
        <f>[5]CRP_Outcome_ELV!$V19</f>
        <v>15</v>
      </c>
      <c r="AA19">
        <f>[6]CRP_Outcome_ELV!$S19</f>
        <v>5</v>
      </c>
      <c r="AB19">
        <f>[6]CRP_Outcome_ELV!$T19</f>
        <v>0</v>
      </c>
      <c r="AC19">
        <f>[6]CRP_Outcome_ELV!$U19</f>
        <v>14</v>
      </c>
      <c r="AD19">
        <f>[6]CRP_Outcome_ELV!$V19</f>
        <v>19</v>
      </c>
      <c r="AF19">
        <f>[7]CRP_Outcome_ELV!$S19</f>
        <v>4</v>
      </c>
      <c r="AG19">
        <f>[7]CRP_Outcome_ELV!$T19</f>
        <v>0</v>
      </c>
      <c r="AH19">
        <f>[7]CRP_Outcome_ELV!$U19</f>
        <v>14</v>
      </c>
      <c r="AI19">
        <f>[7]CRP_Outcome_ELV!$V19</f>
        <v>15</v>
      </c>
      <c r="AK19">
        <f>[8]CRP_Outcome_ELV!$S19</f>
        <v>7</v>
      </c>
      <c r="AL19">
        <f>[8]CRP_Outcome_ELV!$T19</f>
        <v>12</v>
      </c>
      <c r="AM19">
        <f>[8]CRP_Outcome_ELV!$U19</f>
        <v>10</v>
      </c>
      <c r="AN19">
        <f>[8]CRP_Outcome_ELV!$V19</f>
        <v>11</v>
      </c>
      <c r="AP19">
        <f>[9]CRP_Outcome_ELV!$S19</f>
        <v>15</v>
      </c>
      <c r="AQ19">
        <f>[9]CRP_Outcome_ELV!$T19</f>
        <v>0</v>
      </c>
      <c r="AR19">
        <f>[9]CRP_Outcome_ELV!$U19</f>
        <v>14</v>
      </c>
      <c r="AS19">
        <f>[9]CRP_Outcome_ELV!$V19</f>
        <v>13</v>
      </c>
      <c r="AU19">
        <f>[10]CRP_Outcome_ELV!$S19</f>
        <v>13</v>
      </c>
      <c r="AV19">
        <f>[10]CRP_Outcome_ELV!$T19</f>
        <v>45</v>
      </c>
      <c r="AW19">
        <f>[10]CRP_Outcome_ELV!$U19</f>
        <v>14</v>
      </c>
      <c r="AX19">
        <f>[10]CRP_Outcome_ELV!$V19</f>
        <v>17</v>
      </c>
      <c r="BA19">
        <f>[1]CRP_Outcome_ELV!$S19</f>
        <v>0</v>
      </c>
      <c r="BB19">
        <f>[1]CRP_Outcome_ELV!$T19</f>
        <v>12</v>
      </c>
      <c r="BC19">
        <f>[1]CRP_Outcome_ELV!$U19</f>
        <v>13</v>
      </c>
      <c r="BD19">
        <f>[1]CRP_Outcome_ELV!$V19</f>
        <v>8</v>
      </c>
    </row>
    <row r="20" spans="1:56" x14ac:dyDescent="0.35">
      <c r="A20">
        <v>18</v>
      </c>
      <c r="B20">
        <f>[1]CRP_Outcome_ELV!$S20</f>
        <v>1</v>
      </c>
      <c r="C20">
        <f>[1]CRP_Outcome_ELV!$T20</f>
        <v>0</v>
      </c>
      <c r="D20">
        <f>[1]CRP_Outcome_ELV!$U20</f>
        <v>14</v>
      </c>
      <c r="E20">
        <f>[1]CRP_Outcome_ELV!$V20</f>
        <v>18</v>
      </c>
      <c r="G20">
        <f>[2]CRP_Outcome_ELV!$S20</f>
        <v>6</v>
      </c>
      <c r="H20">
        <f>[2]CRP_Outcome_ELV!$T20</f>
        <v>0</v>
      </c>
      <c r="I20">
        <f>[2]CRP_Outcome_ELV!$U20</f>
        <v>13</v>
      </c>
      <c r="J20">
        <f>[2]CRP_Outcome_ELV!$V20</f>
        <v>16</v>
      </c>
      <c r="L20">
        <f>[3]CRP_Outcome_ELV!$S20</f>
        <v>6</v>
      </c>
      <c r="M20">
        <f>[3]CRP_Outcome_ELV!$T20</f>
        <v>0</v>
      </c>
      <c r="N20">
        <f>[3]CRP_Outcome_ELV!$U20</f>
        <v>13</v>
      </c>
      <c r="O20">
        <f>[3]CRP_Outcome_ELV!$V20</f>
        <v>16</v>
      </c>
      <c r="Q20">
        <f>[4]CRP_Outcome_ELV!$S20</f>
        <v>23</v>
      </c>
      <c r="R20">
        <f>[4]CRP_Outcome_ELV!$T20</f>
        <v>5</v>
      </c>
      <c r="S20">
        <f>[4]CRP_Outcome_ELV!$U20</f>
        <v>13</v>
      </c>
      <c r="T20">
        <f>[4]CRP_Outcome_ELV!$V20</f>
        <v>9</v>
      </c>
      <c r="V20">
        <f>[5]CRP_Outcome_ELV!$S20</f>
        <v>10</v>
      </c>
      <c r="W20">
        <f>[5]CRP_Outcome_ELV!$T20</f>
        <v>1</v>
      </c>
      <c r="X20">
        <f>[5]CRP_Outcome_ELV!$U20</f>
        <v>10</v>
      </c>
      <c r="Y20">
        <f>[5]CRP_Outcome_ELV!$V20</f>
        <v>14</v>
      </c>
      <c r="AA20">
        <f>[6]CRP_Outcome_ELV!$S20</f>
        <v>17</v>
      </c>
      <c r="AB20">
        <f>[6]CRP_Outcome_ELV!$T20</f>
        <v>0</v>
      </c>
      <c r="AC20">
        <f>[6]CRP_Outcome_ELV!$U20</f>
        <v>13</v>
      </c>
      <c r="AD20">
        <f>[6]CRP_Outcome_ELV!$V20</f>
        <v>15</v>
      </c>
      <c r="AF20">
        <f>[7]CRP_Outcome_ELV!$S20</f>
        <v>18</v>
      </c>
      <c r="AG20">
        <f>[7]CRP_Outcome_ELV!$T20</f>
        <v>0</v>
      </c>
      <c r="AH20">
        <f>[7]CRP_Outcome_ELV!$U20</f>
        <v>13</v>
      </c>
      <c r="AI20">
        <f>[7]CRP_Outcome_ELV!$V20</f>
        <v>16</v>
      </c>
      <c r="AK20">
        <f>[8]CRP_Outcome_ELV!$S20</f>
        <v>8</v>
      </c>
      <c r="AL20">
        <f>[8]CRP_Outcome_ELV!$T20</f>
        <v>3</v>
      </c>
      <c r="AM20">
        <f>[8]CRP_Outcome_ELV!$U20</f>
        <v>10</v>
      </c>
      <c r="AN20">
        <f>[8]CRP_Outcome_ELV!$V20</f>
        <v>14</v>
      </c>
      <c r="AP20">
        <f>[9]CRP_Outcome_ELV!$S20</f>
        <v>7</v>
      </c>
      <c r="AQ20">
        <f>[9]CRP_Outcome_ELV!$T20</f>
        <v>0</v>
      </c>
      <c r="AR20">
        <f>[9]CRP_Outcome_ELV!$U20</f>
        <v>13</v>
      </c>
      <c r="AS20">
        <f>[9]CRP_Outcome_ELV!$V20</f>
        <v>15</v>
      </c>
      <c r="AU20">
        <f>[10]CRP_Outcome_ELV!$S20</f>
        <v>10</v>
      </c>
      <c r="AV20">
        <f>[10]CRP_Outcome_ELV!$T20</f>
        <v>40</v>
      </c>
      <c r="AW20">
        <f>[10]CRP_Outcome_ELV!$U20</f>
        <v>12</v>
      </c>
      <c r="AX20">
        <f>[10]CRP_Outcome_ELV!$V20</f>
        <v>17</v>
      </c>
      <c r="BA20">
        <f>[1]CRP_Outcome_ELV!$S20</f>
        <v>1</v>
      </c>
      <c r="BB20">
        <f>[1]CRP_Outcome_ELV!$T20</f>
        <v>0</v>
      </c>
      <c r="BC20">
        <f>[1]CRP_Outcome_ELV!$U20</f>
        <v>14</v>
      </c>
      <c r="BD20">
        <f>[1]CRP_Outcome_ELV!$V20</f>
        <v>18</v>
      </c>
    </row>
    <row r="21" spans="1:56" x14ac:dyDescent="0.35">
      <c r="A21">
        <v>19</v>
      </c>
      <c r="B21">
        <f>[1]CRP_Outcome_ELV!$S21</f>
        <v>10</v>
      </c>
      <c r="C21">
        <f>[1]CRP_Outcome_ELV!$T21</f>
        <v>0</v>
      </c>
      <c r="D21">
        <f>[1]CRP_Outcome_ELV!$U21</f>
        <v>13</v>
      </c>
      <c r="E21">
        <f>[1]CRP_Outcome_ELV!$V21</f>
        <v>16</v>
      </c>
      <c r="G21">
        <f>[2]CRP_Outcome_ELV!$S21</f>
        <v>22</v>
      </c>
      <c r="H21">
        <f>[2]CRP_Outcome_ELV!$T21</f>
        <v>0</v>
      </c>
      <c r="I21">
        <f>[2]CRP_Outcome_ELV!$U21</f>
        <v>12</v>
      </c>
      <c r="J21">
        <f>[2]CRP_Outcome_ELV!$V21</f>
        <v>16</v>
      </c>
      <c r="L21">
        <f>[3]CRP_Outcome_ELV!$S21</f>
        <v>21</v>
      </c>
      <c r="M21">
        <f>[3]CRP_Outcome_ELV!$T21</f>
        <v>12</v>
      </c>
      <c r="N21">
        <f>[3]CRP_Outcome_ELV!$U21</f>
        <v>12</v>
      </c>
      <c r="O21">
        <f>[3]CRP_Outcome_ELV!$V21</f>
        <v>15</v>
      </c>
      <c r="Q21">
        <f>[4]CRP_Outcome_ELV!$S21</f>
        <v>16</v>
      </c>
      <c r="R21">
        <f>[4]CRP_Outcome_ELV!$T21</f>
        <v>17</v>
      </c>
      <c r="S21">
        <f>[4]CRP_Outcome_ELV!$U21</f>
        <v>12</v>
      </c>
      <c r="T21">
        <f>[4]CRP_Outcome_ELV!$V21</f>
        <v>9</v>
      </c>
      <c r="V21">
        <f>[5]CRP_Outcome_ELV!$S21</f>
        <v>19</v>
      </c>
      <c r="W21">
        <f>[5]CRP_Outcome_ELV!$T21</f>
        <v>8</v>
      </c>
      <c r="X21">
        <f>[5]CRP_Outcome_ELV!$U21</f>
        <v>9</v>
      </c>
      <c r="Y21">
        <f>[5]CRP_Outcome_ELV!$V21</f>
        <v>11</v>
      </c>
      <c r="AA21">
        <f>[6]CRP_Outcome_ELV!$S21</f>
        <v>19</v>
      </c>
      <c r="AB21">
        <f>[6]CRP_Outcome_ELV!$T21</f>
        <v>15</v>
      </c>
      <c r="AC21">
        <f>[6]CRP_Outcome_ELV!$U21</f>
        <v>13</v>
      </c>
      <c r="AD21">
        <f>[6]CRP_Outcome_ELV!$V21</f>
        <v>10</v>
      </c>
      <c r="AF21">
        <f>[7]CRP_Outcome_ELV!$S21</f>
        <v>16</v>
      </c>
      <c r="AG21">
        <f>[7]CRP_Outcome_ELV!$T21</f>
        <v>10</v>
      </c>
      <c r="AH21">
        <f>[7]CRP_Outcome_ELV!$U21</f>
        <v>13</v>
      </c>
      <c r="AI21">
        <f>[7]CRP_Outcome_ELV!$V21</f>
        <v>10</v>
      </c>
      <c r="AK21">
        <f>[8]CRP_Outcome_ELV!$S21</f>
        <v>12</v>
      </c>
      <c r="AL21">
        <f>[8]CRP_Outcome_ELV!$T21</f>
        <v>8</v>
      </c>
      <c r="AM21">
        <f>[8]CRP_Outcome_ELV!$U21</f>
        <v>9</v>
      </c>
      <c r="AN21">
        <f>[8]CRP_Outcome_ELV!$V21</f>
        <v>11</v>
      </c>
      <c r="AP21">
        <f>[9]CRP_Outcome_ELV!$S21</f>
        <v>9</v>
      </c>
      <c r="AQ21">
        <f>[9]CRP_Outcome_ELV!$T21</f>
        <v>12</v>
      </c>
      <c r="AR21">
        <f>[9]CRP_Outcome_ELV!$U21</f>
        <v>13</v>
      </c>
      <c r="AS21">
        <f>[9]CRP_Outcome_ELV!$V21</f>
        <v>15</v>
      </c>
      <c r="AU21">
        <f>[10]CRP_Outcome_ELV!$S21</f>
        <v>19</v>
      </c>
      <c r="AV21">
        <f>[10]CRP_Outcome_ELV!$T21</f>
        <v>25</v>
      </c>
      <c r="AW21">
        <f>[10]CRP_Outcome_ELV!$U21</f>
        <v>11</v>
      </c>
      <c r="AX21">
        <f>[10]CRP_Outcome_ELV!$V21</f>
        <v>11</v>
      </c>
      <c r="BA21">
        <f>[1]CRP_Outcome_ELV!$S21</f>
        <v>10</v>
      </c>
      <c r="BB21">
        <f>[1]CRP_Outcome_ELV!$T21</f>
        <v>0</v>
      </c>
      <c r="BC21">
        <f>[1]CRP_Outcome_ELV!$U21</f>
        <v>13</v>
      </c>
      <c r="BD21">
        <f>[1]CRP_Outcome_ELV!$V21</f>
        <v>16</v>
      </c>
    </row>
    <row r="22" spans="1:56" x14ac:dyDescent="0.35">
      <c r="A22">
        <v>20</v>
      </c>
      <c r="B22">
        <f>[1]CRP_Outcome_ELV!$S22</f>
        <v>24</v>
      </c>
      <c r="C22">
        <f>[1]CRP_Outcome_ELV!$T22</f>
        <v>1</v>
      </c>
      <c r="D22">
        <f>[1]CRP_Outcome_ELV!$U22</f>
        <v>12</v>
      </c>
      <c r="E22">
        <f>[1]CRP_Outcome_ELV!$V22</f>
        <v>15</v>
      </c>
      <c r="G22">
        <f>[2]CRP_Outcome_ELV!$S22</f>
        <v>20</v>
      </c>
      <c r="H22">
        <f>[2]CRP_Outcome_ELV!$T22</f>
        <v>23</v>
      </c>
      <c r="I22">
        <f>[2]CRP_Outcome_ELV!$U22</f>
        <v>12</v>
      </c>
      <c r="J22">
        <f>[2]CRP_Outcome_ELV!$V22</f>
        <v>9</v>
      </c>
      <c r="L22">
        <f>[3]CRP_Outcome_ELV!$S22</f>
        <v>22</v>
      </c>
      <c r="M22">
        <f>[3]CRP_Outcome_ELV!$T22</f>
        <v>24</v>
      </c>
      <c r="N22">
        <f>[3]CRP_Outcome_ELV!$U22</f>
        <v>12</v>
      </c>
      <c r="O22">
        <f>[3]CRP_Outcome_ELV!$V22</f>
        <v>9</v>
      </c>
      <c r="Q22">
        <f>[4]CRP_Outcome_ELV!$S22</f>
        <v>4</v>
      </c>
      <c r="R22">
        <f>[4]CRP_Outcome_ELV!$T22</f>
        <v>30</v>
      </c>
      <c r="S22">
        <f>[4]CRP_Outcome_ELV!$U22</f>
        <v>12</v>
      </c>
      <c r="T22">
        <f>[4]CRP_Outcome_ELV!$V22</f>
        <v>3</v>
      </c>
      <c r="V22">
        <f>[5]CRP_Outcome_ELV!$S22</f>
        <v>19</v>
      </c>
      <c r="W22">
        <f>[5]CRP_Outcome_ELV!$T22</f>
        <v>13</v>
      </c>
      <c r="X22">
        <f>[5]CRP_Outcome_ELV!$U22</f>
        <v>10</v>
      </c>
      <c r="Y22">
        <f>[5]CRP_Outcome_ELV!$V22</f>
        <v>8</v>
      </c>
      <c r="AA22">
        <f>[6]CRP_Outcome_ELV!$S22</f>
        <v>10</v>
      </c>
      <c r="AB22">
        <f>[6]CRP_Outcome_ELV!$T22</f>
        <v>37</v>
      </c>
      <c r="AC22">
        <f>[6]CRP_Outcome_ELV!$U22</f>
        <v>13</v>
      </c>
      <c r="AD22">
        <f>[6]CRP_Outcome_ELV!$V22</f>
        <v>2</v>
      </c>
      <c r="AF22">
        <f>[7]CRP_Outcome_ELV!$S22</f>
        <v>16</v>
      </c>
      <c r="AG22">
        <f>[7]CRP_Outcome_ELV!$T22</f>
        <v>24</v>
      </c>
      <c r="AH22">
        <f>[7]CRP_Outcome_ELV!$U22</f>
        <v>12</v>
      </c>
      <c r="AI22">
        <f>[7]CRP_Outcome_ELV!$V22</f>
        <v>2</v>
      </c>
      <c r="AK22">
        <f>[8]CRP_Outcome_ELV!$S22</f>
        <v>20</v>
      </c>
      <c r="AL22">
        <f>[8]CRP_Outcome_ELV!$T22</f>
        <v>11</v>
      </c>
      <c r="AM22">
        <f>[8]CRP_Outcome_ELV!$U22</f>
        <v>10</v>
      </c>
      <c r="AN22">
        <f>[8]CRP_Outcome_ELV!$V22</f>
        <v>10</v>
      </c>
      <c r="AP22">
        <f>[9]CRP_Outcome_ELV!$S22</f>
        <v>6</v>
      </c>
      <c r="AQ22">
        <f>[9]CRP_Outcome_ELV!$T22</f>
        <v>12</v>
      </c>
      <c r="AR22">
        <f>[9]CRP_Outcome_ELV!$U22</f>
        <v>13</v>
      </c>
      <c r="AS22">
        <f>[9]CRP_Outcome_ELV!$V22</f>
        <v>8</v>
      </c>
      <c r="AU22">
        <f>[10]CRP_Outcome_ELV!$S22</f>
        <v>16</v>
      </c>
      <c r="AV22">
        <f>[10]CRP_Outcome_ELV!$T22</f>
        <v>25</v>
      </c>
      <c r="AW22">
        <f>[10]CRP_Outcome_ELV!$U22</f>
        <v>12</v>
      </c>
      <c r="AX22">
        <f>[10]CRP_Outcome_ELV!$V22</f>
        <v>4</v>
      </c>
      <c r="BA22">
        <f>[1]CRP_Outcome_ELV!$S22</f>
        <v>24</v>
      </c>
      <c r="BB22">
        <f>[1]CRP_Outcome_ELV!$T22</f>
        <v>1</v>
      </c>
      <c r="BC22">
        <f>[1]CRP_Outcome_ELV!$U22</f>
        <v>12</v>
      </c>
      <c r="BD22">
        <f>[1]CRP_Outcome_ELV!$V22</f>
        <v>15</v>
      </c>
    </row>
    <row r="23" spans="1:56" x14ac:dyDescent="0.35">
      <c r="A23">
        <v>21</v>
      </c>
      <c r="B23">
        <f>[1]CRP_Outcome_ELV!$S23</f>
        <v>15</v>
      </c>
      <c r="C23">
        <f>[1]CRP_Outcome_ELV!$T23</f>
        <v>24</v>
      </c>
      <c r="D23">
        <f>[1]CRP_Outcome_ELV!$U23</f>
        <v>12</v>
      </c>
      <c r="E23">
        <f>[1]CRP_Outcome_ELV!$V23</f>
        <v>5</v>
      </c>
      <c r="G23">
        <f>[2]CRP_Outcome_ELV!$S23</f>
        <v>17</v>
      </c>
      <c r="H23">
        <f>[2]CRP_Outcome_ELV!$T23</f>
        <v>56</v>
      </c>
      <c r="I23">
        <f>[2]CRP_Outcome_ELV!$U23</f>
        <v>12</v>
      </c>
      <c r="J23">
        <f>[2]CRP_Outcome_ELV!$V23</f>
        <v>3</v>
      </c>
      <c r="L23">
        <f>[3]CRP_Outcome_ELV!$S23</f>
        <v>3</v>
      </c>
      <c r="M23">
        <f>[3]CRP_Outcome_ELV!$T23</f>
        <v>58</v>
      </c>
      <c r="N23">
        <f>[3]CRP_Outcome_ELV!$U23</f>
        <v>13</v>
      </c>
      <c r="O23">
        <f>[3]CRP_Outcome_ELV!$V23</f>
        <v>5</v>
      </c>
      <c r="Q23">
        <f>[4]CRP_Outcome_ELV!$S23</f>
        <v>5</v>
      </c>
      <c r="R23">
        <f>[4]CRP_Outcome_ELV!$T23</f>
        <v>12</v>
      </c>
      <c r="S23">
        <f>[4]CRP_Outcome_ELV!$U23</f>
        <v>13</v>
      </c>
      <c r="T23">
        <f>[4]CRP_Outcome_ELV!$V23</f>
        <v>11</v>
      </c>
      <c r="V23">
        <f>[5]CRP_Outcome_ELV!$S23</f>
        <v>7</v>
      </c>
      <c r="W23">
        <f>[5]CRP_Outcome_ELV!$T23</f>
        <v>18</v>
      </c>
      <c r="X23">
        <f>[5]CRP_Outcome_ELV!$U23</f>
        <v>10</v>
      </c>
      <c r="Y23">
        <f>[5]CRP_Outcome_ELV!$V23</f>
        <v>6</v>
      </c>
      <c r="AA23">
        <f>[6]CRP_Outcome_ELV!$S23</f>
        <v>1</v>
      </c>
      <c r="AB23">
        <f>[6]CRP_Outcome_ELV!$T23</f>
        <v>30</v>
      </c>
      <c r="AC23">
        <f>[6]CRP_Outcome_ELV!$U23</f>
        <v>13</v>
      </c>
      <c r="AD23">
        <f>[6]CRP_Outcome_ELV!$V23</f>
        <v>8</v>
      </c>
      <c r="AF23">
        <f>[7]CRP_Outcome_ELV!$S23</f>
        <v>0</v>
      </c>
      <c r="AG23">
        <f>[7]CRP_Outcome_ELV!$T23</f>
        <v>26</v>
      </c>
      <c r="AH23">
        <f>[7]CRP_Outcome_ELV!$U23</f>
        <v>14</v>
      </c>
      <c r="AI23">
        <f>[7]CRP_Outcome_ELV!$V23</f>
        <v>11</v>
      </c>
      <c r="AK23">
        <f>[8]CRP_Outcome_ELV!$S23</f>
        <v>9</v>
      </c>
      <c r="AL23">
        <f>[8]CRP_Outcome_ELV!$T23</f>
        <v>14</v>
      </c>
      <c r="AM23">
        <f>[8]CRP_Outcome_ELV!$U23</f>
        <v>10</v>
      </c>
      <c r="AN23">
        <f>[8]CRP_Outcome_ELV!$V23</f>
        <v>6</v>
      </c>
      <c r="AP23">
        <f>[9]CRP_Outcome_ELV!$S23</f>
        <v>3</v>
      </c>
      <c r="AQ23">
        <f>[9]CRP_Outcome_ELV!$T23</f>
        <v>5</v>
      </c>
      <c r="AR23">
        <f>[9]CRP_Outcome_ELV!$U23</f>
        <v>13</v>
      </c>
      <c r="AS23">
        <f>[9]CRP_Outcome_ELV!$V23</f>
        <v>6</v>
      </c>
      <c r="AU23">
        <f>[10]CRP_Outcome_ELV!$S23</f>
        <v>15</v>
      </c>
      <c r="AV23">
        <f>[10]CRP_Outcome_ELV!$T23</f>
        <v>25</v>
      </c>
      <c r="AW23">
        <f>[10]CRP_Outcome_ELV!$U23</f>
        <v>13</v>
      </c>
      <c r="AX23">
        <f>[10]CRP_Outcome_ELV!$V23</f>
        <v>3</v>
      </c>
      <c r="BA23">
        <f>[1]CRP_Outcome_ELV!$S23</f>
        <v>15</v>
      </c>
      <c r="BB23">
        <f>[1]CRP_Outcome_ELV!$T23</f>
        <v>24</v>
      </c>
      <c r="BC23">
        <f>[1]CRP_Outcome_ELV!$U23</f>
        <v>12</v>
      </c>
      <c r="BD23">
        <f>[1]CRP_Outcome_ELV!$V23</f>
        <v>5</v>
      </c>
    </row>
    <row r="24" spans="1:56" x14ac:dyDescent="0.35">
      <c r="A24">
        <v>22</v>
      </c>
      <c r="B24">
        <f>[1]CRP_Outcome_ELV!$S24</f>
        <v>13</v>
      </c>
      <c r="C24">
        <f>[1]CRP_Outcome_ELV!$T24</f>
        <v>23</v>
      </c>
      <c r="D24">
        <f>[1]CRP_Outcome_ELV!$U24</f>
        <v>12</v>
      </c>
      <c r="E24">
        <f>[1]CRP_Outcome_ELV!$V24</f>
        <v>3</v>
      </c>
      <c r="G24">
        <f>[2]CRP_Outcome_ELV!$S24</f>
        <v>0</v>
      </c>
      <c r="H24">
        <f>[2]CRP_Outcome_ELV!$T24</f>
        <v>27</v>
      </c>
      <c r="I24">
        <f>[2]CRP_Outcome_ELV!$U24</f>
        <v>13</v>
      </c>
      <c r="J24">
        <f>[2]CRP_Outcome_ELV!$V24</f>
        <v>7</v>
      </c>
      <c r="L24">
        <f>[3]CRP_Outcome_ELV!$S24</f>
        <v>0</v>
      </c>
      <c r="M24">
        <f>[3]CRP_Outcome_ELV!$T24</f>
        <v>12</v>
      </c>
      <c r="N24">
        <f>[3]CRP_Outcome_ELV!$U24</f>
        <v>13</v>
      </c>
      <c r="O24">
        <f>[3]CRP_Outcome_ELV!$V24</f>
        <v>5</v>
      </c>
      <c r="Q24">
        <f>[4]CRP_Outcome_ELV!$S24</f>
        <v>4</v>
      </c>
      <c r="R24">
        <f>[4]CRP_Outcome_ELV!$T24</f>
        <v>0</v>
      </c>
      <c r="S24">
        <f>[4]CRP_Outcome_ELV!$U24</f>
        <v>13</v>
      </c>
      <c r="T24">
        <f>[4]CRP_Outcome_ELV!$V24</f>
        <v>18</v>
      </c>
      <c r="V24">
        <f>[5]CRP_Outcome_ELV!$S24</f>
        <v>6</v>
      </c>
      <c r="W24">
        <f>[5]CRP_Outcome_ELV!$T24</f>
        <v>12</v>
      </c>
      <c r="X24">
        <f>[5]CRP_Outcome_ELV!$U24</f>
        <v>10</v>
      </c>
      <c r="Y24">
        <f>[5]CRP_Outcome_ELV!$V24</f>
        <v>11</v>
      </c>
      <c r="AA24">
        <f>[6]CRP_Outcome_ELV!$S24</f>
        <v>0</v>
      </c>
      <c r="AB24">
        <f>[6]CRP_Outcome_ELV!$T24</f>
        <v>0</v>
      </c>
      <c r="AC24">
        <f>[6]CRP_Outcome_ELV!$U24</f>
        <v>14</v>
      </c>
      <c r="AD24">
        <f>[6]CRP_Outcome_ELV!$V24</f>
        <v>17</v>
      </c>
      <c r="AF24">
        <f>[7]CRP_Outcome_ELV!$S24</f>
        <v>0</v>
      </c>
      <c r="AG24">
        <f>[7]CRP_Outcome_ELV!$T24</f>
        <v>3</v>
      </c>
      <c r="AH24">
        <f>[7]CRP_Outcome_ELV!$U24</f>
        <v>14</v>
      </c>
      <c r="AI24">
        <f>[7]CRP_Outcome_ELV!$V24</f>
        <v>10</v>
      </c>
      <c r="AK24">
        <f>[8]CRP_Outcome_ELV!$S24</f>
        <v>7</v>
      </c>
      <c r="AL24">
        <f>[8]CRP_Outcome_ELV!$T24</f>
        <v>12</v>
      </c>
      <c r="AM24">
        <f>[8]CRP_Outcome_ELV!$U24</f>
        <v>10</v>
      </c>
      <c r="AN24">
        <f>[8]CRP_Outcome_ELV!$V24</f>
        <v>8</v>
      </c>
      <c r="AP24">
        <f>[9]CRP_Outcome_ELV!$S24</f>
        <v>9</v>
      </c>
      <c r="AQ24">
        <f>[9]CRP_Outcome_ELV!$T24</f>
        <v>10</v>
      </c>
      <c r="AR24">
        <f>[9]CRP_Outcome_ELV!$U24</f>
        <v>13</v>
      </c>
      <c r="AS24">
        <f>[9]CRP_Outcome_ELV!$V24</f>
        <v>9</v>
      </c>
      <c r="AU24">
        <f>[10]CRP_Outcome_ELV!$S24</f>
        <v>0</v>
      </c>
      <c r="AV24">
        <f>[10]CRP_Outcome_ELV!$T24</f>
        <v>28</v>
      </c>
      <c r="AW24">
        <f>[10]CRP_Outcome_ELV!$U24</f>
        <v>14</v>
      </c>
      <c r="AX24">
        <f>[10]CRP_Outcome_ELV!$V24</f>
        <v>5</v>
      </c>
      <c r="BA24">
        <f>[1]CRP_Outcome_ELV!$S24</f>
        <v>13</v>
      </c>
      <c r="BB24">
        <f>[1]CRP_Outcome_ELV!$T24</f>
        <v>23</v>
      </c>
      <c r="BC24">
        <f>[1]CRP_Outcome_ELV!$U24</f>
        <v>12</v>
      </c>
      <c r="BD24">
        <f>[1]CRP_Outcome_ELV!$V24</f>
        <v>3</v>
      </c>
    </row>
    <row r="25" spans="1:56" x14ac:dyDescent="0.35">
      <c r="A25">
        <v>23</v>
      </c>
      <c r="B25">
        <f>[1]CRP_Outcome_ELV!$S25</f>
        <v>0</v>
      </c>
      <c r="C25">
        <f>[1]CRP_Outcome_ELV!$T25</f>
        <v>10</v>
      </c>
      <c r="D25">
        <f>[1]CRP_Outcome_ELV!$U25</f>
        <v>13</v>
      </c>
      <c r="E25">
        <f>[1]CRP_Outcome_ELV!$V25</f>
        <v>12</v>
      </c>
      <c r="G25">
        <f>[2]CRP_Outcome_ELV!$S25</f>
        <v>0</v>
      </c>
      <c r="H25">
        <f>[2]CRP_Outcome_ELV!$T25</f>
        <v>5</v>
      </c>
      <c r="I25">
        <f>[2]CRP_Outcome_ELV!$U25</f>
        <v>13</v>
      </c>
      <c r="J25">
        <f>[2]CRP_Outcome_ELV!$V25</f>
        <v>10</v>
      </c>
      <c r="L25">
        <f>[3]CRP_Outcome_ELV!$S25</f>
        <v>1</v>
      </c>
      <c r="M25">
        <f>[3]CRP_Outcome_ELV!$T25</f>
        <v>0</v>
      </c>
      <c r="N25">
        <f>[3]CRP_Outcome_ELV!$U25</f>
        <v>13</v>
      </c>
      <c r="O25">
        <f>[3]CRP_Outcome_ELV!$V25</f>
        <v>13</v>
      </c>
      <c r="Q25">
        <f>[4]CRP_Outcome_ELV!$S25</f>
        <v>15</v>
      </c>
      <c r="R25">
        <f>[4]CRP_Outcome_ELV!$T25</f>
        <v>0</v>
      </c>
      <c r="S25">
        <f>[4]CRP_Outcome_ELV!$U25</f>
        <v>13</v>
      </c>
      <c r="T25">
        <f>[4]CRP_Outcome_ELV!$V25</f>
        <v>13</v>
      </c>
      <c r="V25">
        <f>[5]CRP_Outcome_ELV!$S25</f>
        <v>8</v>
      </c>
      <c r="W25">
        <f>[5]CRP_Outcome_ELV!$T25</f>
        <v>0</v>
      </c>
      <c r="X25">
        <f>[5]CRP_Outcome_ELV!$U25</f>
        <v>8</v>
      </c>
      <c r="Y25">
        <f>[5]CRP_Outcome_ELV!$V25</f>
        <v>15</v>
      </c>
      <c r="AA25">
        <f>[6]CRP_Outcome_ELV!$S25</f>
        <v>12</v>
      </c>
      <c r="AB25">
        <f>[6]CRP_Outcome_ELV!$T25</f>
        <v>0</v>
      </c>
      <c r="AC25">
        <f>[6]CRP_Outcome_ELV!$U25</f>
        <v>13</v>
      </c>
      <c r="AD25">
        <f>[6]CRP_Outcome_ELV!$V25</f>
        <v>16</v>
      </c>
      <c r="AF25">
        <f>[7]CRP_Outcome_ELV!$S25</f>
        <v>17</v>
      </c>
      <c r="AG25">
        <f>[7]CRP_Outcome_ELV!$T25</f>
        <v>0</v>
      </c>
      <c r="AH25">
        <f>[7]CRP_Outcome_ELV!$U25</f>
        <v>13</v>
      </c>
      <c r="AI25">
        <f>[7]CRP_Outcome_ELV!$V25</f>
        <v>19</v>
      </c>
      <c r="AK25">
        <f>[8]CRP_Outcome_ELV!$S25</f>
        <v>6</v>
      </c>
      <c r="AL25">
        <f>[8]CRP_Outcome_ELV!$T25</f>
        <v>8</v>
      </c>
      <c r="AM25">
        <f>[8]CRP_Outcome_ELV!$U25</f>
        <v>10</v>
      </c>
      <c r="AN25">
        <f>[8]CRP_Outcome_ELV!$V25</f>
        <v>13</v>
      </c>
      <c r="AP25">
        <f>[9]CRP_Outcome_ELV!$S25</f>
        <v>17</v>
      </c>
      <c r="AQ25">
        <f>[9]CRP_Outcome_ELV!$T25</f>
        <v>0</v>
      </c>
      <c r="AR25">
        <f>[9]CRP_Outcome_ELV!$U25</f>
        <v>13</v>
      </c>
      <c r="AS25">
        <f>[9]CRP_Outcome_ELV!$V25</f>
        <v>12</v>
      </c>
      <c r="AU25">
        <f>[10]CRP_Outcome_ELV!$S25</f>
        <v>5</v>
      </c>
      <c r="AV25">
        <f>[10]CRP_Outcome_ELV!$T25</f>
        <v>12</v>
      </c>
      <c r="AW25">
        <f>[10]CRP_Outcome_ELV!$U25</f>
        <v>13</v>
      </c>
      <c r="AX25">
        <f>[10]CRP_Outcome_ELV!$V25</f>
        <v>16</v>
      </c>
      <c r="BA25">
        <f>[1]CRP_Outcome_ELV!$S25</f>
        <v>0</v>
      </c>
      <c r="BB25">
        <f>[1]CRP_Outcome_ELV!$T25</f>
        <v>10</v>
      </c>
      <c r="BC25">
        <f>[1]CRP_Outcome_ELV!$U25</f>
        <v>13</v>
      </c>
      <c r="BD25">
        <f>[1]CRP_Outcome_ELV!$V25</f>
        <v>12</v>
      </c>
    </row>
    <row r="26" spans="1:56" x14ac:dyDescent="0.35">
      <c r="A26">
        <v>24</v>
      </c>
      <c r="B26">
        <f>[1]CRP_Outcome_ELV!$S26</f>
        <v>4</v>
      </c>
      <c r="C26">
        <f>[1]CRP_Outcome_ELV!$T26</f>
        <v>0</v>
      </c>
      <c r="D26">
        <f>[1]CRP_Outcome_ELV!$U26</f>
        <v>13</v>
      </c>
      <c r="E26">
        <f>[1]CRP_Outcome_ELV!$V26</f>
        <v>13</v>
      </c>
      <c r="G26">
        <f>[2]CRP_Outcome_ELV!$S26</f>
        <v>7</v>
      </c>
      <c r="H26">
        <f>[2]CRP_Outcome_ELV!$T26</f>
        <v>0</v>
      </c>
      <c r="I26">
        <f>[2]CRP_Outcome_ELV!$U26</f>
        <v>13</v>
      </c>
      <c r="J26">
        <f>[2]CRP_Outcome_ELV!$V26</f>
        <v>16</v>
      </c>
      <c r="L26">
        <f>[3]CRP_Outcome_ELV!$S26</f>
        <v>6</v>
      </c>
      <c r="M26">
        <f>[3]CRP_Outcome_ELV!$T26</f>
        <v>0</v>
      </c>
      <c r="N26">
        <f>[3]CRP_Outcome_ELV!$U26</f>
        <v>13</v>
      </c>
      <c r="O26">
        <f>[3]CRP_Outcome_ELV!$V26</f>
        <v>16</v>
      </c>
      <c r="Q26">
        <f>[4]CRP_Outcome_ELV!$S26</f>
        <v>19</v>
      </c>
      <c r="R26">
        <f>[4]CRP_Outcome_ELV!$T26</f>
        <v>13</v>
      </c>
      <c r="S26">
        <f>[4]CRP_Outcome_ELV!$U26</f>
        <v>13</v>
      </c>
      <c r="T26">
        <f>[4]CRP_Outcome_ELV!$V26</f>
        <v>12</v>
      </c>
      <c r="V26">
        <f>[5]CRP_Outcome_ELV!$S26</f>
        <v>12</v>
      </c>
      <c r="W26">
        <f>[5]CRP_Outcome_ELV!$T26</f>
        <v>4</v>
      </c>
      <c r="X26">
        <f>[5]CRP_Outcome_ELV!$U26</f>
        <v>9</v>
      </c>
      <c r="Y26">
        <f>[5]CRP_Outcome_ELV!$V26</f>
        <v>12</v>
      </c>
      <c r="AA26">
        <f>[6]CRP_Outcome_ELV!$S26</f>
        <v>23</v>
      </c>
      <c r="AB26">
        <f>[6]CRP_Outcome_ELV!$T26</f>
        <v>0</v>
      </c>
      <c r="AC26">
        <f>[6]CRP_Outcome_ELV!$U26</f>
        <v>13</v>
      </c>
      <c r="AD26">
        <f>[6]CRP_Outcome_ELV!$V26</f>
        <v>15</v>
      </c>
      <c r="AF26">
        <f>[7]CRP_Outcome_ELV!$S26</f>
        <v>13</v>
      </c>
      <c r="AG26">
        <f>[7]CRP_Outcome_ELV!$T26</f>
        <v>0</v>
      </c>
      <c r="AH26">
        <f>[7]CRP_Outcome_ELV!$U26</f>
        <v>14</v>
      </c>
      <c r="AI26">
        <f>[7]CRP_Outcome_ELV!$V26</f>
        <v>15</v>
      </c>
      <c r="AK26">
        <f>[8]CRP_Outcome_ELV!$S26</f>
        <v>12</v>
      </c>
      <c r="AL26">
        <f>[8]CRP_Outcome_ELV!$T26</f>
        <v>7</v>
      </c>
      <c r="AM26">
        <f>[8]CRP_Outcome_ELV!$U26</f>
        <v>9</v>
      </c>
      <c r="AN26">
        <f>[8]CRP_Outcome_ELV!$V26</f>
        <v>12</v>
      </c>
      <c r="AP26">
        <f>[9]CRP_Outcome_ELV!$S26</f>
        <v>8</v>
      </c>
      <c r="AQ26">
        <f>[9]CRP_Outcome_ELV!$T26</f>
        <v>0</v>
      </c>
      <c r="AR26">
        <f>[9]CRP_Outcome_ELV!$U26</f>
        <v>13</v>
      </c>
      <c r="AS26">
        <f>[9]CRP_Outcome_ELV!$V26</f>
        <v>15</v>
      </c>
      <c r="AU26">
        <f>[10]CRP_Outcome_ELV!$S26</f>
        <v>12</v>
      </c>
      <c r="AV26">
        <f>[10]CRP_Outcome_ELV!$T26</f>
        <v>0</v>
      </c>
      <c r="AW26">
        <f>[10]CRP_Outcome_ELV!$U26</f>
        <v>12</v>
      </c>
      <c r="AX26">
        <f>[10]CRP_Outcome_ELV!$V26</f>
        <v>16</v>
      </c>
      <c r="BA26">
        <f>[1]CRP_Outcome_ELV!$S26</f>
        <v>4</v>
      </c>
      <c r="BB26">
        <f>[1]CRP_Outcome_ELV!$T26</f>
        <v>0</v>
      </c>
      <c r="BC26">
        <f>[1]CRP_Outcome_ELV!$U26</f>
        <v>13</v>
      </c>
      <c r="BD26">
        <f>[1]CRP_Outcome_ELV!$V26</f>
        <v>13</v>
      </c>
    </row>
    <row r="27" spans="1:56" x14ac:dyDescent="0.35">
      <c r="A27">
        <v>25</v>
      </c>
      <c r="B27">
        <f>[1]CRP_Outcome_ELV!$S27</f>
        <v>15</v>
      </c>
      <c r="C27">
        <f>[1]CRP_Outcome_ELV!$T27</f>
        <v>0</v>
      </c>
      <c r="D27">
        <f>[1]CRP_Outcome_ELV!$U27</f>
        <v>13</v>
      </c>
      <c r="E27">
        <f>[1]CRP_Outcome_ELV!$V27</f>
        <v>16</v>
      </c>
      <c r="G27">
        <f>[2]CRP_Outcome_ELV!$S27</f>
        <v>15</v>
      </c>
      <c r="H27">
        <f>[2]CRP_Outcome_ELV!$T27</f>
        <v>6</v>
      </c>
      <c r="I27">
        <f>[2]CRP_Outcome_ELV!$U27</f>
        <v>13</v>
      </c>
      <c r="J27">
        <f>[2]CRP_Outcome_ELV!$V27</f>
        <v>16</v>
      </c>
      <c r="L27">
        <f>[3]CRP_Outcome_ELV!$S27</f>
        <v>23</v>
      </c>
      <c r="M27">
        <f>[3]CRP_Outcome_ELV!$T27</f>
        <v>12</v>
      </c>
      <c r="N27">
        <f>[3]CRP_Outcome_ELV!$U27</f>
        <v>12</v>
      </c>
      <c r="O27">
        <f>[3]CRP_Outcome_ELV!$V27</f>
        <v>14</v>
      </c>
      <c r="Q27">
        <f>[4]CRP_Outcome_ELV!$S27</f>
        <v>12</v>
      </c>
      <c r="R27">
        <f>[4]CRP_Outcome_ELV!$T27</f>
        <v>30</v>
      </c>
      <c r="S27">
        <f>[4]CRP_Outcome_ELV!$U27</f>
        <v>12</v>
      </c>
      <c r="T27">
        <f>[4]CRP_Outcome_ELV!$V27</f>
        <v>4</v>
      </c>
      <c r="V27">
        <f>[5]CRP_Outcome_ELV!$S27</f>
        <v>23</v>
      </c>
      <c r="W27">
        <f>[5]CRP_Outcome_ELV!$T27</f>
        <v>11</v>
      </c>
      <c r="X27">
        <f>[5]CRP_Outcome_ELV!$U27</f>
        <v>10</v>
      </c>
      <c r="Y27">
        <f>[5]CRP_Outcome_ELV!$V27</f>
        <v>9</v>
      </c>
      <c r="AA27">
        <f>[6]CRP_Outcome_ELV!$S27</f>
        <v>12</v>
      </c>
      <c r="AB27">
        <f>[6]CRP_Outcome_ELV!$T27</f>
        <v>29</v>
      </c>
      <c r="AC27">
        <f>[6]CRP_Outcome_ELV!$U27</f>
        <v>13</v>
      </c>
      <c r="AD27">
        <f>[6]CRP_Outcome_ELV!$V27</f>
        <v>2</v>
      </c>
      <c r="AF27">
        <f>[7]CRP_Outcome_ELV!$S27</f>
        <v>20</v>
      </c>
      <c r="AG27">
        <f>[7]CRP_Outcome_ELV!$T27</f>
        <v>18</v>
      </c>
      <c r="AH27">
        <f>[7]CRP_Outcome_ELV!$U27</f>
        <v>13</v>
      </c>
      <c r="AI27">
        <f>[7]CRP_Outcome_ELV!$V27</f>
        <v>3</v>
      </c>
      <c r="AK27">
        <f>[8]CRP_Outcome_ELV!$S27</f>
        <v>16</v>
      </c>
      <c r="AL27">
        <f>[8]CRP_Outcome_ELV!$T27</f>
        <v>7</v>
      </c>
      <c r="AM27">
        <f>[8]CRP_Outcome_ELV!$U27</f>
        <v>10</v>
      </c>
      <c r="AN27">
        <f>[8]CRP_Outcome_ELV!$V27</f>
        <v>12</v>
      </c>
      <c r="AP27">
        <f>[9]CRP_Outcome_ELV!$S27</f>
        <v>9</v>
      </c>
      <c r="AQ27">
        <f>[9]CRP_Outcome_ELV!$T27</f>
        <v>4</v>
      </c>
      <c r="AR27">
        <f>[9]CRP_Outcome_ELV!$U27</f>
        <v>13</v>
      </c>
      <c r="AS27">
        <f>[9]CRP_Outcome_ELV!$V27</f>
        <v>12</v>
      </c>
      <c r="AU27">
        <f>[10]CRP_Outcome_ELV!$S27</f>
        <v>28</v>
      </c>
      <c r="AV27">
        <f>[10]CRP_Outcome_ELV!$T27</f>
        <v>0</v>
      </c>
      <c r="AW27">
        <f>[10]CRP_Outcome_ELV!$U27</f>
        <v>12</v>
      </c>
      <c r="AX27">
        <f>[10]CRP_Outcome_ELV!$V27</f>
        <v>10</v>
      </c>
      <c r="BA27">
        <f>[1]CRP_Outcome_ELV!$S27</f>
        <v>15</v>
      </c>
      <c r="BB27">
        <f>[1]CRP_Outcome_ELV!$T27</f>
        <v>0</v>
      </c>
      <c r="BC27">
        <f>[1]CRP_Outcome_ELV!$U27</f>
        <v>13</v>
      </c>
      <c r="BD27">
        <f>[1]CRP_Outcome_ELV!$V27</f>
        <v>16</v>
      </c>
    </row>
    <row r="28" spans="1:56" x14ac:dyDescent="0.35">
      <c r="A28">
        <v>26</v>
      </c>
      <c r="B28">
        <f>[1]CRP_Outcome_ELV!$S28</f>
        <v>16</v>
      </c>
      <c r="C28">
        <f>[1]CRP_Outcome_ELV!$T28</f>
        <v>5</v>
      </c>
      <c r="D28">
        <f>[1]CRP_Outcome_ELV!$U28</f>
        <v>13</v>
      </c>
      <c r="E28">
        <f>[1]CRP_Outcome_ELV!$V28</f>
        <v>12</v>
      </c>
      <c r="G28">
        <f>[2]CRP_Outcome_ELV!$S28</f>
        <v>21</v>
      </c>
      <c r="H28">
        <f>[2]CRP_Outcome_ELV!$T28</f>
        <v>20</v>
      </c>
      <c r="I28">
        <f>[2]CRP_Outcome_ELV!$U28</f>
        <v>12</v>
      </c>
      <c r="J28">
        <f>[2]CRP_Outcome_ELV!$V28</f>
        <v>8</v>
      </c>
      <c r="L28">
        <f>[3]CRP_Outcome_ELV!$S28</f>
        <v>21</v>
      </c>
      <c r="M28">
        <f>[3]CRP_Outcome_ELV!$T28</f>
        <v>44</v>
      </c>
      <c r="N28">
        <f>[3]CRP_Outcome_ELV!$U28</f>
        <v>12</v>
      </c>
      <c r="O28">
        <f>[3]CRP_Outcome_ELV!$V28</f>
        <v>9</v>
      </c>
      <c r="Q28">
        <f>[4]CRP_Outcome_ELV!$S28</f>
        <v>9</v>
      </c>
      <c r="R28">
        <f>[4]CRP_Outcome_ELV!$T28</f>
        <v>20</v>
      </c>
      <c r="S28">
        <f>[4]CRP_Outcome_ELV!$U28</f>
        <v>12</v>
      </c>
      <c r="T28">
        <f>[4]CRP_Outcome_ELV!$V28</f>
        <v>8</v>
      </c>
      <c r="V28">
        <f>[5]CRP_Outcome_ELV!$S28</f>
        <v>11</v>
      </c>
      <c r="W28">
        <f>[5]CRP_Outcome_ELV!$T28</f>
        <v>18</v>
      </c>
      <c r="X28">
        <f>[5]CRP_Outcome_ELV!$U28</f>
        <v>10</v>
      </c>
      <c r="Y28">
        <f>[5]CRP_Outcome_ELV!$V28</f>
        <v>7</v>
      </c>
      <c r="AA28">
        <f>[6]CRP_Outcome_ELV!$S28</f>
        <v>11</v>
      </c>
      <c r="AB28">
        <f>[6]CRP_Outcome_ELV!$T28</f>
        <v>32</v>
      </c>
      <c r="AC28">
        <f>[6]CRP_Outcome_ELV!$U28</f>
        <v>13</v>
      </c>
      <c r="AD28">
        <f>[6]CRP_Outcome_ELV!$V28</f>
        <v>4</v>
      </c>
      <c r="AF28">
        <f>[7]CRP_Outcome_ELV!$S28</f>
        <v>10</v>
      </c>
      <c r="AG28">
        <f>[7]CRP_Outcome_ELV!$T28</f>
        <v>29</v>
      </c>
      <c r="AH28">
        <f>[7]CRP_Outcome_ELV!$U28</f>
        <v>13</v>
      </c>
      <c r="AI28">
        <f>[7]CRP_Outcome_ELV!$V28</f>
        <v>11</v>
      </c>
      <c r="AK28">
        <f>[8]CRP_Outcome_ELV!$S28</f>
        <v>12</v>
      </c>
      <c r="AL28">
        <f>[8]CRP_Outcome_ELV!$T28</f>
        <v>12</v>
      </c>
      <c r="AM28">
        <f>[8]CRP_Outcome_ELV!$U28</f>
        <v>10</v>
      </c>
      <c r="AN28">
        <f>[8]CRP_Outcome_ELV!$V28</f>
        <v>6</v>
      </c>
      <c r="AP28">
        <f>[9]CRP_Outcome_ELV!$S28</f>
        <v>15</v>
      </c>
      <c r="AQ28">
        <f>[9]CRP_Outcome_ELV!$T28</f>
        <v>0</v>
      </c>
      <c r="AR28">
        <f>[9]CRP_Outcome_ELV!$U28</f>
        <v>13</v>
      </c>
      <c r="AS28">
        <f>[9]CRP_Outcome_ELV!$V28</f>
        <v>8</v>
      </c>
      <c r="AU28">
        <f>[10]CRP_Outcome_ELV!$S28</f>
        <v>20</v>
      </c>
      <c r="AV28">
        <f>[10]CRP_Outcome_ELV!$T28</f>
        <v>0</v>
      </c>
      <c r="AW28">
        <f>[10]CRP_Outcome_ELV!$U28</f>
        <v>12</v>
      </c>
      <c r="AX28">
        <f>[10]CRP_Outcome_ELV!$V28</f>
        <v>3</v>
      </c>
      <c r="BA28">
        <f>[1]CRP_Outcome_ELV!$S28</f>
        <v>16</v>
      </c>
      <c r="BB28">
        <f>[1]CRP_Outcome_ELV!$T28</f>
        <v>5</v>
      </c>
      <c r="BC28">
        <f>[1]CRP_Outcome_ELV!$U28</f>
        <v>13</v>
      </c>
      <c r="BD28">
        <f>[1]CRP_Outcome_ELV!$V28</f>
        <v>12</v>
      </c>
    </row>
    <row r="29" spans="1:56" x14ac:dyDescent="0.35">
      <c r="A29">
        <v>27</v>
      </c>
      <c r="B29">
        <f>[1]CRP_Outcome_ELV!$S29</f>
        <v>17</v>
      </c>
      <c r="C29">
        <f>[1]CRP_Outcome_ELV!$T29</f>
        <v>19</v>
      </c>
      <c r="D29">
        <f>[1]CRP_Outcome_ELV!$U29</f>
        <v>12</v>
      </c>
      <c r="E29">
        <f>[1]CRP_Outcome_ELV!$V29</f>
        <v>4</v>
      </c>
      <c r="G29">
        <f>[2]CRP_Outcome_ELV!$S29</f>
        <v>11</v>
      </c>
      <c r="H29">
        <f>[2]CRP_Outcome_ELV!$T29</f>
        <v>60</v>
      </c>
      <c r="I29">
        <f>[2]CRP_Outcome_ELV!$U29</f>
        <v>12</v>
      </c>
      <c r="J29">
        <f>[2]CRP_Outcome_ELV!$V29</f>
        <v>7</v>
      </c>
      <c r="L29">
        <f>[3]CRP_Outcome_ELV!$S29</f>
        <v>2</v>
      </c>
      <c r="M29">
        <f>[3]CRP_Outcome_ELV!$T29</f>
        <v>28</v>
      </c>
      <c r="N29">
        <f>[3]CRP_Outcome_ELV!$U29</f>
        <v>13</v>
      </c>
      <c r="O29">
        <f>[3]CRP_Outcome_ELV!$V29</f>
        <v>4</v>
      </c>
      <c r="Q29">
        <f>[4]CRP_Outcome_ELV!$S29</f>
        <v>1</v>
      </c>
      <c r="R29">
        <f>[4]CRP_Outcome_ELV!$T29</f>
        <v>0</v>
      </c>
      <c r="S29">
        <f>[4]CRP_Outcome_ELV!$U29</f>
        <v>13</v>
      </c>
      <c r="T29">
        <f>[4]CRP_Outcome_ELV!$V29</f>
        <v>15</v>
      </c>
      <c r="V29">
        <f>[5]CRP_Outcome_ELV!$S29</f>
        <v>4</v>
      </c>
      <c r="W29">
        <f>[5]CRP_Outcome_ELV!$T29</f>
        <v>14</v>
      </c>
      <c r="X29">
        <f>[5]CRP_Outcome_ELV!$U29</f>
        <v>11</v>
      </c>
      <c r="Y29">
        <f>[5]CRP_Outcome_ELV!$V29</f>
        <v>8</v>
      </c>
      <c r="AA29">
        <f>[6]CRP_Outcome_ELV!$S29</f>
        <v>0</v>
      </c>
      <c r="AB29">
        <f>[6]CRP_Outcome_ELV!$T29</f>
        <v>17</v>
      </c>
      <c r="AC29">
        <f>[6]CRP_Outcome_ELV!$U29</f>
        <v>14</v>
      </c>
      <c r="AD29">
        <f>[6]CRP_Outcome_ELV!$V29</f>
        <v>15</v>
      </c>
      <c r="AF29">
        <f>[7]CRP_Outcome_ELV!$S29</f>
        <v>0</v>
      </c>
      <c r="AG29">
        <f>[7]CRP_Outcome_ELV!$T29</f>
        <v>16</v>
      </c>
      <c r="AH29">
        <f>[7]CRP_Outcome_ELV!$U29</f>
        <v>13</v>
      </c>
      <c r="AI29">
        <f>[7]CRP_Outcome_ELV!$V29</f>
        <v>6</v>
      </c>
      <c r="AK29">
        <f>[8]CRP_Outcome_ELV!$S29</f>
        <v>11</v>
      </c>
      <c r="AL29">
        <f>[8]CRP_Outcome_ELV!$T29</f>
        <v>12</v>
      </c>
      <c r="AM29">
        <f>[8]CRP_Outcome_ELV!$U29</f>
        <v>10</v>
      </c>
      <c r="AN29">
        <f>[8]CRP_Outcome_ELV!$V29</f>
        <v>7</v>
      </c>
      <c r="AP29">
        <f>[9]CRP_Outcome_ELV!$S29</f>
        <v>6</v>
      </c>
      <c r="AQ29">
        <f>[9]CRP_Outcome_ELV!$T29</f>
        <v>20</v>
      </c>
      <c r="AR29">
        <f>[9]CRP_Outcome_ELV!$U29</f>
        <v>13</v>
      </c>
      <c r="AS29">
        <f>[9]CRP_Outcome_ELV!$V29</f>
        <v>8</v>
      </c>
      <c r="AU29">
        <f>[10]CRP_Outcome_ELV!$S29</f>
        <v>0</v>
      </c>
      <c r="AV29">
        <f>[10]CRP_Outcome_ELV!$T29</f>
        <v>23</v>
      </c>
      <c r="AW29">
        <f>[10]CRP_Outcome_ELV!$U29</f>
        <v>13</v>
      </c>
      <c r="AX29">
        <f>[10]CRP_Outcome_ELV!$V29</f>
        <v>3</v>
      </c>
      <c r="BA29">
        <f>[1]CRP_Outcome_ELV!$S29</f>
        <v>17</v>
      </c>
      <c r="BB29">
        <f>[1]CRP_Outcome_ELV!$T29</f>
        <v>19</v>
      </c>
      <c r="BC29">
        <f>[1]CRP_Outcome_ELV!$U29</f>
        <v>12</v>
      </c>
      <c r="BD29">
        <f>[1]CRP_Outcome_ELV!$V29</f>
        <v>4</v>
      </c>
    </row>
    <row r="30" spans="1:56" x14ac:dyDescent="0.35">
      <c r="A30">
        <v>28</v>
      </c>
      <c r="B30">
        <f>[1]CRP_Outcome_ELV!$S30</f>
        <v>9</v>
      </c>
      <c r="C30">
        <f>[1]CRP_Outcome_ELV!$T30</f>
        <v>24</v>
      </c>
      <c r="D30">
        <f>[1]CRP_Outcome_ELV!$U30</f>
        <v>12</v>
      </c>
      <c r="E30">
        <f>[1]CRP_Outcome_ELV!$V30</f>
        <v>11</v>
      </c>
      <c r="G30">
        <f>[2]CRP_Outcome_ELV!$S30</f>
        <v>0</v>
      </c>
      <c r="H30">
        <f>[2]CRP_Outcome_ELV!$T30</f>
        <v>15</v>
      </c>
      <c r="I30">
        <f>[2]CRP_Outcome_ELV!$U30</f>
        <v>13</v>
      </c>
      <c r="J30">
        <f>[2]CRP_Outcome_ELV!$V30</f>
        <v>6</v>
      </c>
      <c r="L30">
        <f>[3]CRP_Outcome_ELV!$S30</f>
        <v>9</v>
      </c>
      <c r="M30">
        <f>[3]CRP_Outcome_ELV!$T30</f>
        <v>12</v>
      </c>
      <c r="N30">
        <f>[3]CRP_Outcome_ELV!$U30</f>
        <v>13</v>
      </c>
      <c r="O30">
        <f>[3]CRP_Outcome_ELV!$V30</f>
        <v>6</v>
      </c>
      <c r="Q30">
        <f>[4]CRP_Outcome_ELV!$S30</f>
        <v>9</v>
      </c>
      <c r="R30">
        <f>[4]CRP_Outcome_ELV!$T30</f>
        <v>0</v>
      </c>
      <c r="S30">
        <f>[4]CRP_Outcome_ELV!$U30</f>
        <v>13</v>
      </c>
      <c r="T30">
        <f>[4]CRP_Outcome_ELV!$V30</f>
        <v>12</v>
      </c>
      <c r="V30">
        <f>[5]CRP_Outcome_ELV!$S30</f>
        <v>10</v>
      </c>
      <c r="W30">
        <f>[5]CRP_Outcome_ELV!$T30</f>
        <v>4</v>
      </c>
      <c r="X30">
        <f>[5]CRP_Outcome_ELV!$U30</f>
        <v>9</v>
      </c>
      <c r="Y30">
        <f>[5]CRP_Outcome_ELV!$V30</f>
        <v>15</v>
      </c>
      <c r="AA30">
        <f>[6]CRP_Outcome_ELV!$S30</f>
        <v>11</v>
      </c>
      <c r="AB30">
        <f>[6]CRP_Outcome_ELV!$T30</f>
        <v>0</v>
      </c>
      <c r="AC30">
        <f>[6]CRP_Outcome_ELV!$U30</f>
        <v>13</v>
      </c>
      <c r="AD30">
        <f>[6]CRP_Outcome_ELV!$V30</f>
        <v>16</v>
      </c>
      <c r="AF30">
        <f>[7]CRP_Outcome_ELV!$S30</f>
        <v>13</v>
      </c>
      <c r="AG30">
        <f>[7]CRP_Outcome_ELV!$T30</f>
        <v>0</v>
      </c>
      <c r="AH30">
        <f>[7]CRP_Outcome_ELV!$U30</f>
        <v>13</v>
      </c>
      <c r="AI30">
        <f>[7]CRP_Outcome_ELV!$V30</f>
        <v>17</v>
      </c>
      <c r="AK30">
        <f>[8]CRP_Outcome_ELV!$S30</f>
        <v>4</v>
      </c>
      <c r="AL30">
        <f>[8]CRP_Outcome_ELV!$T30</f>
        <v>12</v>
      </c>
      <c r="AM30">
        <f>[8]CRP_Outcome_ELV!$U30</f>
        <v>10</v>
      </c>
      <c r="AN30">
        <f>[8]CRP_Outcome_ELV!$V30</f>
        <v>11</v>
      </c>
      <c r="AP30">
        <f>[9]CRP_Outcome_ELV!$S30</f>
        <v>11</v>
      </c>
      <c r="AQ30">
        <f>[9]CRP_Outcome_ELV!$T30</f>
        <v>12</v>
      </c>
      <c r="AR30">
        <f>[9]CRP_Outcome_ELV!$U30</f>
        <v>13</v>
      </c>
      <c r="AS30">
        <f>[9]CRP_Outcome_ELV!$V30</f>
        <v>9</v>
      </c>
      <c r="AU30">
        <f>[10]CRP_Outcome_ELV!$S30</f>
        <v>8</v>
      </c>
      <c r="AV30">
        <f>[10]CRP_Outcome_ELV!$T30</f>
        <v>34</v>
      </c>
      <c r="AW30">
        <f>[10]CRP_Outcome_ELV!$U30</f>
        <v>13</v>
      </c>
      <c r="AX30">
        <f>[10]CRP_Outcome_ELV!$V30</f>
        <v>7</v>
      </c>
      <c r="BA30">
        <f>[1]CRP_Outcome_ELV!$S30</f>
        <v>9</v>
      </c>
      <c r="BB30">
        <f>[1]CRP_Outcome_ELV!$T30</f>
        <v>24</v>
      </c>
      <c r="BC30">
        <f>[1]CRP_Outcome_ELV!$U30</f>
        <v>12</v>
      </c>
      <c r="BD30">
        <f>[1]CRP_Outcome_ELV!$V30</f>
        <v>11</v>
      </c>
    </row>
    <row r="31" spans="1:56" x14ac:dyDescent="0.35">
      <c r="A31">
        <v>29</v>
      </c>
      <c r="B31">
        <f>[1]CRP_Outcome_ELV!$S31</f>
        <v>1</v>
      </c>
      <c r="C31">
        <f>[1]CRP_Outcome_ELV!$T31</f>
        <v>6</v>
      </c>
      <c r="D31">
        <f>[1]CRP_Outcome_ELV!$U31</f>
        <v>13</v>
      </c>
      <c r="E31">
        <f>[1]CRP_Outcome_ELV!$V31</f>
        <v>10</v>
      </c>
      <c r="G31">
        <f>[2]CRP_Outcome_ELV!$S31</f>
        <v>3</v>
      </c>
      <c r="H31">
        <f>[2]CRP_Outcome_ELV!$T31</f>
        <v>0</v>
      </c>
      <c r="I31">
        <f>[2]CRP_Outcome_ELV!$U31</f>
        <v>13</v>
      </c>
      <c r="J31">
        <f>[2]CRP_Outcome_ELV!$V31</f>
        <v>10</v>
      </c>
      <c r="L31">
        <f>[3]CRP_Outcome_ELV!$S31</f>
        <v>1</v>
      </c>
      <c r="M31">
        <f>[3]CRP_Outcome_ELV!$T31</f>
        <v>0</v>
      </c>
      <c r="N31">
        <f>[3]CRP_Outcome_ELV!$U31</f>
        <v>13</v>
      </c>
      <c r="O31">
        <f>[3]CRP_Outcome_ELV!$V31</f>
        <v>14</v>
      </c>
      <c r="Q31">
        <f>[4]CRP_Outcome_ELV!$S31</f>
        <v>20</v>
      </c>
      <c r="R31">
        <f>[4]CRP_Outcome_ELV!$T31</f>
        <v>1</v>
      </c>
      <c r="S31">
        <f>[4]CRP_Outcome_ELV!$U31</f>
        <v>13</v>
      </c>
      <c r="T31">
        <f>[4]CRP_Outcome_ELV!$V31</f>
        <v>15</v>
      </c>
      <c r="V31">
        <f>[5]CRP_Outcome_ELV!$S31</f>
        <v>12</v>
      </c>
      <c r="W31">
        <f>[5]CRP_Outcome_ELV!$T31</f>
        <v>0</v>
      </c>
      <c r="X31">
        <f>[5]CRP_Outcome_ELV!$U31</f>
        <v>9</v>
      </c>
      <c r="Y31">
        <f>[5]CRP_Outcome_ELV!$V31</f>
        <v>15</v>
      </c>
      <c r="AA31">
        <f>[6]CRP_Outcome_ELV!$S31</f>
        <v>18</v>
      </c>
      <c r="AB31">
        <f>[6]CRP_Outcome_ELV!$T31</f>
        <v>0</v>
      </c>
      <c r="AC31">
        <f>[6]CRP_Outcome_ELV!$U31</f>
        <v>13</v>
      </c>
      <c r="AD31">
        <f>[6]CRP_Outcome_ELV!$V31</f>
        <v>15</v>
      </c>
      <c r="AF31">
        <f>[7]CRP_Outcome_ELV!$S31</f>
        <v>3</v>
      </c>
      <c r="AG31">
        <f>[7]CRP_Outcome_ELV!$T31</f>
        <v>0</v>
      </c>
      <c r="AH31">
        <f>[7]CRP_Outcome_ELV!$U31</f>
        <v>14</v>
      </c>
      <c r="AI31">
        <f>[7]CRP_Outcome_ELV!$V31</f>
        <v>15</v>
      </c>
      <c r="AK31">
        <f>[8]CRP_Outcome_ELV!$S31</f>
        <v>11</v>
      </c>
      <c r="AL31">
        <f>[8]CRP_Outcome_ELV!$T31</f>
        <v>8</v>
      </c>
      <c r="AM31">
        <f>[8]CRP_Outcome_ELV!$U31</f>
        <v>9</v>
      </c>
      <c r="AN31">
        <f>[8]CRP_Outcome_ELV!$V31</f>
        <v>12</v>
      </c>
      <c r="AP31">
        <f>[9]CRP_Outcome_ELV!$S31</f>
        <v>4</v>
      </c>
      <c r="AQ31">
        <f>[9]CRP_Outcome_ELV!$T31</f>
        <v>0</v>
      </c>
      <c r="AR31">
        <f>[9]CRP_Outcome_ELV!$U31</f>
        <v>13</v>
      </c>
      <c r="AS31">
        <f>[9]CRP_Outcome_ELV!$V31</f>
        <v>13</v>
      </c>
      <c r="AU31">
        <f>[10]CRP_Outcome_ELV!$S31</f>
        <v>16</v>
      </c>
      <c r="AV31">
        <f>[10]CRP_Outcome_ELV!$T31</f>
        <v>17</v>
      </c>
      <c r="AW31">
        <f>[10]CRP_Outcome_ELV!$U31</f>
        <v>13</v>
      </c>
      <c r="AX31">
        <f>[10]CRP_Outcome_ELV!$V31</f>
        <v>16</v>
      </c>
      <c r="BA31">
        <f>[1]CRP_Outcome_ELV!$S31</f>
        <v>1</v>
      </c>
      <c r="BB31">
        <f>[1]CRP_Outcome_ELV!$T31</f>
        <v>6</v>
      </c>
      <c r="BC31">
        <f>[1]CRP_Outcome_ELV!$U31</f>
        <v>13</v>
      </c>
      <c r="BD31">
        <f>[1]CRP_Outcome_ELV!$V31</f>
        <v>10</v>
      </c>
    </row>
    <row r="32" spans="1:56" x14ac:dyDescent="0.35">
      <c r="A32">
        <v>30</v>
      </c>
      <c r="B32">
        <f>[1]CRP_Outcome_ELV!$S32</f>
        <v>10</v>
      </c>
      <c r="C32">
        <f>[1]CRP_Outcome_ELV!$T32</f>
        <v>0</v>
      </c>
      <c r="D32">
        <f>[1]CRP_Outcome_ELV!$U32</f>
        <v>13</v>
      </c>
      <c r="E32">
        <f>[1]CRP_Outcome_ELV!$V32</f>
        <v>13</v>
      </c>
      <c r="G32">
        <f>[2]CRP_Outcome_ELV!$S32</f>
        <v>5</v>
      </c>
      <c r="H32">
        <f>[2]CRP_Outcome_ELV!$T32</f>
        <v>0</v>
      </c>
      <c r="I32">
        <f>[2]CRP_Outcome_ELV!$U32</f>
        <v>13</v>
      </c>
      <c r="J32">
        <f>[2]CRP_Outcome_ELV!$V32</f>
        <v>16</v>
      </c>
      <c r="L32">
        <f>[3]CRP_Outcome_ELV!$S32</f>
        <v>7</v>
      </c>
      <c r="M32">
        <f>[3]CRP_Outcome_ELV!$T32</f>
        <v>2</v>
      </c>
      <c r="N32">
        <f>[3]CRP_Outcome_ELV!$U32</f>
        <v>13</v>
      </c>
      <c r="O32">
        <f>[3]CRP_Outcome_ELV!$V32</f>
        <v>16</v>
      </c>
      <c r="Q32">
        <f>[4]CRP_Outcome_ELV!$S32</f>
        <v>13</v>
      </c>
      <c r="R32">
        <f>[4]CRP_Outcome_ELV!$T32</f>
        <v>26</v>
      </c>
      <c r="S32">
        <f>[4]CRP_Outcome_ELV!$U32</f>
        <v>13</v>
      </c>
      <c r="T32">
        <f>[4]CRP_Outcome_ELV!$V32</f>
        <v>7</v>
      </c>
      <c r="V32">
        <f>[5]CRP_Outcome_ELV!$S32</f>
        <v>20</v>
      </c>
      <c r="W32">
        <f>[5]CRP_Outcome_ELV!$T32</f>
        <v>12</v>
      </c>
      <c r="X32">
        <f>[5]CRP_Outcome_ELV!$U32</f>
        <v>10</v>
      </c>
      <c r="Y32">
        <f>[5]CRP_Outcome_ELV!$V32</f>
        <v>8</v>
      </c>
      <c r="AA32">
        <f>[6]CRP_Outcome_ELV!$S32</f>
        <v>12</v>
      </c>
      <c r="AB32">
        <f>[6]CRP_Outcome_ELV!$T32</f>
        <v>14</v>
      </c>
      <c r="AC32">
        <f>[6]CRP_Outcome_ELV!$U32</f>
        <v>13</v>
      </c>
      <c r="AD32">
        <f>[6]CRP_Outcome_ELV!$V32</f>
        <v>3</v>
      </c>
      <c r="AF32">
        <f>[7]CRP_Outcome_ELV!$S32</f>
        <v>20</v>
      </c>
      <c r="AG32">
        <f>[7]CRP_Outcome_ELV!$T32</f>
        <v>12</v>
      </c>
      <c r="AH32">
        <f>[7]CRP_Outcome_ELV!$U32</f>
        <v>13</v>
      </c>
      <c r="AI32">
        <f>[7]CRP_Outcome_ELV!$V32</f>
        <v>4</v>
      </c>
      <c r="AK32">
        <f>[8]CRP_Outcome_ELV!$S32</f>
        <v>12</v>
      </c>
      <c r="AL32">
        <f>[8]CRP_Outcome_ELV!$T32</f>
        <v>3</v>
      </c>
      <c r="AM32">
        <f>[8]CRP_Outcome_ELV!$U32</f>
        <v>7</v>
      </c>
      <c r="AN32">
        <f>[8]CRP_Outcome_ELV!$V32</f>
        <v>14</v>
      </c>
      <c r="AP32">
        <f>[9]CRP_Outcome_ELV!$S32</f>
        <v>6</v>
      </c>
      <c r="AQ32">
        <f>[9]CRP_Outcome_ELV!$T32</f>
        <v>4</v>
      </c>
      <c r="AR32">
        <f>[9]CRP_Outcome_ELV!$U32</f>
        <v>13</v>
      </c>
      <c r="AS32">
        <f>[9]CRP_Outcome_ELV!$V32</f>
        <v>13</v>
      </c>
      <c r="AU32">
        <f>[10]CRP_Outcome_ELV!$S32</f>
        <v>10</v>
      </c>
      <c r="AV32">
        <f>[10]CRP_Outcome_ELV!$T32</f>
        <v>2</v>
      </c>
      <c r="AW32">
        <f>[10]CRP_Outcome_ELV!$U32</f>
        <v>13</v>
      </c>
      <c r="AX32">
        <f>[10]CRP_Outcome_ELV!$V32</f>
        <v>16</v>
      </c>
      <c r="BA32">
        <f>[1]CRP_Outcome_ELV!$S32</f>
        <v>10</v>
      </c>
      <c r="BB32">
        <f>[1]CRP_Outcome_ELV!$T32</f>
        <v>0</v>
      </c>
      <c r="BC32">
        <f>[1]CRP_Outcome_ELV!$U32</f>
        <v>13</v>
      </c>
      <c r="BD32">
        <f>[1]CRP_Outcome_ELV!$V32</f>
        <v>13</v>
      </c>
    </row>
    <row r="33" spans="1:56" x14ac:dyDescent="0.35">
      <c r="A33">
        <v>31</v>
      </c>
      <c r="B33">
        <f>[1]CRP_Outcome_ELV!$S33</f>
        <v>10</v>
      </c>
      <c r="C33">
        <f>[1]CRP_Outcome_ELV!$T33</f>
        <v>0</v>
      </c>
      <c r="D33">
        <f>[1]CRP_Outcome_ELV!$U33</f>
        <v>13</v>
      </c>
      <c r="E33">
        <f>[1]CRP_Outcome_ELV!$V33</f>
        <v>15</v>
      </c>
      <c r="G33">
        <f>[2]CRP_Outcome_ELV!$S33</f>
        <v>19</v>
      </c>
      <c r="H33">
        <f>[2]CRP_Outcome_ELV!$T33</f>
        <v>12</v>
      </c>
      <c r="I33">
        <f>[2]CRP_Outcome_ELV!$U33</f>
        <v>13</v>
      </c>
      <c r="J33">
        <f>[2]CRP_Outcome_ELV!$V33</f>
        <v>13</v>
      </c>
      <c r="L33">
        <f>[3]CRP_Outcome_ELV!$S33</f>
        <v>23</v>
      </c>
      <c r="M33">
        <f>[3]CRP_Outcome_ELV!$T33</f>
        <v>0</v>
      </c>
      <c r="N33">
        <f>[3]CRP_Outcome_ELV!$U33</f>
        <v>12</v>
      </c>
      <c r="O33">
        <f>[3]CRP_Outcome_ELV!$V33</f>
        <v>14</v>
      </c>
      <c r="Q33">
        <f>[4]CRP_Outcome_ELV!$S33</f>
        <v>19</v>
      </c>
      <c r="R33">
        <f>[4]CRP_Outcome_ELV!$T33</f>
        <v>22</v>
      </c>
      <c r="S33">
        <f>[4]CRP_Outcome_ELV!$U33</f>
        <v>12</v>
      </c>
      <c r="T33">
        <f>[4]CRP_Outcome_ELV!$V33</f>
        <v>7</v>
      </c>
      <c r="V33">
        <f>[5]CRP_Outcome_ELV!$S33</f>
        <v>16</v>
      </c>
      <c r="W33">
        <f>[5]CRP_Outcome_ELV!$T33</f>
        <v>14</v>
      </c>
      <c r="X33">
        <f>[5]CRP_Outcome_ELV!$U33</f>
        <v>10</v>
      </c>
      <c r="Y33">
        <f>[5]CRP_Outcome_ELV!$V33</f>
        <v>6</v>
      </c>
      <c r="AA33">
        <f>[6]CRP_Outcome_ELV!$S33</f>
        <v>11</v>
      </c>
      <c r="AB33">
        <f>[6]CRP_Outcome_ELV!$T33</f>
        <v>30</v>
      </c>
      <c r="AC33">
        <f>[6]CRP_Outcome_ELV!$U33</f>
        <v>13</v>
      </c>
      <c r="AD33">
        <f>[6]CRP_Outcome_ELV!$V33</f>
        <v>3</v>
      </c>
      <c r="AF33">
        <f>[7]CRP_Outcome_ELV!$S33</f>
        <v>13</v>
      </c>
      <c r="AG33">
        <f>[7]CRP_Outcome_ELV!$T33</f>
        <v>20</v>
      </c>
      <c r="AH33">
        <f>[7]CRP_Outcome_ELV!$U33</f>
        <v>13</v>
      </c>
      <c r="AI33">
        <f>[7]CRP_Outcome_ELV!$V33</f>
        <v>13</v>
      </c>
      <c r="AK33">
        <f>[8]CRP_Outcome_ELV!$S33</f>
        <v>13</v>
      </c>
      <c r="AL33">
        <f>[8]CRP_Outcome_ELV!$T33</f>
        <v>12</v>
      </c>
      <c r="AM33">
        <f>[8]CRP_Outcome_ELV!$U33</f>
        <v>10</v>
      </c>
      <c r="AN33">
        <f>[8]CRP_Outcome_ELV!$V33</f>
        <v>7</v>
      </c>
      <c r="AP33">
        <f>[9]CRP_Outcome_ELV!$S33</f>
        <v>7</v>
      </c>
      <c r="AQ33">
        <f>[9]CRP_Outcome_ELV!$T33</f>
        <v>12</v>
      </c>
      <c r="AR33">
        <f>[9]CRP_Outcome_ELV!$U33</f>
        <v>13</v>
      </c>
      <c r="AS33">
        <f>[9]CRP_Outcome_ELV!$V33</f>
        <v>11</v>
      </c>
      <c r="AU33">
        <f>[10]CRP_Outcome_ELV!$S33</f>
        <v>29</v>
      </c>
      <c r="AV33">
        <f>[10]CRP_Outcome_ELV!$T33</f>
        <v>2</v>
      </c>
      <c r="AW33">
        <f>[10]CRP_Outcome_ELV!$U33</f>
        <v>12</v>
      </c>
      <c r="AX33">
        <f>[10]CRP_Outcome_ELV!$V33</f>
        <v>9</v>
      </c>
      <c r="BA33">
        <f>[1]CRP_Outcome_ELV!$S33</f>
        <v>10</v>
      </c>
      <c r="BB33">
        <f>[1]CRP_Outcome_ELV!$T33</f>
        <v>0</v>
      </c>
      <c r="BC33">
        <f>[1]CRP_Outcome_ELV!$U33</f>
        <v>13</v>
      </c>
      <c r="BD33">
        <f>[1]CRP_Outcome_ELV!$V33</f>
        <v>15</v>
      </c>
    </row>
    <row r="34" spans="1:56" x14ac:dyDescent="0.35">
      <c r="A34">
        <v>32</v>
      </c>
      <c r="B34">
        <f>[1]CRP_Outcome_ELV!$S34</f>
        <v>17</v>
      </c>
      <c r="C34">
        <f>[1]CRP_Outcome_ELV!$T34</f>
        <v>14</v>
      </c>
      <c r="D34">
        <f>[1]CRP_Outcome_ELV!$U34</f>
        <v>13</v>
      </c>
      <c r="E34">
        <f>[1]CRP_Outcome_ELV!$V34</f>
        <v>8</v>
      </c>
      <c r="G34">
        <f>[2]CRP_Outcome_ELV!$S34</f>
        <v>21</v>
      </c>
      <c r="H34">
        <f>[2]CRP_Outcome_ELV!$T34</f>
        <v>30</v>
      </c>
      <c r="I34">
        <f>[2]CRP_Outcome_ELV!$U34</f>
        <v>12</v>
      </c>
      <c r="J34">
        <f>[2]CRP_Outcome_ELV!$V34</f>
        <v>10</v>
      </c>
      <c r="L34">
        <f>[3]CRP_Outcome_ELV!$S34</f>
        <v>18</v>
      </c>
      <c r="M34">
        <f>[3]CRP_Outcome_ELV!$T34</f>
        <v>44</v>
      </c>
      <c r="N34">
        <f>[3]CRP_Outcome_ELV!$U34</f>
        <v>12</v>
      </c>
      <c r="O34">
        <f>[3]CRP_Outcome_ELV!$V34</f>
        <v>8</v>
      </c>
      <c r="Q34">
        <f>[4]CRP_Outcome_ELV!$S34</f>
        <v>2</v>
      </c>
      <c r="R34">
        <f>[4]CRP_Outcome_ELV!$T34</f>
        <v>12</v>
      </c>
      <c r="S34">
        <f>[4]CRP_Outcome_ELV!$U34</f>
        <v>12</v>
      </c>
      <c r="T34">
        <f>[4]CRP_Outcome_ELV!$V34</f>
        <v>14</v>
      </c>
      <c r="V34">
        <f>[5]CRP_Outcome_ELV!$S34</f>
        <v>2</v>
      </c>
      <c r="W34">
        <f>[5]CRP_Outcome_ELV!$T34</f>
        <v>19</v>
      </c>
      <c r="X34">
        <f>[5]CRP_Outcome_ELV!$U34</f>
        <v>10</v>
      </c>
      <c r="Y34">
        <f>[5]CRP_Outcome_ELV!$V34</f>
        <v>7</v>
      </c>
      <c r="AA34">
        <f>[6]CRP_Outcome_ELV!$S34</f>
        <v>0</v>
      </c>
      <c r="AB34">
        <f>[6]CRP_Outcome_ELV!$T34</f>
        <v>34</v>
      </c>
      <c r="AC34">
        <f>[6]CRP_Outcome_ELV!$U34</f>
        <v>14</v>
      </c>
      <c r="AD34">
        <f>[6]CRP_Outcome_ELV!$V34</f>
        <v>15</v>
      </c>
      <c r="AF34">
        <f>[7]CRP_Outcome_ELV!$S34</f>
        <v>0</v>
      </c>
      <c r="AG34">
        <f>[7]CRP_Outcome_ELV!$T34</f>
        <v>27</v>
      </c>
      <c r="AH34">
        <f>[7]CRP_Outcome_ELV!$U34</f>
        <v>13</v>
      </c>
      <c r="AI34">
        <f>[7]CRP_Outcome_ELV!$V34</f>
        <v>6</v>
      </c>
      <c r="AK34">
        <f>[8]CRP_Outcome_ELV!$S34</f>
        <v>16</v>
      </c>
      <c r="AL34">
        <f>[8]CRP_Outcome_ELV!$T34</f>
        <v>12</v>
      </c>
      <c r="AM34">
        <f>[8]CRP_Outcome_ELV!$U34</f>
        <v>10</v>
      </c>
      <c r="AN34">
        <f>[8]CRP_Outcome_ELV!$V34</f>
        <v>5</v>
      </c>
      <c r="AP34">
        <f>[9]CRP_Outcome_ELV!$S34</f>
        <v>9</v>
      </c>
      <c r="AQ34">
        <f>[9]CRP_Outcome_ELV!$T34</f>
        <v>0</v>
      </c>
      <c r="AR34">
        <f>[9]CRP_Outcome_ELV!$U34</f>
        <v>13</v>
      </c>
      <c r="AS34">
        <f>[9]CRP_Outcome_ELV!$V34</f>
        <v>9</v>
      </c>
      <c r="AU34">
        <f>[10]CRP_Outcome_ELV!$S34</f>
        <v>23</v>
      </c>
      <c r="AV34">
        <f>[10]CRP_Outcome_ELV!$T34</f>
        <v>8</v>
      </c>
      <c r="AW34">
        <f>[10]CRP_Outcome_ELV!$U34</f>
        <v>12</v>
      </c>
      <c r="AX34">
        <f>[10]CRP_Outcome_ELV!$V34</f>
        <v>5</v>
      </c>
      <c r="BA34">
        <f>[1]CRP_Outcome_ELV!$S34</f>
        <v>17</v>
      </c>
      <c r="BB34">
        <f>[1]CRP_Outcome_ELV!$T34</f>
        <v>14</v>
      </c>
      <c r="BC34">
        <f>[1]CRP_Outcome_ELV!$U34</f>
        <v>13</v>
      </c>
      <c r="BD34">
        <f>[1]CRP_Outcome_ELV!$V34</f>
        <v>8</v>
      </c>
    </row>
    <row r="35" spans="1:56" x14ac:dyDescent="0.35">
      <c r="A35">
        <v>33</v>
      </c>
      <c r="B35">
        <f>[1]CRP_Outcome_ELV!$S35</f>
        <v>18</v>
      </c>
      <c r="C35">
        <f>[1]CRP_Outcome_ELV!$T35</f>
        <v>16</v>
      </c>
      <c r="D35">
        <f>[1]CRP_Outcome_ELV!$U35</f>
        <v>12</v>
      </c>
      <c r="E35">
        <f>[1]CRP_Outcome_ELV!$V35</f>
        <v>11</v>
      </c>
      <c r="G35">
        <f>[2]CRP_Outcome_ELV!$S35</f>
        <v>5</v>
      </c>
      <c r="H35">
        <f>[2]CRP_Outcome_ELV!$T35</f>
        <v>50</v>
      </c>
      <c r="I35">
        <f>[2]CRP_Outcome_ELV!$U35</f>
        <v>12</v>
      </c>
      <c r="J35">
        <f>[2]CRP_Outcome_ELV!$V35</f>
        <v>8</v>
      </c>
      <c r="L35">
        <f>[3]CRP_Outcome_ELV!$S35</f>
        <v>15</v>
      </c>
      <c r="M35">
        <f>[3]CRP_Outcome_ELV!$T35</f>
        <v>22</v>
      </c>
      <c r="N35">
        <f>[3]CRP_Outcome_ELV!$U35</f>
        <v>13</v>
      </c>
      <c r="O35">
        <f>[3]CRP_Outcome_ELV!$V35</f>
        <v>4</v>
      </c>
      <c r="Q35">
        <f>[4]CRP_Outcome_ELV!$S35</f>
        <v>5</v>
      </c>
      <c r="R35">
        <f>[4]CRP_Outcome_ELV!$T35</f>
        <v>5</v>
      </c>
      <c r="S35">
        <f>[4]CRP_Outcome_ELV!$U35</f>
        <v>13</v>
      </c>
      <c r="T35">
        <f>[4]CRP_Outcome_ELV!$V35</f>
        <v>10</v>
      </c>
      <c r="V35">
        <f>[5]CRP_Outcome_ELV!$S35</f>
        <v>7</v>
      </c>
      <c r="W35">
        <f>[5]CRP_Outcome_ELV!$T35</f>
        <v>8</v>
      </c>
      <c r="X35">
        <f>[5]CRP_Outcome_ELV!$U35</f>
        <v>10</v>
      </c>
      <c r="Y35">
        <f>[5]CRP_Outcome_ELV!$V35</f>
        <v>14</v>
      </c>
      <c r="AA35">
        <f>[6]CRP_Outcome_ELV!$S35</f>
        <v>10</v>
      </c>
      <c r="AB35">
        <f>[6]CRP_Outcome_ELV!$T35</f>
        <v>0</v>
      </c>
      <c r="AC35">
        <f>[6]CRP_Outcome_ELV!$U35</f>
        <v>13</v>
      </c>
      <c r="AD35">
        <f>[6]CRP_Outcome_ELV!$V35</f>
        <v>16</v>
      </c>
      <c r="AF35">
        <f>[7]CRP_Outcome_ELV!$S35</f>
        <v>16</v>
      </c>
      <c r="AG35">
        <f>[7]CRP_Outcome_ELV!$T35</f>
        <v>0</v>
      </c>
      <c r="AH35">
        <f>[7]CRP_Outcome_ELV!$U35</f>
        <v>13</v>
      </c>
      <c r="AI35">
        <f>[7]CRP_Outcome_ELV!$V35</f>
        <v>14</v>
      </c>
      <c r="AK35">
        <f>[8]CRP_Outcome_ELV!$S35</f>
        <v>3</v>
      </c>
      <c r="AL35">
        <f>[8]CRP_Outcome_ELV!$T35</f>
        <v>15</v>
      </c>
      <c r="AM35">
        <f>[8]CRP_Outcome_ELV!$U35</f>
        <v>10</v>
      </c>
      <c r="AN35">
        <f>[8]CRP_Outcome_ELV!$V35</f>
        <v>10</v>
      </c>
      <c r="AP35">
        <f>[9]CRP_Outcome_ELV!$S35</f>
        <v>2</v>
      </c>
      <c r="AQ35">
        <f>[9]CRP_Outcome_ELV!$T35</f>
        <v>12</v>
      </c>
      <c r="AR35">
        <f>[9]CRP_Outcome_ELV!$U35</f>
        <v>13</v>
      </c>
      <c r="AS35">
        <f>[9]CRP_Outcome_ELV!$V35</f>
        <v>8</v>
      </c>
      <c r="AU35">
        <f>[10]CRP_Outcome_ELV!$S35</f>
        <v>0</v>
      </c>
      <c r="AV35">
        <f>[10]CRP_Outcome_ELV!$T35</f>
        <v>24</v>
      </c>
      <c r="AW35">
        <f>[10]CRP_Outcome_ELV!$U35</f>
        <v>13</v>
      </c>
      <c r="AX35">
        <f>[10]CRP_Outcome_ELV!$V35</f>
        <v>3</v>
      </c>
      <c r="BA35">
        <f>[1]CRP_Outcome_ELV!$S35</f>
        <v>18</v>
      </c>
      <c r="BB35">
        <f>[1]CRP_Outcome_ELV!$T35</f>
        <v>16</v>
      </c>
      <c r="BC35">
        <f>[1]CRP_Outcome_ELV!$U35</f>
        <v>12</v>
      </c>
      <c r="BD35">
        <f>[1]CRP_Outcome_ELV!$V35</f>
        <v>11</v>
      </c>
    </row>
    <row r="36" spans="1:56" x14ac:dyDescent="0.35">
      <c r="A36">
        <v>34</v>
      </c>
      <c r="B36">
        <f>[1]CRP_Outcome_ELV!$S36</f>
        <v>2</v>
      </c>
      <c r="C36">
        <f>[1]CRP_Outcome_ELV!$T36</f>
        <v>16</v>
      </c>
      <c r="D36">
        <f>[1]CRP_Outcome_ELV!$U36</f>
        <v>12</v>
      </c>
      <c r="E36">
        <f>[1]CRP_Outcome_ELV!$V36</f>
        <v>10</v>
      </c>
      <c r="G36">
        <f>[2]CRP_Outcome_ELV!$S36</f>
        <v>1</v>
      </c>
      <c r="H36">
        <f>[2]CRP_Outcome_ELV!$T36</f>
        <v>12</v>
      </c>
      <c r="I36">
        <f>[2]CRP_Outcome_ELV!$U36</f>
        <v>13</v>
      </c>
      <c r="J36">
        <f>[2]CRP_Outcome_ELV!$V36</f>
        <v>6</v>
      </c>
      <c r="L36">
        <f>[3]CRP_Outcome_ELV!$S36</f>
        <v>0</v>
      </c>
      <c r="M36">
        <f>[3]CRP_Outcome_ELV!$T36</f>
        <v>21</v>
      </c>
      <c r="N36">
        <f>[3]CRP_Outcome_ELV!$U36</f>
        <v>13</v>
      </c>
      <c r="O36">
        <f>[3]CRP_Outcome_ELV!$V36</f>
        <v>7</v>
      </c>
      <c r="Q36">
        <f>[4]CRP_Outcome_ELV!$S36</f>
        <v>16</v>
      </c>
      <c r="R36">
        <f>[4]CRP_Outcome_ELV!$T36</f>
        <v>0</v>
      </c>
      <c r="S36">
        <f>[4]CRP_Outcome_ELV!$U36</f>
        <v>13</v>
      </c>
      <c r="T36">
        <f>[4]CRP_Outcome_ELV!$V36</f>
        <v>13</v>
      </c>
      <c r="V36">
        <f>[5]CRP_Outcome_ELV!$S36</f>
        <v>12</v>
      </c>
      <c r="W36">
        <f>[5]CRP_Outcome_ELV!$T36</f>
        <v>0</v>
      </c>
      <c r="X36">
        <f>[5]CRP_Outcome_ELV!$U36</f>
        <v>9</v>
      </c>
      <c r="Y36">
        <f>[5]CRP_Outcome_ELV!$V36</f>
        <v>16</v>
      </c>
      <c r="AA36">
        <f>[6]CRP_Outcome_ELV!$S36</f>
        <v>18</v>
      </c>
      <c r="AB36">
        <f>[6]CRP_Outcome_ELV!$T36</f>
        <v>0</v>
      </c>
      <c r="AC36">
        <f>[6]CRP_Outcome_ELV!$U36</f>
        <v>13</v>
      </c>
      <c r="AD36">
        <f>[6]CRP_Outcome_ELV!$V36</f>
        <v>15</v>
      </c>
      <c r="AF36">
        <f>[7]CRP_Outcome_ELV!$S36</f>
        <v>1</v>
      </c>
      <c r="AG36">
        <f>[7]CRP_Outcome_ELV!$T36</f>
        <v>0</v>
      </c>
      <c r="AH36">
        <f>[7]CRP_Outcome_ELV!$U36</f>
        <v>14</v>
      </c>
      <c r="AI36">
        <f>[7]CRP_Outcome_ELV!$V36</f>
        <v>15</v>
      </c>
      <c r="AK36">
        <f>[8]CRP_Outcome_ELV!$S36</f>
        <v>5</v>
      </c>
      <c r="AL36">
        <f>[8]CRP_Outcome_ELV!$T36</f>
        <v>12</v>
      </c>
      <c r="AM36">
        <f>[8]CRP_Outcome_ELV!$U36</f>
        <v>11</v>
      </c>
      <c r="AN36">
        <f>[8]CRP_Outcome_ELV!$V36</f>
        <v>10</v>
      </c>
      <c r="AP36">
        <f>[9]CRP_Outcome_ELV!$S36</f>
        <v>14</v>
      </c>
      <c r="AQ36">
        <f>[9]CRP_Outcome_ELV!$T36</f>
        <v>12</v>
      </c>
      <c r="AR36">
        <f>[9]CRP_Outcome_ELV!$U36</f>
        <v>13</v>
      </c>
      <c r="AS36">
        <f>[9]CRP_Outcome_ELV!$V36</f>
        <v>10</v>
      </c>
      <c r="AU36">
        <f>[10]CRP_Outcome_ELV!$S36</f>
        <v>2</v>
      </c>
      <c r="AV36">
        <f>[10]CRP_Outcome_ELV!$T36</f>
        <v>26</v>
      </c>
      <c r="AW36">
        <f>[10]CRP_Outcome_ELV!$U36</f>
        <v>13</v>
      </c>
      <c r="AX36">
        <f>[10]CRP_Outcome_ELV!$V36</f>
        <v>7</v>
      </c>
      <c r="BA36">
        <f>[1]CRP_Outcome_ELV!$S36</f>
        <v>2</v>
      </c>
      <c r="BB36">
        <f>[1]CRP_Outcome_ELV!$T36</f>
        <v>16</v>
      </c>
      <c r="BC36">
        <f>[1]CRP_Outcome_ELV!$U36</f>
        <v>12</v>
      </c>
      <c r="BD36">
        <f>[1]CRP_Outcome_ELV!$V36</f>
        <v>10</v>
      </c>
    </row>
    <row r="37" spans="1:56" x14ac:dyDescent="0.35">
      <c r="A37">
        <v>35</v>
      </c>
      <c r="B37">
        <f>[1]CRP_Outcome_ELV!$S37</f>
        <v>9</v>
      </c>
      <c r="C37">
        <f>[1]CRP_Outcome_ELV!$T37</f>
        <v>7</v>
      </c>
      <c r="D37">
        <f>[1]CRP_Outcome_ELV!$U37</f>
        <v>13</v>
      </c>
      <c r="E37">
        <f>[1]CRP_Outcome_ELV!$V37</f>
        <v>9</v>
      </c>
      <c r="G37">
        <f>[2]CRP_Outcome_ELV!$S37</f>
        <v>2</v>
      </c>
      <c r="H37">
        <f>[2]CRP_Outcome_ELV!$T37</f>
        <v>0</v>
      </c>
      <c r="I37">
        <f>[2]CRP_Outcome_ELV!$U37</f>
        <v>13</v>
      </c>
      <c r="J37">
        <f>[2]CRP_Outcome_ELV!$V37</f>
        <v>10</v>
      </c>
      <c r="L37">
        <f>[3]CRP_Outcome_ELV!$S37</f>
        <v>2</v>
      </c>
      <c r="M37">
        <f>[3]CRP_Outcome_ELV!$T37</f>
        <v>0</v>
      </c>
      <c r="N37">
        <f>[3]CRP_Outcome_ELV!$U37</f>
        <v>13</v>
      </c>
      <c r="O37">
        <f>[3]CRP_Outcome_ELV!$V37</f>
        <v>14</v>
      </c>
      <c r="Q37">
        <f>[4]CRP_Outcome_ELV!$S37</f>
        <v>9</v>
      </c>
      <c r="R37">
        <f>[4]CRP_Outcome_ELV!$T37</f>
        <v>14</v>
      </c>
      <c r="S37">
        <f>[4]CRP_Outcome_ELV!$U37</f>
        <v>13</v>
      </c>
      <c r="T37">
        <f>[4]CRP_Outcome_ELV!$V37</f>
        <v>11</v>
      </c>
      <c r="V37">
        <f>[5]CRP_Outcome_ELV!$S37</f>
        <v>16</v>
      </c>
      <c r="W37">
        <f>[5]CRP_Outcome_ELV!$T37</f>
        <v>8</v>
      </c>
      <c r="X37">
        <f>[5]CRP_Outcome_ELV!$U37</f>
        <v>10</v>
      </c>
      <c r="Y37">
        <f>[5]CRP_Outcome_ELV!$V37</f>
        <v>11</v>
      </c>
      <c r="AA37">
        <f>[6]CRP_Outcome_ELV!$S37</f>
        <v>13</v>
      </c>
      <c r="AB37">
        <f>[6]CRP_Outcome_ELV!$T37</f>
        <v>12</v>
      </c>
      <c r="AC37">
        <f>[6]CRP_Outcome_ELV!$U37</f>
        <v>13</v>
      </c>
      <c r="AD37">
        <f>[6]CRP_Outcome_ELV!$V37</f>
        <v>4</v>
      </c>
      <c r="AF37">
        <f>[7]CRP_Outcome_ELV!$S37</f>
        <v>20</v>
      </c>
      <c r="AG37">
        <f>[7]CRP_Outcome_ELV!$T37</f>
        <v>12</v>
      </c>
      <c r="AH37">
        <f>[7]CRP_Outcome_ELV!$U37</f>
        <v>13</v>
      </c>
      <c r="AI37">
        <f>[7]CRP_Outcome_ELV!$V37</f>
        <v>5</v>
      </c>
      <c r="AK37">
        <f>[8]CRP_Outcome_ELV!$S37</f>
        <v>12</v>
      </c>
      <c r="AL37">
        <f>[8]CRP_Outcome_ELV!$T37</f>
        <v>1</v>
      </c>
      <c r="AM37">
        <f>[8]CRP_Outcome_ELV!$U37</f>
        <v>9</v>
      </c>
      <c r="AN37">
        <f>[8]CRP_Outcome_ELV!$V37</f>
        <v>15</v>
      </c>
      <c r="AP37">
        <f>[9]CRP_Outcome_ELV!$S37</f>
        <v>4</v>
      </c>
      <c r="AQ37">
        <f>[9]CRP_Outcome_ELV!$T37</f>
        <v>0</v>
      </c>
      <c r="AR37">
        <f>[9]CRP_Outcome_ELV!$U37</f>
        <v>13</v>
      </c>
      <c r="AS37">
        <f>[9]CRP_Outcome_ELV!$V37</f>
        <v>13</v>
      </c>
      <c r="AU37">
        <f>[10]CRP_Outcome_ELV!$S37</f>
        <v>5</v>
      </c>
      <c r="AV37">
        <f>[10]CRP_Outcome_ELV!$T37</f>
        <v>1</v>
      </c>
      <c r="AW37">
        <f>[10]CRP_Outcome_ELV!$U37</f>
        <v>13</v>
      </c>
      <c r="AX37">
        <f>[10]CRP_Outcome_ELV!$V37</f>
        <v>16</v>
      </c>
      <c r="BA37">
        <f>[1]CRP_Outcome_ELV!$S37</f>
        <v>9</v>
      </c>
      <c r="BB37">
        <f>[1]CRP_Outcome_ELV!$T37</f>
        <v>7</v>
      </c>
      <c r="BC37">
        <f>[1]CRP_Outcome_ELV!$U37</f>
        <v>13</v>
      </c>
      <c r="BD37">
        <f>[1]CRP_Outcome_ELV!$V37</f>
        <v>9</v>
      </c>
    </row>
    <row r="38" spans="1:56" x14ac:dyDescent="0.35">
      <c r="A38">
        <v>36</v>
      </c>
      <c r="B38">
        <f>[1]CRP_Outcome_ELV!$S38</f>
        <v>8</v>
      </c>
      <c r="C38">
        <f>[1]CRP_Outcome_ELV!$T38</f>
        <v>0</v>
      </c>
      <c r="D38">
        <f>[1]CRP_Outcome_ELV!$U38</f>
        <v>13</v>
      </c>
      <c r="E38">
        <f>[1]CRP_Outcome_ELV!$V38</f>
        <v>13</v>
      </c>
      <c r="G38">
        <f>[2]CRP_Outcome_ELV!$S38</f>
        <v>4</v>
      </c>
      <c r="H38">
        <f>[2]CRP_Outcome_ELV!$T38</f>
        <v>0</v>
      </c>
      <c r="I38">
        <f>[2]CRP_Outcome_ELV!$U38</f>
        <v>13</v>
      </c>
      <c r="J38">
        <f>[2]CRP_Outcome_ELV!$V38</f>
        <v>15</v>
      </c>
      <c r="L38">
        <f>[3]CRP_Outcome_ELV!$S38</f>
        <v>7</v>
      </c>
      <c r="M38">
        <f>[3]CRP_Outcome_ELV!$T38</f>
        <v>0</v>
      </c>
      <c r="N38">
        <f>[3]CRP_Outcome_ELV!$U38</f>
        <v>13</v>
      </c>
      <c r="O38">
        <f>[3]CRP_Outcome_ELV!$V38</f>
        <v>16</v>
      </c>
      <c r="Q38">
        <f>[4]CRP_Outcome_ELV!$S38</f>
        <v>16</v>
      </c>
      <c r="R38">
        <f>[4]CRP_Outcome_ELV!$T38</f>
        <v>21</v>
      </c>
      <c r="S38">
        <f>[4]CRP_Outcome_ELV!$U38</f>
        <v>13</v>
      </c>
      <c r="T38">
        <f>[4]CRP_Outcome_ELV!$V38</f>
        <v>8</v>
      </c>
      <c r="V38">
        <f>[5]CRP_Outcome_ELV!$S38</f>
        <v>19</v>
      </c>
      <c r="W38">
        <f>[5]CRP_Outcome_ELV!$T38</f>
        <v>12</v>
      </c>
      <c r="X38">
        <f>[5]CRP_Outcome_ELV!$U38</f>
        <v>10</v>
      </c>
      <c r="Y38">
        <f>[5]CRP_Outcome_ELV!$V38</f>
        <v>6</v>
      </c>
      <c r="AA38">
        <f>[6]CRP_Outcome_ELV!$S38</f>
        <v>11</v>
      </c>
      <c r="AB38">
        <f>[6]CRP_Outcome_ELV!$T38</f>
        <v>33</v>
      </c>
      <c r="AC38">
        <f>[6]CRP_Outcome_ELV!$U38</f>
        <v>13</v>
      </c>
      <c r="AD38">
        <f>[6]CRP_Outcome_ELV!$V38</f>
        <v>3</v>
      </c>
      <c r="AF38">
        <f>[7]CRP_Outcome_ELV!$S38</f>
        <v>15</v>
      </c>
      <c r="AG38">
        <f>[7]CRP_Outcome_ELV!$T38</f>
        <v>12</v>
      </c>
      <c r="AH38">
        <f>[7]CRP_Outcome_ELV!$U38</f>
        <v>13</v>
      </c>
      <c r="AI38">
        <f>[7]CRP_Outcome_ELV!$V38</f>
        <v>15</v>
      </c>
      <c r="AK38">
        <f>[8]CRP_Outcome_ELV!$S38</f>
        <v>12</v>
      </c>
      <c r="AL38">
        <f>[8]CRP_Outcome_ELV!$T38</f>
        <v>5</v>
      </c>
      <c r="AM38">
        <f>[8]CRP_Outcome_ELV!$U38</f>
        <v>9</v>
      </c>
      <c r="AN38">
        <f>[8]CRP_Outcome_ELV!$V38</f>
        <v>13</v>
      </c>
      <c r="AP38">
        <f>[9]CRP_Outcome_ELV!$S38</f>
        <v>6</v>
      </c>
      <c r="AQ38">
        <f>[9]CRP_Outcome_ELV!$T38</f>
        <v>12</v>
      </c>
      <c r="AR38">
        <f>[9]CRP_Outcome_ELV!$U38</f>
        <v>13</v>
      </c>
      <c r="AS38">
        <f>[9]CRP_Outcome_ELV!$V38</f>
        <v>12</v>
      </c>
      <c r="AU38">
        <f>[10]CRP_Outcome_ELV!$S38</f>
        <v>10</v>
      </c>
      <c r="AV38">
        <f>[10]CRP_Outcome_ELV!$T38</f>
        <v>0</v>
      </c>
      <c r="AW38">
        <f>[10]CRP_Outcome_ELV!$U38</f>
        <v>13</v>
      </c>
      <c r="AX38">
        <f>[10]CRP_Outcome_ELV!$V38</f>
        <v>14</v>
      </c>
      <c r="BA38">
        <f>[1]CRP_Outcome_ELV!$S38</f>
        <v>8</v>
      </c>
      <c r="BB38">
        <f>[1]CRP_Outcome_ELV!$T38</f>
        <v>0</v>
      </c>
      <c r="BC38">
        <f>[1]CRP_Outcome_ELV!$U38</f>
        <v>13</v>
      </c>
      <c r="BD38">
        <f>[1]CRP_Outcome_ELV!$V38</f>
        <v>13</v>
      </c>
    </row>
    <row r="40" spans="1:56" x14ac:dyDescent="0.35">
      <c r="A40" t="s">
        <v>9</v>
      </c>
      <c r="B40">
        <f>SUM(B2:B38)</f>
        <v>387</v>
      </c>
      <c r="C40">
        <f t="shared" ref="C40:E40" si="0">SUM(C2:C38)</f>
        <v>382</v>
      </c>
      <c r="D40">
        <f t="shared" si="0"/>
        <v>453</v>
      </c>
      <c r="E40">
        <f t="shared" si="0"/>
        <v>390</v>
      </c>
      <c r="G40">
        <f>SUM(G2:G38)</f>
        <v>359</v>
      </c>
      <c r="H40">
        <f t="shared" ref="H40:J40" si="1">SUM(H2:H38)</f>
        <v>561</v>
      </c>
      <c r="I40">
        <f t="shared" si="1"/>
        <v>450</v>
      </c>
      <c r="J40">
        <f t="shared" si="1"/>
        <v>378</v>
      </c>
      <c r="L40">
        <f>SUM(L2:L38)</f>
        <v>370</v>
      </c>
      <c r="M40">
        <f t="shared" ref="M40:O40" si="2">SUM(M2:M38)</f>
        <v>520</v>
      </c>
      <c r="N40">
        <f t="shared" si="2"/>
        <v>453</v>
      </c>
      <c r="O40">
        <f t="shared" si="2"/>
        <v>379</v>
      </c>
      <c r="Q40">
        <f>SUM(Q2:Q38)</f>
        <v>394</v>
      </c>
      <c r="R40">
        <f t="shared" ref="R40:T40" si="3">SUM(R2:R38)</f>
        <v>428</v>
      </c>
      <c r="S40">
        <f t="shared" si="3"/>
        <v>453</v>
      </c>
      <c r="T40">
        <f t="shared" si="3"/>
        <v>386</v>
      </c>
      <c r="V40">
        <f>SUM(V2:V38)</f>
        <v>427</v>
      </c>
      <c r="W40">
        <f t="shared" ref="W40:Y40" si="4">SUM(W2:W38)</f>
        <v>382</v>
      </c>
      <c r="X40">
        <f t="shared" si="4"/>
        <v>367</v>
      </c>
      <c r="Y40">
        <f t="shared" si="4"/>
        <v>391</v>
      </c>
      <c r="AA40">
        <f>SUM(AA2:AA38)</f>
        <v>377</v>
      </c>
      <c r="AB40">
        <f t="shared" ref="AB40:AD40" si="5">SUM(AB2:AB38)</f>
        <v>509</v>
      </c>
      <c r="AC40">
        <f t="shared" si="5"/>
        <v>467</v>
      </c>
      <c r="AD40">
        <f t="shared" si="5"/>
        <v>374</v>
      </c>
      <c r="AF40">
        <f>SUM(AF2:AF38)</f>
        <v>385</v>
      </c>
      <c r="AG40">
        <f t="shared" ref="AG40:AI40" si="6">SUM(AG2:AG38)</f>
        <v>414</v>
      </c>
      <c r="AH40">
        <f t="shared" si="6"/>
        <v>470</v>
      </c>
      <c r="AI40">
        <f t="shared" si="6"/>
        <v>384</v>
      </c>
      <c r="AK40">
        <f>SUM(AK2:AK38)</f>
        <v>394</v>
      </c>
      <c r="AL40">
        <f t="shared" ref="AL40:AN40" si="7">SUM(AL2:AL38)</f>
        <v>392</v>
      </c>
      <c r="AM40">
        <f t="shared" si="7"/>
        <v>362</v>
      </c>
      <c r="AN40">
        <f t="shared" si="7"/>
        <v>351</v>
      </c>
      <c r="AP40">
        <f>SUM(AP2:AP38)</f>
        <v>310</v>
      </c>
      <c r="AQ40">
        <f t="shared" ref="AQ40:AS40" si="8">SUM(AQ2:AQ38)</f>
        <v>317</v>
      </c>
      <c r="AR40">
        <f t="shared" si="8"/>
        <v>465</v>
      </c>
      <c r="AS40">
        <f t="shared" si="8"/>
        <v>359</v>
      </c>
      <c r="AU40">
        <f>SUM(AU2:AU38)</f>
        <v>459</v>
      </c>
      <c r="AV40">
        <f t="shared" ref="AV40:AX40" si="9">SUM(AV2:AV38)</f>
        <v>570</v>
      </c>
      <c r="AW40">
        <f t="shared" si="9"/>
        <v>452</v>
      </c>
      <c r="AX40">
        <f t="shared" si="9"/>
        <v>350</v>
      </c>
      <c r="BA40">
        <f>SUM(BA2:BA38)</f>
        <v>387</v>
      </c>
      <c r="BB40">
        <f t="shared" ref="BB40:BD40" si="10">SUM(BB2:BB38)</f>
        <v>382</v>
      </c>
      <c r="BC40">
        <f t="shared" si="10"/>
        <v>453</v>
      </c>
      <c r="BD40">
        <f t="shared" si="10"/>
        <v>390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7F40-9658-4F4C-8B59-A1478130C84F}">
  <dimension ref="A1:BD40"/>
  <sheetViews>
    <sheetView topLeftCell="AG1" workbookViewId="0">
      <selection activeCell="AU2" sqref="AU2:AX38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1" max="52" width="8.7265625" style="5"/>
  </cols>
  <sheetData>
    <row r="1" spans="1:56" x14ac:dyDescent="0.35">
      <c r="A1" t="s">
        <v>19</v>
      </c>
      <c r="B1" t="s">
        <v>27</v>
      </c>
      <c r="C1" t="s">
        <v>28</v>
      </c>
      <c r="D1" t="s">
        <v>29</v>
      </c>
      <c r="E1" t="s">
        <v>30</v>
      </c>
      <c r="F1" s="5">
        <v>1</v>
      </c>
      <c r="G1" t="s">
        <v>27</v>
      </c>
      <c r="H1" t="s">
        <v>28</v>
      </c>
      <c r="I1" t="s">
        <v>29</v>
      </c>
      <c r="J1" t="s">
        <v>30</v>
      </c>
      <c r="K1" s="5">
        <v>2</v>
      </c>
      <c r="L1" t="s">
        <v>27</v>
      </c>
      <c r="M1" t="s">
        <v>28</v>
      </c>
      <c r="N1" t="s">
        <v>29</v>
      </c>
      <c r="O1" t="s">
        <v>30</v>
      </c>
      <c r="P1" s="5">
        <v>3</v>
      </c>
      <c r="Q1" t="s">
        <v>27</v>
      </c>
      <c r="R1" t="s">
        <v>28</v>
      </c>
      <c r="S1" t="s">
        <v>29</v>
      </c>
      <c r="T1" t="s">
        <v>30</v>
      </c>
      <c r="U1" s="5">
        <v>4</v>
      </c>
      <c r="V1" t="s">
        <v>27</v>
      </c>
      <c r="W1" t="s">
        <v>28</v>
      </c>
      <c r="X1" t="s">
        <v>29</v>
      </c>
      <c r="Y1" t="s">
        <v>30</v>
      </c>
      <c r="Z1" s="5">
        <v>5</v>
      </c>
      <c r="AA1" t="s">
        <v>27</v>
      </c>
      <c r="AB1" t="s">
        <v>28</v>
      </c>
      <c r="AC1" t="s">
        <v>29</v>
      </c>
      <c r="AD1" t="s">
        <v>30</v>
      </c>
      <c r="AE1" s="5">
        <v>6</v>
      </c>
      <c r="AF1" t="s">
        <v>27</v>
      </c>
      <c r="AG1" t="s">
        <v>28</v>
      </c>
      <c r="AH1" t="s">
        <v>29</v>
      </c>
      <c r="AI1" t="s">
        <v>30</v>
      </c>
      <c r="AJ1" s="5">
        <v>7</v>
      </c>
      <c r="AK1" t="s">
        <v>27</v>
      </c>
      <c r="AL1" t="s">
        <v>28</v>
      </c>
      <c r="AM1" t="s">
        <v>29</v>
      </c>
      <c r="AN1" t="s">
        <v>30</v>
      </c>
      <c r="AO1" s="5">
        <v>8</v>
      </c>
      <c r="AP1" t="s">
        <v>27</v>
      </c>
      <c r="AQ1" t="s">
        <v>28</v>
      </c>
      <c r="AR1" t="s">
        <v>29</v>
      </c>
      <c r="AS1" t="s">
        <v>30</v>
      </c>
      <c r="AT1" s="5">
        <v>9</v>
      </c>
      <c r="AU1" t="s">
        <v>27</v>
      </c>
      <c r="AV1" t="s">
        <v>28</v>
      </c>
      <c r="AW1" t="s">
        <v>29</v>
      </c>
      <c r="AX1" t="s">
        <v>30</v>
      </c>
      <c r="AY1" s="5">
        <v>10</v>
      </c>
      <c r="BA1" t="s">
        <v>40</v>
      </c>
      <c r="BB1" t="s">
        <v>127</v>
      </c>
      <c r="BC1" t="s">
        <v>38</v>
      </c>
      <c r="BD1" t="s">
        <v>128</v>
      </c>
    </row>
    <row r="2" spans="1:56" x14ac:dyDescent="0.35">
      <c r="A2">
        <v>0</v>
      </c>
      <c r="B2">
        <f>[1]CRP_Outcome_ELV!$B2</f>
        <v>0</v>
      </c>
      <c r="C2">
        <f>[1]CRP_Outcome_ELV!$C2</f>
        <v>0</v>
      </c>
      <c r="D2">
        <f>[1]CRP_Outcome_ELV!$D2</f>
        <v>0</v>
      </c>
      <c r="E2">
        <f>[1]CRP_Outcome_ELV!$E2</f>
        <v>0</v>
      </c>
      <c r="G2">
        <f>[2]CRP_Outcome_ELV!$B2</f>
        <v>0</v>
      </c>
      <c r="H2">
        <f>[2]CRP_Outcome_ELV!$C2</f>
        <v>0</v>
      </c>
      <c r="I2">
        <f>[2]CRP_Outcome_ELV!$D2</f>
        <v>0</v>
      </c>
      <c r="J2">
        <f>[2]CRP_Outcome_ELV!$E2</f>
        <v>0</v>
      </c>
      <c r="L2">
        <f>[3]CRP_Outcome_ELV!$B2</f>
        <v>0</v>
      </c>
      <c r="M2">
        <f>[3]CRP_Outcome_ELV!$C2</f>
        <v>0</v>
      </c>
      <c r="N2">
        <f>[3]CRP_Outcome_ELV!$D2</f>
        <v>0</v>
      </c>
      <c r="O2">
        <f>[3]CRP_Outcome_ELV!$E2</f>
        <v>0</v>
      </c>
      <c r="Q2">
        <f>[4]CRP_Outcome_ELV!$B2</f>
        <v>0</v>
      </c>
      <c r="R2">
        <f>[4]CRP_Outcome_ELV!$C2</f>
        <v>0</v>
      </c>
      <c r="S2">
        <f>[4]CRP_Outcome_ELV!$D2</f>
        <v>0</v>
      </c>
      <c r="T2">
        <f>[4]CRP_Outcome_ELV!$E2</f>
        <v>0</v>
      </c>
      <c r="V2">
        <f>[5]CRP_Outcome_ELV!$B2</f>
        <v>0</v>
      </c>
      <c r="W2">
        <f>[5]CRP_Outcome_ELV!$C2</f>
        <v>0</v>
      </c>
      <c r="X2">
        <f>[5]CRP_Outcome_ELV!$D2</f>
        <v>0</v>
      </c>
      <c r="Y2">
        <f>[5]CRP_Outcome_ELV!$E2</f>
        <v>0</v>
      </c>
      <c r="AA2">
        <f>[6]CRP_Outcome_ELV!$B2</f>
        <v>0</v>
      </c>
      <c r="AB2">
        <f>[6]CRP_Outcome_ELV!$C2</f>
        <v>0</v>
      </c>
      <c r="AC2">
        <f>[6]CRP_Outcome_ELV!$D2</f>
        <v>0</v>
      </c>
      <c r="AD2">
        <f>[6]CRP_Outcome_ELV!$E2</f>
        <v>0</v>
      </c>
      <c r="AF2">
        <f>[7]CRP_Outcome_ELV!$B2</f>
        <v>0</v>
      </c>
      <c r="AG2">
        <f>[7]CRP_Outcome_ELV!$C2</f>
        <v>0</v>
      </c>
      <c r="AH2">
        <f>[7]CRP_Outcome_ELV!$D2</f>
        <v>0</v>
      </c>
      <c r="AI2">
        <f>[7]CRP_Outcome_ELV!$E2</f>
        <v>0</v>
      </c>
      <c r="AK2">
        <f>[8]CRP_Outcome_ELV!$B2</f>
        <v>0</v>
      </c>
      <c r="AL2">
        <f>[8]CRP_Outcome_ELV!$C2</f>
        <v>0</v>
      </c>
      <c r="AM2">
        <f>[8]CRP_Outcome_ELV!$D2</f>
        <v>0</v>
      </c>
      <c r="AN2">
        <f>[8]CRP_Outcome_ELV!$E2</f>
        <v>0</v>
      </c>
      <c r="AP2">
        <f>[9]CRP_Outcome_ELV!$B2</f>
        <v>0</v>
      </c>
      <c r="AQ2">
        <f>[9]CRP_Outcome_ELV!$C2</f>
        <v>0</v>
      </c>
      <c r="AR2">
        <f>[9]CRP_Outcome_ELV!$D2</f>
        <v>0</v>
      </c>
      <c r="AS2">
        <f>[9]CRP_Outcome_ELV!$E2</f>
        <v>0</v>
      </c>
      <c r="AU2">
        <f>[10]CRP_Outcome_ELV!$B2</f>
        <v>0</v>
      </c>
      <c r="AV2">
        <f>[10]CRP_Outcome_ELV!$C2</f>
        <v>0</v>
      </c>
      <c r="AW2">
        <f>[10]CRP_Outcome_ELV!$D2</f>
        <v>0</v>
      </c>
      <c r="AX2">
        <f>[10]CRP_Outcome_ELV!$E2</f>
        <v>0</v>
      </c>
      <c r="BA2">
        <f>AVERAGE(B2,G2,L2,Q2,V2,AA2,AF2,AK2,AP2,AU2)</f>
        <v>0</v>
      </c>
      <c r="BB2">
        <f t="shared" ref="BB2:BD17" si="0">AVERAGE(C2,H2,M2,R2,W2,AB2,AG2,AL2,AQ2,AV2)</f>
        <v>0</v>
      </c>
      <c r="BC2">
        <f t="shared" si="0"/>
        <v>0</v>
      </c>
      <c r="BD2">
        <f t="shared" si="0"/>
        <v>0</v>
      </c>
    </row>
    <row r="3" spans="1:56" x14ac:dyDescent="0.35">
      <c r="A3">
        <v>1</v>
      </c>
      <c r="B3">
        <f>[1]CRP_Outcome_ELV!$B3</f>
        <v>0</v>
      </c>
      <c r="C3">
        <f>[1]CRP_Outcome_ELV!$C3</f>
        <v>0</v>
      </c>
      <c r="D3">
        <f>[1]CRP_Outcome_ELV!$D3</f>
        <v>0</v>
      </c>
      <c r="E3">
        <f>[1]CRP_Outcome_ELV!$E3</f>
        <v>0</v>
      </c>
      <c r="G3">
        <f>[2]CRP_Outcome_ELV!$B3</f>
        <v>0</v>
      </c>
      <c r="H3">
        <f>[2]CRP_Outcome_ELV!$C3</f>
        <v>0</v>
      </c>
      <c r="I3">
        <f>[2]CRP_Outcome_ELV!$D3</f>
        <v>0</v>
      </c>
      <c r="J3">
        <f>[2]CRP_Outcome_ELV!$E3</f>
        <v>0</v>
      </c>
      <c r="L3">
        <f>[3]CRP_Outcome_ELV!$B3</f>
        <v>0</v>
      </c>
      <c r="M3">
        <f>[3]CRP_Outcome_ELV!$C3</f>
        <v>0</v>
      </c>
      <c r="N3">
        <f>[3]CRP_Outcome_ELV!$D3</f>
        <v>0</v>
      </c>
      <c r="O3">
        <f>[3]CRP_Outcome_ELV!$E3</f>
        <v>0</v>
      </c>
      <c r="Q3">
        <f>[4]CRP_Outcome_ELV!$B3</f>
        <v>0</v>
      </c>
      <c r="R3">
        <f>[4]CRP_Outcome_ELV!$C3</f>
        <v>0</v>
      </c>
      <c r="S3">
        <f>[4]CRP_Outcome_ELV!$D3</f>
        <v>0</v>
      </c>
      <c r="T3">
        <f>[4]CRP_Outcome_ELV!$E3</f>
        <v>0</v>
      </c>
      <c r="V3">
        <f>[5]CRP_Outcome_ELV!$B3</f>
        <v>0</v>
      </c>
      <c r="W3">
        <f>[5]CRP_Outcome_ELV!$C3</f>
        <v>0</v>
      </c>
      <c r="X3">
        <f>[5]CRP_Outcome_ELV!$D3</f>
        <v>0</v>
      </c>
      <c r="Y3">
        <f>[5]CRP_Outcome_ELV!$E3</f>
        <v>0</v>
      </c>
      <c r="AA3">
        <f>[6]CRP_Outcome_ELV!$B3</f>
        <v>0</v>
      </c>
      <c r="AB3">
        <f>[6]CRP_Outcome_ELV!$C3</f>
        <v>0</v>
      </c>
      <c r="AC3">
        <f>[6]CRP_Outcome_ELV!$D3</f>
        <v>0</v>
      </c>
      <c r="AD3">
        <f>[6]CRP_Outcome_ELV!$E3</f>
        <v>0</v>
      </c>
      <c r="AF3">
        <f>[7]CRP_Outcome_ELV!$B3</f>
        <v>0</v>
      </c>
      <c r="AG3">
        <f>[7]CRP_Outcome_ELV!$C3</f>
        <v>0</v>
      </c>
      <c r="AH3">
        <f>[7]CRP_Outcome_ELV!$D3</f>
        <v>0</v>
      </c>
      <c r="AI3">
        <f>[7]CRP_Outcome_ELV!$E3</f>
        <v>0</v>
      </c>
      <c r="AK3">
        <f>[8]CRP_Outcome_ELV!$B3</f>
        <v>0</v>
      </c>
      <c r="AL3">
        <f>[8]CRP_Outcome_ELV!$C3</f>
        <v>0</v>
      </c>
      <c r="AM3">
        <f>[8]CRP_Outcome_ELV!$D3</f>
        <v>0</v>
      </c>
      <c r="AN3">
        <f>[8]CRP_Outcome_ELV!$E3</f>
        <v>0</v>
      </c>
      <c r="AP3">
        <f>[9]CRP_Outcome_ELV!$B3</f>
        <v>0</v>
      </c>
      <c r="AQ3">
        <f>[9]CRP_Outcome_ELV!$C3</f>
        <v>0</v>
      </c>
      <c r="AR3">
        <f>[9]CRP_Outcome_ELV!$D3</f>
        <v>0</v>
      </c>
      <c r="AS3">
        <f>[9]CRP_Outcome_ELV!$E3</f>
        <v>0</v>
      </c>
      <c r="AU3">
        <f>[10]CRP_Outcome_ELV!$B3</f>
        <v>0</v>
      </c>
      <c r="AV3">
        <f>[10]CRP_Outcome_ELV!$C3</f>
        <v>0</v>
      </c>
      <c r="AW3">
        <f>[10]CRP_Outcome_ELV!$D3</f>
        <v>0</v>
      </c>
      <c r="AX3">
        <f>[10]CRP_Outcome_ELV!$E3</f>
        <v>0</v>
      </c>
      <c r="BA3">
        <f t="shared" ref="BA3:BD38" si="1">AVERAGE(B3,G3,L3,Q3,V3,AA3,AF3,AK3,AP3,AU3)</f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35">
      <c r="A4">
        <v>2</v>
      </c>
      <c r="B4">
        <f>[1]CRP_Outcome_ELV!$B4</f>
        <v>0</v>
      </c>
      <c r="C4">
        <f>[1]CRP_Outcome_ELV!$C4</f>
        <v>0</v>
      </c>
      <c r="D4">
        <f>[1]CRP_Outcome_ELV!$D4</f>
        <v>0</v>
      </c>
      <c r="E4">
        <f>[1]CRP_Outcome_ELV!$E4</f>
        <v>0</v>
      </c>
      <c r="G4">
        <f>[2]CRP_Outcome_ELV!$B4</f>
        <v>0</v>
      </c>
      <c r="H4">
        <f>[2]CRP_Outcome_ELV!$C4</f>
        <v>0</v>
      </c>
      <c r="I4">
        <f>[2]CRP_Outcome_ELV!$D4</f>
        <v>0</v>
      </c>
      <c r="J4">
        <f>[2]CRP_Outcome_ELV!$E4</f>
        <v>0</v>
      </c>
      <c r="L4">
        <f>[3]CRP_Outcome_ELV!$B4</f>
        <v>0</v>
      </c>
      <c r="M4">
        <f>[3]CRP_Outcome_ELV!$C4</f>
        <v>0</v>
      </c>
      <c r="N4">
        <f>[3]CRP_Outcome_ELV!$D4</f>
        <v>0</v>
      </c>
      <c r="O4">
        <f>[3]CRP_Outcome_ELV!$E4</f>
        <v>0</v>
      </c>
      <c r="Q4">
        <f>[4]CRP_Outcome_ELV!$B4</f>
        <v>0</v>
      </c>
      <c r="R4">
        <f>[4]CRP_Outcome_ELV!$C4</f>
        <v>0</v>
      </c>
      <c r="S4">
        <f>[4]CRP_Outcome_ELV!$D4</f>
        <v>0</v>
      </c>
      <c r="T4">
        <f>[4]CRP_Outcome_ELV!$E4</f>
        <v>0</v>
      </c>
      <c r="V4">
        <f>[5]CRP_Outcome_ELV!$B4</f>
        <v>0</v>
      </c>
      <c r="W4">
        <f>[5]CRP_Outcome_ELV!$C4</f>
        <v>0</v>
      </c>
      <c r="X4">
        <f>[5]CRP_Outcome_ELV!$D4</f>
        <v>0</v>
      </c>
      <c r="Y4">
        <f>[5]CRP_Outcome_ELV!$E4</f>
        <v>0</v>
      </c>
      <c r="AA4">
        <f>[6]CRP_Outcome_ELV!$B4</f>
        <v>0</v>
      </c>
      <c r="AB4">
        <f>[6]CRP_Outcome_ELV!$C4</f>
        <v>0</v>
      </c>
      <c r="AC4">
        <f>[6]CRP_Outcome_ELV!$D4</f>
        <v>0</v>
      </c>
      <c r="AD4">
        <f>[6]CRP_Outcome_ELV!$E4</f>
        <v>0</v>
      </c>
      <c r="AF4">
        <f>[7]CRP_Outcome_ELV!$B4</f>
        <v>0</v>
      </c>
      <c r="AG4">
        <f>[7]CRP_Outcome_ELV!$C4</f>
        <v>0</v>
      </c>
      <c r="AH4">
        <f>[7]CRP_Outcome_ELV!$D4</f>
        <v>0</v>
      </c>
      <c r="AI4">
        <f>[7]CRP_Outcome_ELV!$E4</f>
        <v>0</v>
      </c>
      <c r="AK4">
        <f>[8]CRP_Outcome_ELV!$B4</f>
        <v>0</v>
      </c>
      <c r="AL4">
        <f>[8]CRP_Outcome_ELV!$C4</f>
        <v>0</v>
      </c>
      <c r="AM4">
        <f>[8]CRP_Outcome_ELV!$D4</f>
        <v>0</v>
      </c>
      <c r="AN4">
        <f>[8]CRP_Outcome_ELV!$E4</f>
        <v>0</v>
      </c>
      <c r="AP4">
        <f>[9]CRP_Outcome_ELV!$B4</f>
        <v>0</v>
      </c>
      <c r="AQ4">
        <f>[9]CRP_Outcome_ELV!$C4</f>
        <v>0</v>
      </c>
      <c r="AR4">
        <f>[9]CRP_Outcome_ELV!$D4</f>
        <v>0</v>
      </c>
      <c r="AS4">
        <f>[9]CRP_Outcome_ELV!$E4</f>
        <v>0</v>
      </c>
      <c r="AU4">
        <f>[10]CRP_Outcome_ELV!$B4</f>
        <v>0</v>
      </c>
      <c r="AV4">
        <f>[10]CRP_Outcome_ELV!$C4</f>
        <v>0</v>
      </c>
      <c r="AW4">
        <f>[10]CRP_Outcome_ELV!$D4</f>
        <v>0</v>
      </c>
      <c r="AX4">
        <f>[10]CRP_Outcome_ELV!$E4</f>
        <v>0</v>
      </c>
      <c r="BA4">
        <f t="shared" si="1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35">
      <c r="A5">
        <v>3</v>
      </c>
      <c r="B5">
        <f>[1]CRP_Outcome_ELV!$B5</f>
        <v>0</v>
      </c>
      <c r="C5">
        <f>[1]CRP_Outcome_ELV!$C5</f>
        <v>0</v>
      </c>
      <c r="D5">
        <f>[1]CRP_Outcome_ELV!$D5</f>
        <v>0</v>
      </c>
      <c r="E5">
        <f>[1]CRP_Outcome_ELV!$E5</f>
        <v>0</v>
      </c>
      <c r="G5">
        <f>[2]CRP_Outcome_ELV!$B5</f>
        <v>0</v>
      </c>
      <c r="H5">
        <f>[2]CRP_Outcome_ELV!$C5</f>
        <v>0</v>
      </c>
      <c r="I5">
        <f>[2]CRP_Outcome_ELV!$D5</f>
        <v>0</v>
      </c>
      <c r="J5">
        <f>[2]CRP_Outcome_ELV!$E5</f>
        <v>0</v>
      </c>
      <c r="L5">
        <f>[3]CRP_Outcome_ELV!$B5</f>
        <v>0</v>
      </c>
      <c r="M5">
        <f>[3]CRP_Outcome_ELV!$C5</f>
        <v>0</v>
      </c>
      <c r="N5">
        <f>[3]CRP_Outcome_ELV!$D5</f>
        <v>0</v>
      </c>
      <c r="O5">
        <f>[3]CRP_Outcome_ELV!$E5</f>
        <v>0</v>
      </c>
      <c r="Q5">
        <f>[4]CRP_Outcome_ELV!$B5</f>
        <v>0</v>
      </c>
      <c r="R5">
        <f>[4]CRP_Outcome_ELV!$C5</f>
        <v>0</v>
      </c>
      <c r="S5">
        <f>[4]CRP_Outcome_ELV!$D5</f>
        <v>0</v>
      </c>
      <c r="T5">
        <f>[4]CRP_Outcome_ELV!$E5</f>
        <v>0</v>
      </c>
      <c r="V5">
        <f>[5]CRP_Outcome_ELV!$B5</f>
        <v>0</v>
      </c>
      <c r="W5">
        <f>[5]CRP_Outcome_ELV!$C5</f>
        <v>0</v>
      </c>
      <c r="X5">
        <f>[5]CRP_Outcome_ELV!$D5</f>
        <v>0</v>
      </c>
      <c r="Y5">
        <f>[5]CRP_Outcome_ELV!$E5</f>
        <v>0</v>
      </c>
      <c r="AA5">
        <f>[6]CRP_Outcome_ELV!$B5</f>
        <v>0</v>
      </c>
      <c r="AB5">
        <f>[6]CRP_Outcome_ELV!$C5</f>
        <v>0</v>
      </c>
      <c r="AC5">
        <f>[6]CRP_Outcome_ELV!$D5</f>
        <v>0</v>
      </c>
      <c r="AD5">
        <f>[6]CRP_Outcome_ELV!$E5</f>
        <v>0</v>
      </c>
      <c r="AF5">
        <f>[7]CRP_Outcome_ELV!$B5</f>
        <v>0</v>
      </c>
      <c r="AG5">
        <f>[7]CRP_Outcome_ELV!$C5</f>
        <v>0</v>
      </c>
      <c r="AH5">
        <f>[7]CRP_Outcome_ELV!$D5</f>
        <v>0</v>
      </c>
      <c r="AI5">
        <f>[7]CRP_Outcome_ELV!$E5</f>
        <v>0</v>
      </c>
      <c r="AK5">
        <f>[8]CRP_Outcome_ELV!$B5</f>
        <v>0</v>
      </c>
      <c r="AL5">
        <f>[8]CRP_Outcome_ELV!$C5</f>
        <v>0</v>
      </c>
      <c r="AM5">
        <f>[8]CRP_Outcome_ELV!$D5</f>
        <v>0</v>
      </c>
      <c r="AN5">
        <f>[8]CRP_Outcome_ELV!$E5</f>
        <v>0</v>
      </c>
      <c r="AP5">
        <f>[9]CRP_Outcome_ELV!$B5</f>
        <v>0</v>
      </c>
      <c r="AQ5">
        <f>[9]CRP_Outcome_ELV!$C5</f>
        <v>0</v>
      </c>
      <c r="AR5">
        <f>[9]CRP_Outcome_ELV!$D5</f>
        <v>0</v>
      </c>
      <c r="AS5">
        <f>[9]CRP_Outcome_ELV!$E5</f>
        <v>0</v>
      </c>
      <c r="AU5">
        <f>[10]CRP_Outcome_ELV!$B5</f>
        <v>0</v>
      </c>
      <c r="AV5">
        <f>[10]CRP_Outcome_ELV!$C5</f>
        <v>0</v>
      </c>
      <c r="AW5">
        <f>[10]CRP_Outcome_ELV!$D5</f>
        <v>0</v>
      </c>
      <c r="AX5">
        <f>[10]CRP_Outcome_ELV!$E5</f>
        <v>0</v>
      </c>
      <c r="BA5">
        <f t="shared" si="1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35">
      <c r="A6">
        <v>4</v>
      </c>
      <c r="B6">
        <f>[1]CRP_Outcome_ELV!$B6</f>
        <v>0</v>
      </c>
      <c r="C6">
        <f>[1]CRP_Outcome_ELV!$C6</f>
        <v>0</v>
      </c>
      <c r="D6">
        <f>[1]CRP_Outcome_ELV!$D6</f>
        <v>0</v>
      </c>
      <c r="E6">
        <f>[1]CRP_Outcome_ELV!$E6</f>
        <v>0</v>
      </c>
      <c r="G6">
        <f>[2]CRP_Outcome_ELV!$B6</f>
        <v>0</v>
      </c>
      <c r="H6">
        <f>[2]CRP_Outcome_ELV!$C6</f>
        <v>0</v>
      </c>
      <c r="I6">
        <f>[2]CRP_Outcome_ELV!$D6</f>
        <v>0</v>
      </c>
      <c r="J6">
        <f>[2]CRP_Outcome_ELV!$E6</f>
        <v>0</v>
      </c>
      <c r="L6">
        <f>[3]CRP_Outcome_ELV!$B6</f>
        <v>0</v>
      </c>
      <c r="M6">
        <f>[3]CRP_Outcome_ELV!$C6</f>
        <v>0</v>
      </c>
      <c r="N6">
        <f>[3]CRP_Outcome_ELV!$D6</f>
        <v>0</v>
      </c>
      <c r="O6">
        <f>[3]CRP_Outcome_ELV!$E6</f>
        <v>0</v>
      </c>
      <c r="Q6">
        <f>[4]CRP_Outcome_ELV!$B6</f>
        <v>0</v>
      </c>
      <c r="R6">
        <f>[4]CRP_Outcome_ELV!$C6</f>
        <v>0</v>
      </c>
      <c r="S6">
        <f>[4]CRP_Outcome_ELV!$D6</f>
        <v>0</v>
      </c>
      <c r="T6">
        <f>[4]CRP_Outcome_ELV!$E6</f>
        <v>0</v>
      </c>
      <c r="V6">
        <f>[5]CRP_Outcome_ELV!$B6</f>
        <v>0</v>
      </c>
      <c r="W6">
        <f>[5]CRP_Outcome_ELV!$C6</f>
        <v>0</v>
      </c>
      <c r="X6">
        <f>[5]CRP_Outcome_ELV!$D6</f>
        <v>0</v>
      </c>
      <c r="Y6">
        <f>[5]CRP_Outcome_ELV!$E6</f>
        <v>0</v>
      </c>
      <c r="AA6">
        <f>[6]CRP_Outcome_ELV!$B6</f>
        <v>0</v>
      </c>
      <c r="AB6">
        <f>[6]CRP_Outcome_ELV!$C6</f>
        <v>0</v>
      </c>
      <c r="AC6">
        <f>[6]CRP_Outcome_ELV!$D6</f>
        <v>0</v>
      </c>
      <c r="AD6">
        <f>[6]CRP_Outcome_ELV!$E6</f>
        <v>0</v>
      </c>
      <c r="AF6">
        <f>[7]CRP_Outcome_ELV!$B6</f>
        <v>0</v>
      </c>
      <c r="AG6">
        <f>[7]CRP_Outcome_ELV!$C6</f>
        <v>0</v>
      </c>
      <c r="AH6">
        <f>[7]CRP_Outcome_ELV!$D6</f>
        <v>0</v>
      </c>
      <c r="AI6">
        <f>[7]CRP_Outcome_ELV!$E6</f>
        <v>0</v>
      </c>
      <c r="AK6">
        <f>[8]CRP_Outcome_ELV!$B6</f>
        <v>0</v>
      </c>
      <c r="AL6">
        <f>[8]CRP_Outcome_ELV!$C6</f>
        <v>0</v>
      </c>
      <c r="AM6">
        <f>[8]CRP_Outcome_ELV!$D6</f>
        <v>0</v>
      </c>
      <c r="AN6">
        <f>[8]CRP_Outcome_ELV!$E6</f>
        <v>0</v>
      </c>
      <c r="AP6">
        <f>[9]CRP_Outcome_ELV!$B6</f>
        <v>0</v>
      </c>
      <c r="AQ6">
        <f>[9]CRP_Outcome_ELV!$C6</f>
        <v>0</v>
      </c>
      <c r="AR6">
        <f>[9]CRP_Outcome_ELV!$D6</f>
        <v>0</v>
      </c>
      <c r="AS6">
        <f>[9]CRP_Outcome_ELV!$E6</f>
        <v>0</v>
      </c>
      <c r="AU6">
        <f>[10]CRP_Outcome_ELV!$B6</f>
        <v>0</v>
      </c>
      <c r="AV6">
        <f>[10]CRP_Outcome_ELV!$C6</f>
        <v>0</v>
      </c>
      <c r="AW6">
        <f>[10]CRP_Outcome_ELV!$D6</f>
        <v>0</v>
      </c>
      <c r="AX6">
        <f>[10]CRP_Outcome_ELV!$E6</f>
        <v>0</v>
      </c>
      <c r="BA6">
        <f t="shared" si="1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35">
      <c r="A7">
        <v>5</v>
      </c>
      <c r="B7">
        <f>[1]CRP_Outcome_ELV!$B7</f>
        <v>0</v>
      </c>
      <c r="C7">
        <f>[1]CRP_Outcome_ELV!$C7</f>
        <v>0</v>
      </c>
      <c r="D7">
        <f>[1]CRP_Outcome_ELV!$D7</f>
        <v>0</v>
      </c>
      <c r="E7">
        <f>[1]CRP_Outcome_ELV!$E7</f>
        <v>0</v>
      </c>
      <c r="G7">
        <f>[2]CRP_Outcome_ELV!$B7</f>
        <v>0</v>
      </c>
      <c r="H7">
        <f>[2]CRP_Outcome_ELV!$C7</f>
        <v>0</v>
      </c>
      <c r="I7">
        <f>[2]CRP_Outcome_ELV!$D7</f>
        <v>0</v>
      </c>
      <c r="J7">
        <f>[2]CRP_Outcome_ELV!$E7</f>
        <v>0</v>
      </c>
      <c r="L7">
        <f>[3]CRP_Outcome_ELV!$B7</f>
        <v>0</v>
      </c>
      <c r="M7">
        <f>[3]CRP_Outcome_ELV!$C7</f>
        <v>0</v>
      </c>
      <c r="N7">
        <f>[3]CRP_Outcome_ELV!$D7</f>
        <v>0</v>
      </c>
      <c r="O7">
        <f>[3]CRP_Outcome_ELV!$E7</f>
        <v>0</v>
      </c>
      <c r="Q7">
        <f>[4]CRP_Outcome_ELV!$B7</f>
        <v>0</v>
      </c>
      <c r="R7">
        <f>[4]CRP_Outcome_ELV!$C7</f>
        <v>0</v>
      </c>
      <c r="S7">
        <f>[4]CRP_Outcome_ELV!$D7</f>
        <v>0</v>
      </c>
      <c r="T7">
        <f>[4]CRP_Outcome_ELV!$E7</f>
        <v>0</v>
      </c>
      <c r="V7">
        <f>[5]CRP_Outcome_ELV!$B7</f>
        <v>0</v>
      </c>
      <c r="W7">
        <f>[5]CRP_Outcome_ELV!$C7</f>
        <v>0</v>
      </c>
      <c r="X7">
        <f>[5]CRP_Outcome_ELV!$D7</f>
        <v>0</v>
      </c>
      <c r="Y7">
        <f>[5]CRP_Outcome_ELV!$E7</f>
        <v>0</v>
      </c>
      <c r="AA7">
        <f>[6]CRP_Outcome_ELV!$B7</f>
        <v>0</v>
      </c>
      <c r="AB7">
        <f>[6]CRP_Outcome_ELV!$C7</f>
        <v>0</v>
      </c>
      <c r="AC7">
        <f>[6]CRP_Outcome_ELV!$D7</f>
        <v>0</v>
      </c>
      <c r="AD7">
        <f>[6]CRP_Outcome_ELV!$E7</f>
        <v>0</v>
      </c>
      <c r="AF7">
        <f>[7]CRP_Outcome_ELV!$B7</f>
        <v>0</v>
      </c>
      <c r="AG7">
        <f>[7]CRP_Outcome_ELV!$C7</f>
        <v>0</v>
      </c>
      <c r="AH7">
        <f>[7]CRP_Outcome_ELV!$D7</f>
        <v>0</v>
      </c>
      <c r="AI7">
        <f>[7]CRP_Outcome_ELV!$E7</f>
        <v>0</v>
      </c>
      <c r="AK7">
        <f>[8]CRP_Outcome_ELV!$B7</f>
        <v>0</v>
      </c>
      <c r="AL7">
        <f>[8]CRP_Outcome_ELV!$C7</f>
        <v>0</v>
      </c>
      <c r="AM7">
        <f>[8]CRP_Outcome_ELV!$D7</f>
        <v>0</v>
      </c>
      <c r="AN7">
        <f>[8]CRP_Outcome_ELV!$E7</f>
        <v>0</v>
      </c>
      <c r="AP7">
        <f>[9]CRP_Outcome_ELV!$B7</f>
        <v>0</v>
      </c>
      <c r="AQ7">
        <f>[9]CRP_Outcome_ELV!$C7</f>
        <v>0</v>
      </c>
      <c r="AR7">
        <f>[9]CRP_Outcome_ELV!$D7</f>
        <v>0</v>
      </c>
      <c r="AS7">
        <f>[9]CRP_Outcome_ELV!$E7</f>
        <v>0</v>
      </c>
      <c r="AU7">
        <f>[10]CRP_Outcome_ELV!$B7</f>
        <v>0</v>
      </c>
      <c r="AV7">
        <f>[10]CRP_Outcome_ELV!$C7</f>
        <v>0</v>
      </c>
      <c r="AW7">
        <f>[10]CRP_Outcome_ELV!$D7</f>
        <v>0</v>
      </c>
      <c r="AX7">
        <f>[10]CRP_Outcome_ELV!$E7</f>
        <v>0</v>
      </c>
      <c r="BA7">
        <f t="shared" si="1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35">
      <c r="A8">
        <v>6</v>
      </c>
      <c r="B8">
        <f>[1]CRP_Outcome_ELV!$B8</f>
        <v>0</v>
      </c>
      <c r="C8">
        <f>[1]CRP_Outcome_ELV!$C8</f>
        <v>0</v>
      </c>
      <c r="D8">
        <f>[1]CRP_Outcome_ELV!$D8</f>
        <v>0</v>
      </c>
      <c r="E8">
        <f>[1]CRP_Outcome_ELV!$E8</f>
        <v>0</v>
      </c>
      <c r="G8">
        <f>[2]CRP_Outcome_ELV!$B8</f>
        <v>0</v>
      </c>
      <c r="H8">
        <f>[2]CRP_Outcome_ELV!$C8</f>
        <v>0</v>
      </c>
      <c r="I8">
        <f>[2]CRP_Outcome_ELV!$D8</f>
        <v>0</v>
      </c>
      <c r="J8">
        <f>[2]CRP_Outcome_ELV!$E8</f>
        <v>0</v>
      </c>
      <c r="L8">
        <f>[3]CRP_Outcome_ELV!$B8</f>
        <v>0</v>
      </c>
      <c r="M8">
        <f>[3]CRP_Outcome_ELV!$C8</f>
        <v>0</v>
      </c>
      <c r="N8">
        <f>[3]CRP_Outcome_ELV!$D8</f>
        <v>0</v>
      </c>
      <c r="O8">
        <f>[3]CRP_Outcome_ELV!$E8</f>
        <v>0</v>
      </c>
      <c r="Q8">
        <f>[4]CRP_Outcome_ELV!$B8</f>
        <v>0</v>
      </c>
      <c r="R8">
        <f>[4]CRP_Outcome_ELV!$C8</f>
        <v>0</v>
      </c>
      <c r="S8">
        <f>[4]CRP_Outcome_ELV!$D8</f>
        <v>0</v>
      </c>
      <c r="T8">
        <f>[4]CRP_Outcome_ELV!$E8</f>
        <v>0</v>
      </c>
      <c r="V8">
        <f>[5]CRP_Outcome_ELV!$B8</f>
        <v>0</v>
      </c>
      <c r="W8">
        <f>[5]CRP_Outcome_ELV!$C8</f>
        <v>0</v>
      </c>
      <c r="X8">
        <f>[5]CRP_Outcome_ELV!$D8</f>
        <v>0</v>
      </c>
      <c r="Y8">
        <f>[5]CRP_Outcome_ELV!$E8</f>
        <v>0</v>
      </c>
      <c r="AA8">
        <f>[6]CRP_Outcome_ELV!$B8</f>
        <v>0</v>
      </c>
      <c r="AB8">
        <f>[6]CRP_Outcome_ELV!$C8</f>
        <v>0</v>
      </c>
      <c r="AC8">
        <f>[6]CRP_Outcome_ELV!$D8</f>
        <v>0</v>
      </c>
      <c r="AD8">
        <f>[6]CRP_Outcome_ELV!$E8</f>
        <v>0</v>
      </c>
      <c r="AF8">
        <f>[7]CRP_Outcome_ELV!$B8</f>
        <v>0</v>
      </c>
      <c r="AG8">
        <f>[7]CRP_Outcome_ELV!$C8</f>
        <v>0</v>
      </c>
      <c r="AH8">
        <f>[7]CRP_Outcome_ELV!$D8</f>
        <v>0</v>
      </c>
      <c r="AI8">
        <f>[7]CRP_Outcome_ELV!$E8</f>
        <v>0</v>
      </c>
      <c r="AK8">
        <f>[8]CRP_Outcome_ELV!$B8</f>
        <v>0</v>
      </c>
      <c r="AL8">
        <f>[8]CRP_Outcome_ELV!$C8</f>
        <v>0</v>
      </c>
      <c r="AM8">
        <f>[8]CRP_Outcome_ELV!$D8</f>
        <v>0</v>
      </c>
      <c r="AN8">
        <f>[8]CRP_Outcome_ELV!$E8</f>
        <v>0</v>
      </c>
      <c r="AP8">
        <f>[9]CRP_Outcome_ELV!$B8</f>
        <v>0</v>
      </c>
      <c r="AQ8">
        <f>[9]CRP_Outcome_ELV!$C8</f>
        <v>0</v>
      </c>
      <c r="AR8">
        <f>[9]CRP_Outcome_ELV!$D8</f>
        <v>0</v>
      </c>
      <c r="AS8">
        <f>[9]CRP_Outcome_ELV!$E8</f>
        <v>0</v>
      </c>
      <c r="AU8">
        <f>[10]CRP_Outcome_ELV!$B8</f>
        <v>0</v>
      </c>
      <c r="AV8">
        <f>[10]CRP_Outcome_ELV!$C8</f>
        <v>0</v>
      </c>
      <c r="AW8">
        <f>[10]CRP_Outcome_ELV!$D8</f>
        <v>0</v>
      </c>
      <c r="AX8">
        <f>[10]CRP_Outcome_ELV!$E8</f>
        <v>0</v>
      </c>
      <c r="BA8">
        <f t="shared" si="1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35">
      <c r="A9">
        <v>7</v>
      </c>
      <c r="B9">
        <f>[1]CRP_Outcome_ELV!$B9</f>
        <v>0</v>
      </c>
      <c r="C9">
        <f>[1]CRP_Outcome_ELV!$C9</f>
        <v>0</v>
      </c>
      <c r="D9">
        <f>[1]CRP_Outcome_ELV!$D9</f>
        <v>0</v>
      </c>
      <c r="E9">
        <f>[1]CRP_Outcome_ELV!$E9</f>
        <v>0</v>
      </c>
      <c r="G9">
        <f>[2]CRP_Outcome_ELV!$B9</f>
        <v>0</v>
      </c>
      <c r="H9">
        <f>[2]CRP_Outcome_ELV!$C9</f>
        <v>0</v>
      </c>
      <c r="I9">
        <f>[2]CRP_Outcome_ELV!$D9</f>
        <v>0</v>
      </c>
      <c r="J9">
        <f>[2]CRP_Outcome_ELV!$E9</f>
        <v>0</v>
      </c>
      <c r="L9">
        <f>[3]CRP_Outcome_ELV!$B9</f>
        <v>0</v>
      </c>
      <c r="M9">
        <f>[3]CRP_Outcome_ELV!$C9</f>
        <v>0</v>
      </c>
      <c r="N9">
        <f>[3]CRP_Outcome_ELV!$D9</f>
        <v>0</v>
      </c>
      <c r="O9">
        <f>[3]CRP_Outcome_ELV!$E9</f>
        <v>0</v>
      </c>
      <c r="Q9">
        <f>[4]CRP_Outcome_ELV!$B9</f>
        <v>0</v>
      </c>
      <c r="R9">
        <f>[4]CRP_Outcome_ELV!$C9</f>
        <v>0</v>
      </c>
      <c r="S9">
        <f>[4]CRP_Outcome_ELV!$D9</f>
        <v>0</v>
      </c>
      <c r="T9">
        <f>[4]CRP_Outcome_ELV!$E9</f>
        <v>0</v>
      </c>
      <c r="V9">
        <f>[5]CRP_Outcome_ELV!$B9</f>
        <v>0</v>
      </c>
      <c r="W9">
        <f>[5]CRP_Outcome_ELV!$C9</f>
        <v>0</v>
      </c>
      <c r="X9">
        <f>[5]CRP_Outcome_ELV!$D9</f>
        <v>0</v>
      </c>
      <c r="Y9">
        <f>[5]CRP_Outcome_ELV!$E9</f>
        <v>0</v>
      </c>
      <c r="AA9">
        <f>[6]CRP_Outcome_ELV!$B9</f>
        <v>0</v>
      </c>
      <c r="AB9">
        <f>[6]CRP_Outcome_ELV!$C9</f>
        <v>0</v>
      </c>
      <c r="AC9">
        <f>[6]CRP_Outcome_ELV!$D9</f>
        <v>0</v>
      </c>
      <c r="AD9">
        <f>[6]CRP_Outcome_ELV!$E9</f>
        <v>0</v>
      </c>
      <c r="AF9">
        <f>[7]CRP_Outcome_ELV!$B9</f>
        <v>0</v>
      </c>
      <c r="AG9">
        <f>[7]CRP_Outcome_ELV!$C9</f>
        <v>0</v>
      </c>
      <c r="AH9">
        <f>[7]CRP_Outcome_ELV!$D9</f>
        <v>0</v>
      </c>
      <c r="AI9">
        <f>[7]CRP_Outcome_ELV!$E9</f>
        <v>0</v>
      </c>
      <c r="AK9">
        <f>[8]CRP_Outcome_ELV!$B9</f>
        <v>0</v>
      </c>
      <c r="AL9">
        <f>[8]CRP_Outcome_ELV!$C9</f>
        <v>0</v>
      </c>
      <c r="AM9">
        <f>[8]CRP_Outcome_ELV!$D9</f>
        <v>0</v>
      </c>
      <c r="AN9">
        <f>[8]CRP_Outcome_ELV!$E9</f>
        <v>0</v>
      </c>
      <c r="AP9">
        <f>[9]CRP_Outcome_ELV!$B9</f>
        <v>0</v>
      </c>
      <c r="AQ9">
        <f>[9]CRP_Outcome_ELV!$C9</f>
        <v>0</v>
      </c>
      <c r="AR9">
        <f>[9]CRP_Outcome_ELV!$D9</f>
        <v>0</v>
      </c>
      <c r="AS9">
        <f>[9]CRP_Outcome_ELV!$E9</f>
        <v>0</v>
      </c>
      <c r="AU9">
        <f>[10]CRP_Outcome_ELV!$B9</f>
        <v>0</v>
      </c>
      <c r="AV9">
        <f>[10]CRP_Outcome_ELV!$C9</f>
        <v>0</v>
      </c>
      <c r="AW9">
        <f>[10]CRP_Outcome_ELV!$D9</f>
        <v>0</v>
      </c>
      <c r="AX9">
        <f>[10]CRP_Outcome_ELV!$E9</f>
        <v>0</v>
      </c>
      <c r="BA9">
        <f t="shared" si="1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35">
      <c r="A10">
        <v>8</v>
      </c>
      <c r="B10">
        <f>[1]CRP_Outcome_ELV!$B10</f>
        <v>0</v>
      </c>
      <c r="C10">
        <f>[1]CRP_Outcome_ELV!$C10</f>
        <v>0</v>
      </c>
      <c r="D10">
        <f>[1]CRP_Outcome_ELV!$D10</f>
        <v>0</v>
      </c>
      <c r="E10">
        <f>[1]CRP_Outcome_ELV!$E10</f>
        <v>0</v>
      </c>
      <c r="G10">
        <f>[2]CRP_Outcome_ELV!$B10</f>
        <v>0</v>
      </c>
      <c r="H10">
        <f>[2]CRP_Outcome_ELV!$C10</f>
        <v>0</v>
      </c>
      <c r="I10">
        <f>[2]CRP_Outcome_ELV!$D10</f>
        <v>0</v>
      </c>
      <c r="J10">
        <f>[2]CRP_Outcome_ELV!$E10</f>
        <v>0</v>
      </c>
      <c r="L10">
        <f>[3]CRP_Outcome_ELV!$B10</f>
        <v>0</v>
      </c>
      <c r="M10">
        <f>[3]CRP_Outcome_ELV!$C10</f>
        <v>0</v>
      </c>
      <c r="N10">
        <f>[3]CRP_Outcome_ELV!$D10</f>
        <v>0</v>
      </c>
      <c r="O10">
        <f>[3]CRP_Outcome_ELV!$E10</f>
        <v>0</v>
      </c>
      <c r="Q10">
        <f>[4]CRP_Outcome_ELV!$B10</f>
        <v>0</v>
      </c>
      <c r="R10">
        <f>[4]CRP_Outcome_ELV!$C10</f>
        <v>0</v>
      </c>
      <c r="S10">
        <f>[4]CRP_Outcome_ELV!$D10</f>
        <v>0</v>
      </c>
      <c r="T10">
        <f>[4]CRP_Outcome_ELV!$E10</f>
        <v>0</v>
      </c>
      <c r="V10">
        <f>[5]CRP_Outcome_ELV!$B10</f>
        <v>0</v>
      </c>
      <c r="W10">
        <f>[5]CRP_Outcome_ELV!$C10</f>
        <v>0</v>
      </c>
      <c r="X10">
        <f>[5]CRP_Outcome_ELV!$D10</f>
        <v>0</v>
      </c>
      <c r="Y10">
        <f>[5]CRP_Outcome_ELV!$E10</f>
        <v>0</v>
      </c>
      <c r="AA10">
        <f>[6]CRP_Outcome_ELV!$B10</f>
        <v>0</v>
      </c>
      <c r="AB10">
        <f>[6]CRP_Outcome_ELV!$C10</f>
        <v>0</v>
      </c>
      <c r="AC10">
        <f>[6]CRP_Outcome_ELV!$D10</f>
        <v>0</v>
      </c>
      <c r="AD10">
        <f>[6]CRP_Outcome_ELV!$E10</f>
        <v>0</v>
      </c>
      <c r="AF10">
        <f>[7]CRP_Outcome_ELV!$B10</f>
        <v>0</v>
      </c>
      <c r="AG10">
        <f>[7]CRP_Outcome_ELV!$C10</f>
        <v>0</v>
      </c>
      <c r="AH10">
        <f>[7]CRP_Outcome_ELV!$D10</f>
        <v>0</v>
      </c>
      <c r="AI10">
        <f>[7]CRP_Outcome_ELV!$E10</f>
        <v>0</v>
      </c>
      <c r="AK10">
        <f>[8]CRP_Outcome_ELV!$B10</f>
        <v>0</v>
      </c>
      <c r="AL10">
        <f>[8]CRP_Outcome_ELV!$C10</f>
        <v>0</v>
      </c>
      <c r="AM10">
        <f>[8]CRP_Outcome_ELV!$D10</f>
        <v>0</v>
      </c>
      <c r="AN10">
        <f>[8]CRP_Outcome_ELV!$E10</f>
        <v>0</v>
      </c>
      <c r="AP10">
        <f>[9]CRP_Outcome_ELV!$B10</f>
        <v>0</v>
      </c>
      <c r="AQ10">
        <f>[9]CRP_Outcome_ELV!$C10</f>
        <v>0</v>
      </c>
      <c r="AR10">
        <f>[9]CRP_Outcome_ELV!$D10</f>
        <v>0</v>
      </c>
      <c r="AS10">
        <f>[9]CRP_Outcome_ELV!$E10</f>
        <v>0</v>
      </c>
      <c r="AU10">
        <f>[10]CRP_Outcome_ELV!$B10</f>
        <v>0</v>
      </c>
      <c r="AV10">
        <f>[10]CRP_Outcome_ELV!$C10</f>
        <v>0</v>
      </c>
      <c r="AW10">
        <f>[10]CRP_Outcome_ELV!$D10</f>
        <v>0</v>
      </c>
      <c r="AX10">
        <f>[10]CRP_Outcome_ELV!$E10</f>
        <v>0</v>
      </c>
      <c r="BA10">
        <f t="shared" si="1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35">
      <c r="A11">
        <v>9</v>
      </c>
      <c r="B11">
        <f>[1]CRP_Outcome_ELV!$B11</f>
        <v>0</v>
      </c>
      <c r="C11">
        <f>[1]CRP_Outcome_ELV!$C11</f>
        <v>0</v>
      </c>
      <c r="D11">
        <f>[1]CRP_Outcome_ELV!$D11</f>
        <v>0</v>
      </c>
      <c r="E11">
        <f>[1]CRP_Outcome_ELV!$E11</f>
        <v>0</v>
      </c>
      <c r="G11">
        <f>[2]CRP_Outcome_ELV!$B11</f>
        <v>0</v>
      </c>
      <c r="H11">
        <f>[2]CRP_Outcome_ELV!$C11</f>
        <v>0</v>
      </c>
      <c r="I11">
        <f>[2]CRP_Outcome_ELV!$D11</f>
        <v>0</v>
      </c>
      <c r="J11">
        <f>[2]CRP_Outcome_ELV!$E11</f>
        <v>0</v>
      </c>
      <c r="L11">
        <f>[3]CRP_Outcome_ELV!$B11</f>
        <v>0</v>
      </c>
      <c r="M11">
        <f>[3]CRP_Outcome_ELV!$C11</f>
        <v>0</v>
      </c>
      <c r="N11">
        <f>[3]CRP_Outcome_ELV!$D11</f>
        <v>0</v>
      </c>
      <c r="O11">
        <f>[3]CRP_Outcome_ELV!$E11</f>
        <v>0</v>
      </c>
      <c r="Q11">
        <f>[4]CRP_Outcome_ELV!$B11</f>
        <v>0</v>
      </c>
      <c r="R11">
        <f>[4]CRP_Outcome_ELV!$C11</f>
        <v>0</v>
      </c>
      <c r="S11">
        <f>[4]CRP_Outcome_ELV!$D11</f>
        <v>0</v>
      </c>
      <c r="T11">
        <f>[4]CRP_Outcome_ELV!$E11</f>
        <v>0</v>
      </c>
      <c r="V11">
        <f>[5]CRP_Outcome_ELV!$B11</f>
        <v>0</v>
      </c>
      <c r="W11">
        <f>[5]CRP_Outcome_ELV!$C11</f>
        <v>0</v>
      </c>
      <c r="X11">
        <f>[5]CRP_Outcome_ELV!$D11</f>
        <v>0</v>
      </c>
      <c r="Y11">
        <f>[5]CRP_Outcome_ELV!$E11</f>
        <v>0</v>
      </c>
      <c r="AA11">
        <f>[6]CRP_Outcome_ELV!$B11</f>
        <v>3</v>
      </c>
      <c r="AB11">
        <f>[6]CRP_Outcome_ELV!$C11</f>
        <v>0</v>
      </c>
      <c r="AC11">
        <f>[6]CRP_Outcome_ELV!$D11</f>
        <v>0</v>
      </c>
      <c r="AD11">
        <f>[6]CRP_Outcome_ELV!$E11</f>
        <v>0</v>
      </c>
      <c r="AF11">
        <f>[7]CRP_Outcome_ELV!$B11</f>
        <v>3</v>
      </c>
      <c r="AG11">
        <f>[7]CRP_Outcome_ELV!$C11</f>
        <v>0</v>
      </c>
      <c r="AH11">
        <f>[7]CRP_Outcome_ELV!$D11</f>
        <v>0</v>
      </c>
      <c r="AI11">
        <f>[7]CRP_Outcome_ELV!$E11</f>
        <v>0</v>
      </c>
      <c r="AK11">
        <f>[8]CRP_Outcome_ELV!$B11</f>
        <v>0</v>
      </c>
      <c r="AL11">
        <f>[8]CRP_Outcome_ELV!$C11</f>
        <v>0</v>
      </c>
      <c r="AM11">
        <f>[8]CRP_Outcome_ELV!$D11</f>
        <v>0</v>
      </c>
      <c r="AN11">
        <f>[8]CRP_Outcome_ELV!$E11</f>
        <v>0</v>
      </c>
      <c r="AP11">
        <f>[9]CRP_Outcome_ELV!$B11</f>
        <v>0</v>
      </c>
      <c r="AQ11">
        <f>[9]CRP_Outcome_ELV!$C11</f>
        <v>0</v>
      </c>
      <c r="AR11">
        <f>[9]CRP_Outcome_ELV!$D11</f>
        <v>0</v>
      </c>
      <c r="AS11">
        <f>[9]CRP_Outcome_ELV!$E11</f>
        <v>0</v>
      </c>
      <c r="AU11">
        <f>[10]CRP_Outcome_ELV!$B11</f>
        <v>9</v>
      </c>
      <c r="AV11">
        <f>[10]CRP_Outcome_ELV!$C11</f>
        <v>0</v>
      </c>
      <c r="AW11">
        <f>[10]CRP_Outcome_ELV!$D11</f>
        <v>0</v>
      </c>
      <c r="AX11">
        <f>[10]CRP_Outcome_ELV!$E11</f>
        <v>0</v>
      </c>
      <c r="BA11">
        <f t="shared" si="1"/>
        <v>1.5</v>
      </c>
      <c r="BB11">
        <f t="shared" si="0"/>
        <v>0</v>
      </c>
      <c r="BC11">
        <f t="shared" si="0"/>
        <v>0</v>
      </c>
      <c r="BD11">
        <f t="shared" si="0"/>
        <v>0</v>
      </c>
    </row>
    <row r="12" spans="1:56" x14ac:dyDescent="0.35">
      <c r="A12">
        <v>10</v>
      </c>
      <c r="B12">
        <f>[1]CRP_Outcome_ELV!$B12</f>
        <v>0</v>
      </c>
      <c r="C12">
        <f>[1]CRP_Outcome_ELV!$C12</f>
        <v>0</v>
      </c>
      <c r="D12">
        <f>[1]CRP_Outcome_ELV!$D12</f>
        <v>0</v>
      </c>
      <c r="E12">
        <f>[1]CRP_Outcome_ELV!$E12</f>
        <v>0</v>
      </c>
      <c r="G12">
        <f>[2]CRP_Outcome_ELV!$B12</f>
        <v>1</v>
      </c>
      <c r="H12">
        <f>[2]CRP_Outcome_ELV!$C12</f>
        <v>0</v>
      </c>
      <c r="I12">
        <f>[2]CRP_Outcome_ELV!$D12</f>
        <v>0</v>
      </c>
      <c r="J12">
        <f>[2]CRP_Outcome_ELV!$E12</f>
        <v>0</v>
      </c>
      <c r="L12">
        <f>[3]CRP_Outcome_ELV!$B12</f>
        <v>0</v>
      </c>
      <c r="M12">
        <f>[3]CRP_Outcome_ELV!$C12</f>
        <v>0</v>
      </c>
      <c r="N12">
        <f>[3]CRP_Outcome_ELV!$D12</f>
        <v>0</v>
      </c>
      <c r="O12">
        <f>[3]CRP_Outcome_ELV!$E12</f>
        <v>0</v>
      </c>
      <c r="Q12">
        <f>[4]CRP_Outcome_ELV!$B12</f>
        <v>0</v>
      </c>
      <c r="R12">
        <f>[4]CRP_Outcome_ELV!$C12</f>
        <v>0</v>
      </c>
      <c r="S12">
        <f>[4]CRP_Outcome_ELV!$D12</f>
        <v>0</v>
      </c>
      <c r="T12">
        <f>[4]CRP_Outcome_ELV!$E12</f>
        <v>0</v>
      </c>
      <c r="V12">
        <f>[5]CRP_Outcome_ELV!$B12</f>
        <v>0</v>
      </c>
      <c r="W12">
        <f>[5]CRP_Outcome_ELV!$C12</f>
        <v>0</v>
      </c>
      <c r="X12">
        <f>[5]CRP_Outcome_ELV!$D12</f>
        <v>0</v>
      </c>
      <c r="Y12">
        <f>[5]CRP_Outcome_ELV!$E12</f>
        <v>0</v>
      </c>
      <c r="AA12">
        <f>[6]CRP_Outcome_ELV!$B12</f>
        <v>5</v>
      </c>
      <c r="AB12">
        <f>[6]CRP_Outcome_ELV!$C12</f>
        <v>0</v>
      </c>
      <c r="AC12">
        <f>[6]CRP_Outcome_ELV!$D12</f>
        <v>0</v>
      </c>
      <c r="AD12">
        <f>[6]CRP_Outcome_ELV!$E12</f>
        <v>0</v>
      </c>
      <c r="AF12">
        <f>[7]CRP_Outcome_ELV!$B12</f>
        <v>3</v>
      </c>
      <c r="AG12">
        <f>[7]CRP_Outcome_ELV!$C12</f>
        <v>0</v>
      </c>
      <c r="AH12">
        <f>[7]CRP_Outcome_ELV!$D12</f>
        <v>0</v>
      </c>
      <c r="AI12">
        <f>[7]CRP_Outcome_ELV!$E12</f>
        <v>0</v>
      </c>
      <c r="AK12">
        <f>[8]CRP_Outcome_ELV!$B12</f>
        <v>0</v>
      </c>
      <c r="AL12">
        <f>[8]CRP_Outcome_ELV!$C12</f>
        <v>0</v>
      </c>
      <c r="AM12">
        <f>[8]CRP_Outcome_ELV!$D12</f>
        <v>0</v>
      </c>
      <c r="AN12">
        <f>[8]CRP_Outcome_ELV!$E12</f>
        <v>0</v>
      </c>
      <c r="AP12">
        <f>[9]CRP_Outcome_ELV!$B12</f>
        <v>1</v>
      </c>
      <c r="AQ12">
        <f>[9]CRP_Outcome_ELV!$C12</f>
        <v>0</v>
      </c>
      <c r="AR12">
        <f>[9]CRP_Outcome_ELV!$D12</f>
        <v>0</v>
      </c>
      <c r="AS12">
        <f>[9]CRP_Outcome_ELV!$E12</f>
        <v>0</v>
      </c>
      <c r="AU12">
        <f>[10]CRP_Outcome_ELV!$B12</f>
        <v>3</v>
      </c>
      <c r="AV12">
        <f>[10]CRP_Outcome_ELV!$C12</f>
        <v>0</v>
      </c>
      <c r="AW12">
        <f>[10]CRP_Outcome_ELV!$D12</f>
        <v>0</v>
      </c>
      <c r="AX12">
        <f>[10]CRP_Outcome_ELV!$E12</f>
        <v>0</v>
      </c>
      <c r="BA12">
        <f t="shared" si="1"/>
        <v>1.3</v>
      </c>
      <c r="BB12">
        <f t="shared" si="0"/>
        <v>0</v>
      </c>
      <c r="BC12">
        <f t="shared" si="0"/>
        <v>0</v>
      </c>
      <c r="BD12">
        <f t="shared" si="0"/>
        <v>0</v>
      </c>
    </row>
    <row r="13" spans="1:56" x14ac:dyDescent="0.35">
      <c r="A13">
        <v>11</v>
      </c>
      <c r="B13">
        <f>[1]CRP_Outcome_ELV!$B13</f>
        <v>4</v>
      </c>
      <c r="C13">
        <f>[1]CRP_Outcome_ELV!$C13</f>
        <v>0</v>
      </c>
      <c r="D13">
        <f>[1]CRP_Outcome_ELV!$D13</f>
        <v>0</v>
      </c>
      <c r="E13">
        <f>[1]CRP_Outcome_ELV!$E13</f>
        <v>0</v>
      </c>
      <c r="G13">
        <f>[2]CRP_Outcome_ELV!$B13</f>
        <v>1</v>
      </c>
      <c r="H13">
        <f>[2]CRP_Outcome_ELV!$C13</f>
        <v>0</v>
      </c>
      <c r="I13">
        <f>[2]CRP_Outcome_ELV!$D13</f>
        <v>0</v>
      </c>
      <c r="J13">
        <f>[2]CRP_Outcome_ELV!$E13</f>
        <v>0</v>
      </c>
      <c r="L13">
        <f>[3]CRP_Outcome_ELV!$B13</f>
        <v>0</v>
      </c>
      <c r="M13">
        <f>[3]CRP_Outcome_ELV!$C13</f>
        <v>3</v>
      </c>
      <c r="N13">
        <f>[3]CRP_Outcome_ELV!$D13</f>
        <v>0</v>
      </c>
      <c r="O13">
        <f>[3]CRP_Outcome_ELV!$E13</f>
        <v>0</v>
      </c>
      <c r="Q13">
        <f>[4]CRP_Outcome_ELV!$B13</f>
        <v>11</v>
      </c>
      <c r="R13">
        <f>[4]CRP_Outcome_ELV!$C13</f>
        <v>0</v>
      </c>
      <c r="S13">
        <f>[4]CRP_Outcome_ELV!$D13</f>
        <v>0</v>
      </c>
      <c r="T13">
        <f>[4]CRP_Outcome_ELV!$E13</f>
        <v>0</v>
      </c>
      <c r="V13">
        <f>[5]CRP_Outcome_ELV!$B13</f>
        <v>0</v>
      </c>
      <c r="W13">
        <f>[5]CRP_Outcome_ELV!$C13</f>
        <v>0</v>
      </c>
      <c r="X13">
        <f>[5]CRP_Outcome_ELV!$D13</f>
        <v>0</v>
      </c>
      <c r="Y13">
        <f>[5]CRP_Outcome_ELV!$E13</f>
        <v>0</v>
      </c>
      <c r="AA13">
        <f>[6]CRP_Outcome_ELV!$B13</f>
        <v>0</v>
      </c>
      <c r="AB13">
        <f>[6]CRP_Outcome_ELV!$C13</f>
        <v>5</v>
      </c>
      <c r="AC13">
        <f>[6]CRP_Outcome_ELV!$D13</f>
        <v>0</v>
      </c>
      <c r="AD13">
        <f>[6]CRP_Outcome_ELV!$E13</f>
        <v>0</v>
      </c>
      <c r="AF13">
        <f>[7]CRP_Outcome_ELV!$B13</f>
        <v>0</v>
      </c>
      <c r="AG13">
        <f>[7]CRP_Outcome_ELV!$C13</f>
        <v>8</v>
      </c>
      <c r="AH13">
        <f>[7]CRP_Outcome_ELV!$D13</f>
        <v>0</v>
      </c>
      <c r="AI13">
        <f>[7]CRP_Outcome_ELV!$E13</f>
        <v>0</v>
      </c>
      <c r="AK13">
        <f>[8]CRP_Outcome_ELV!$B13</f>
        <v>0</v>
      </c>
      <c r="AL13">
        <f>[8]CRP_Outcome_ELV!$C13</f>
        <v>0</v>
      </c>
      <c r="AM13">
        <f>[8]CRP_Outcome_ELV!$D13</f>
        <v>0</v>
      </c>
      <c r="AN13">
        <f>[8]CRP_Outcome_ELV!$E13</f>
        <v>0</v>
      </c>
      <c r="AP13">
        <f>[9]CRP_Outcome_ELV!$B13</f>
        <v>0</v>
      </c>
      <c r="AQ13">
        <f>[9]CRP_Outcome_ELV!$C13</f>
        <v>30</v>
      </c>
      <c r="AR13">
        <f>[9]CRP_Outcome_ELV!$D13</f>
        <v>0</v>
      </c>
      <c r="AS13">
        <f>[9]CRP_Outcome_ELV!$E13</f>
        <v>0</v>
      </c>
      <c r="AU13">
        <f>[10]CRP_Outcome_ELV!$B13</f>
        <v>0</v>
      </c>
      <c r="AV13">
        <f>[10]CRP_Outcome_ELV!$C13</f>
        <v>30</v>
      </c>
      <c r="AW13">
        <f>[10]CRP_Outcome_ELV!$D13</f>
        <v>0</v>
      </c>
      <c r="AX13">
        <f>[10]CRP_Outcome_ELV!$E13</f>
        <v>0</v>
      </c>
      <c r="BA13">
        <f t="shared" si="1"/>
        <v>1.6</v>
      </c>
      <c r="BB13">
        <f t="shared" si="0"/>
        <v>7.6</v>
      </c>
      <c r="BC13">
        <f t="shared" si="0"/>
        <v>0</v>
      </c>
      <c r="BD13">
        <f t="shared" si="0"/>
        <v>0</v>
      </c>
    </row>
    <row r="14" spans="1:56" x14ac:dyDescent="0.35">
      <c r="A14">
        <v>12</v>
      </c>
      <c r="B14">
        <f>[1]CRP_Outcome_ELV!$B14</f>
        <v>0</v>
      </c>
      <c r="C14">
        <f>[1]CRP_Outcome_ELV!$C14</f>
        <v>3</v>
      </c>
      <c r="D14">
        <f>[1]CRP_Outcome_ELV!$D14</f>
        <v>0</v>
      </c>
      <c r="E14">
        <f>[1]CRP_Outcome_ELV!$E14</f>
        <v>0</v>
      </c>
      <c r="G14">
        <f>[2]CRP_Outcome_ELV!$B14</f>
        <v>0</v>
      </c>
      <c r="H14">
        <f>[2]CRP_Outcome_ELV!$C14</f>
        <v>14</v>
      </c>
      <c r="I14">
        <f>[2]CRP_Outcome_ELV!$D14</f>
        <v>0</v>
      </c>
      <c r="J14">
        <f>[2]CRP_Outcome_ELV!$E14</f>
        <v>0</v>
      </c>
      <c r="L14">
        <f>[3]CRP_Outcome_ELV!$B14</f>
        <v>0</v>
      </c>
      <c r="M14">
        <f>[3]CRP_Outcome_ELV!$C14</f>
        <v>7</v>
      </c>
      <c r="N14">
        <f>[3]CRP_Outcome_ELV!$D14</f>
        <v>0</v>
      </c>
      <c r="O14">
        <f>[3]CRP_Outcome_ELV!$E14</f>
        <v>0</v>
      </c>
      <c r="Q14">
        <f>[4]CRP_Outcome_ELV!$B14</f>
        <v>0</v>
      </c>
      <c r="R14">
        <f>[4]CRP_Outcome_ELV!$C14</f>
        <v>5</v>
      </c>
      <c r="S14">
        <f>[4]CRP_Outcome_ELV!$D14</f>
        <v>0</v>
      </c>
      <c r="T14">
        <f>[4]CRP_Outcome_ELV!$E14</f>
        <v>0</v>
      </c>
      <c r="V14">
        <f>[5]CRP_Outcome_ELV!$B14</f>
        <v>0</v>
      </c>
      <c r="W14">
        <f>[5]CRP_Outcome_ELV!$C14</f>
        <v>0</v>
      </c>
      <c r="X14">
        <f>[5]CRP_Outcome_ELV!$D14</f>
        <v>0</v>
      </c>
      <c r="Y14">
        <f>[5]CRP_Outcome_ELV!$E14</f>
        <v>0</v>
      </c>
      <c r="AA14">
        <f>[6]CRP_Outcome_ELV!$B14</f>
        <v>0</v>
      </c>
      <c r="AB14">
        <f>[6]CRP_Outcome_ELV!$C14</f>
        <v>8</v>
      </c>
      <c r="AC14">
        <f>[6]CRP_Outcome_ELV!$D14</f>
        <v>0</v>
      </c>
      <c r="AD14">
        <f>[6]CRP_Outcome_ELV!$E14</f>
        <v>0</v>
      </c>
      <c r="AF14">
        <f>[7]CRP_Outcome_ELV!$B14</f>
        <v>0</v>
      </c>
      <c r="AG14">
        <f>[7]CRP_Outcome_ELV!$C14</f>
        <v>12</v>
      </c>
      <c r="AH14">
        <f>[7]CRP_Outcome_ELV!$D14</f>
        <v>0</v>
      </c>
      <c r="AI14">
        <f>[7]CRP_Outcome_ELV!$E14</f>
        <v>0</v>
      </c>
      <c r="AK14">
        <f>[8]CRP_Outcome_ELV!$B14</f>
        <v>0</v>
      </c>
      <c r="AL14">
        <f>[8]CRP_Outcome_ELV!$C14</f>
        <v>0</v>
      </c>
      <c r="AM14">
        <f>[8]CRP_Outcome_ELV!$D14</f>
        <v>0</v>
      </c>
      <c r="AN14">
        <f>[8]CRP_Outcome_ELV!$E14</f>
        <v>0</v>
      </c>
      <c r="AP14">
        <f>[9]CRP_Outcome_ELV!$B14</f>
        <v>0</v>
      </c>
      <c r="AQ14">
        <f>[9]CRP_Outcome_ELV!$C14</f>
        <v>32</v>
      </c>
      <c r="AR14">
        <f>[9]CRP_Outcome_ELV!$D14</f>
        <v>0</v>
      </c>
      <c r="AS14">
        <f>[9]CRP_Outcome_ELV!$E14</f>
        <v>0</v>
      </c>
      <c r="AU14">
        <f>[10]CRP_Outcome_ELV!$B14</f>
        <v>0</v>
      </c>
      <c r="AV14">
        <f>[10]CRP_Outcome_ELV!$C14</f>
        <v>57</v>
      </c>
      <c r="AW14">
        <f>[10]CRP_Outcome_ELV!$D14</f>
        <v>0</v>
      </c>
      <c r="AX14">
        <f>[10]CRP_Outcome_ELV!$E14</f>
        <v>0</v>
      </c>
      <c r="BA14">
        <f t="shared" si="1"/>
        <v>0</v>
      </c>
      <c r="BB14">
        <f t="shared" si="0"/>
        <v>13.8</v>
      </c>
      <c r="BC14">
        <f t="shared" si="0"/>
        <v>0</v>
      </c>
      <c r="BD14">
        <f t="shared" si="0"/>
        <v>0</v>
      </c>
    </row>
    <row r="15" spans="1:56" x14ac:dyDescent="0.35">
      <c r="A15">
        <v>13</v>
      </c>
      <c r="B15">
        <f>[1]CRP_Outcome_ELV!$B15</f>
        <v>0</v>
      </c>
      <c r="C15">
        <f>[1]CRP_Outcome_ELV!$C15</f>
        <v>10</v>
      </c>
      <c r="D15">
        <f>[1]CRP_Outcome_ELV!$D15</f>
        <v>0</v>
      </c>
      <c r="E15">
        <f>[1]CRP_Outcome_ELV!$E15</f>
        <v>0</v>
      </c>
      <c r="G15">
        <f>[2]CRP_Outcome_ELV!$B15</f>
        <v>0</v>
      </c>
      <c r="H15">
        <f>[2]CRP_Outcome_ELV!$C15</f>
        <v>0</v>
      </c>
      <c r="I15">
        <f>[2]CRP_Outcome_ELV!$D15</f>
        <v>0</v>
      </c>
      <c r="J15">
        <f>[2]CRP_Outcome_ELV!$E15</f>
        <v>0</v>
      </c>
      <c r="L15">
        <f>[3]CRP_Outcome_ELV!$B15</f>
        <v>0</v>
      </c>
      <c r="M15">
        <f>[3]CRP_Outcome_ELV!$C15</f>
        <v>0</v>
      </c>
      <c r="N15">
        <f>[3]CRP_Outcome_ELV!$D15</f>
        <v>0</v>
      </c>
      <c r="O15">
        <f>[3]CRP_Outcome_ELV!$E15</f>
        <v>0</v>
      </c>
      <c r="Q15">
        <f>[4]CRP_Outcome_ELV!$B15</f>
        <v>0</v>
      </c>
      <c r="R15">
        <f>[4]CRP_Outcome_ELV!$C15</f>
        <v>6</v>
      </c>
      <c r="S15">
        <f>[4]CRP_Outcome_ELV!$D15</f>
        <v>0</v>
      </c>
      <c r="T15">
        <f>[4]CRP_Outcome_ELV!$E15</f>
        <v>0</v>
      </c>
      <c r="V15">
        <f>[5]CRP_Outcome_ELV!$B15</f>
        <v>0</v>
      </c>
      <c r="W15">
        <f>[5]CRP_Outcome_ELV!$C15</f>
        <v>0</v>
      </c>
      <c r="X15">
        <f>[5]CRP_Outcome_ELV!$D15</f>
        <v>0</v>
      </c>
      <c r="Y15">
        <f>[5]CRP_Outcome_ELV!$E15</f>
        <v>0</v>
      </c>
      <c r="AA15">
        <f>[6]CRP_Outcome_ELV!$B15</f>
        <v>0</v>
      </c>
      <c r="AB15">
        <f>[6]CRP_Outcome_ELV!$C15</f>
        <v>0</v>
      </c>
      <c r="AC15">
        <f>[6]CRP_Outcome_ELV!$D15</f>
        <v>0</v>
      </c>
      <c r="AD15">
        <f>[6]CRP_Outcome_ELV!$E15</f>
        <v>0</v>
      </c>
      <c r="AF15">
        <f>[7]CRP_Outcome_ELV!$B15</f>
        <v>0</v>
      </c>
      <c r="AG15">
        <f>[7]CRP_Outcome_ELV!$C15</f>
        <v>0</v>
      </c>
      <c r="AH15">
        <f>[7]CRP_Outcome_ELV!$D15</f>
        <v>0</v>
      </c>
      <c r="AI15">
        <f>[7]CRP_Outcome_ELV!$E15</f>
        <v>0</v>
      </c>
      <c r="AK15">
        <f>[8]CRP_Outcome_ELV!$B15</f>
        <v>0</v>
      </c>
      <c r="AL15">
        <f>[8]CRP_Outcome_ELV!$C15</f>
        <v>0</v>
      </c>
      <c r="AM15">
        <f>[8]CRP_Outcome_ELV!$D15</f>
        <v>0</v>
      </c>
      <c r="AN15">
        <f>[8]CRP_Outcome_ELV!$E15</f>
        <v>0</v>
      </c>
      <c r="AP15">
        <f>[9]CRP_Outcome_ELV!$B15</f>
        <v>0</v>
      </c>
      <c r="AQ15">
        <f>[9]CRP_Outcome_ELV!$C15</f>
        <v>0</v>
      </c>
      <c r="AR15">
        <f>[9]CRP_Outcome_ELV!$D15</f>
        <v>0</v>
      </c>
      <c r="AS15">
        <f>[9]CRP_Outcome_ELV!$E15</f>
        <v>0</v>
      </c>
      <c r="AU15">
        <f>[10]CRP_Outcome_ELV!$B15</f>
        <v>0</v>
      </c>
      <c r="AV15">
        <f>[10]CRP_Outcome_ELV!$C15</f>
        <v>57</v>
      </c>
      <c r="AW15">
        <f>[10]CRP_Outcome_ELV!$D15</f>
        <v>0</v>
      </c>
      <c r="AX15">
        <f>[10]CRP_Outcome_ELV!$E15</f>
        <v>0</v>
      </c>
      <c r="BA15">
        <f t="shared" si="1"/>
        <v>0</v>
      </c>
      <c r="BB15">
        <f t="shared" si="0"/>
        <v>7.3</v>
      </c>
      <c r="BC15">
        <f t="shared" si="0"/>
        <v>0</v>
      </c>
      <c r="BD15">
        <f t="shared" si="0"/>
        <v>0</v>
      </c>
    </row>
    <row r="16" spans="1:56" x14ac:dyDescent="0.35">
      <c r="A16">
        <v>14</v>
      </c>
      <c r="B16">
        <f>[1]CRP_Outcome_ELV!$B16</f>
        <v>0</v>
      </c>
      <c r="C16">
        <f>[1]CRP_Outcome_ELV!$C16</f>
        <v>0</v>
      </c>
      <c r="D16">
        <f>[1]CRP_Outcome_ELV!$D16</f>
        <v>0</v>
      </c>
      <c r="E16">
        <f>[1]CRP_Outcome_ELV!$E16</f>
        <v>0</v>
      </c>
      <c r="G16">
        <f>[2]CRP_Outcome_ELV!$B16</f>
        <v>0</v>
      </c>
      <c r="H16">
        <f>[2]CRP_Outcome_ELV!$C16</f>
        <v>0</v>
      </c>
      <c r="I16">
        <f>[2]CRP_Outcome_ELV!$D16</f>
        <v>0</v>
      </c>
      <c r="J16">
        <f>[2]CRP_Outcome_ELV!$E16</f>
        <v>0</v>
      </c>
      <c r="L16">
        <f>[3]CRP_Outcome_ELV!$B16</f>
        <v>0</v>
      </c>
      <c r="M16">
        <f>[3]CRP_Outcome_ELV!$C16</f>
        <v>0</v>
      </c>
      <c r="N16">
        <f>[3]CRP_Outcome_ELV!$D16</f>
        <v>0</v>
      </c>
      <c r="O16">
        <f>[3]CRP_Outcome_ELV!$E16</f>
        <v>0</v>
      </c>
      <c r="Q16">
        <f>[4]CRP_Outcome_ELV!$B16</f>
        <v>0</v>
      </c>
      <c r="R16">
        <f>[4]CRP_Outcome_ELV!$C16</f>
        <v>0</v>
      </c>
      <c r="S16">
        <f>[4]CRP_Outcome_ELV!$D16</f>
        <v>0</v>
      </c>
      <c r="T16">
        <f>[4]CRP_Outcome_ELV!$E16</f>
        <v>0</v>
      </c>
      <c r="V16">
        <f>[5]CRP_Outcome_ELV!$B16</f>
        <v>0</v>
      </c>
      <c r="W16">
        <f>[5]CRP_Outcome_ELV!$C16</f>
        <v>0</v>
      </c>
      <c r="X16">
        <f>[5]CRP_Outcome_ELV!$D16</f>
        <v>0</v>
      </c>
      <c r="Y16">
        <f>[5]CRP_Outcome_ELV!$E16</f>
        <v>0</v>
      </c>
      <c r="AA16">
        <f>[6]CRP_Outcome_ELV!$B16</f>
        <v>0</v>
      </c>
      <c r="AB16">
        <f>[6]CRP_Outcome_ELV!$C16</f>
        <v>0</v>
      </c>
      <c r="AC16">
        <f>[6]CRP_Outcome_ELV!$D16</f>
        <v>0</v>
      </c>
      <c r="AD16">
        <f>[6]CRP_Outcome_ELV!$E16</f>
        <v>0</v>
      </c>
      <c r="AF16">
        <f>[7]CRP_Outcome_ELV!$B16</f>
        <v>0</v>
      </c>
      <c r="AG16">
        <f>[7]CRP_Outcome_ELV!$C16</f>
        <v>0</v>
      </c>
      <c r="AH16">
        <f>[7]CRP_Outcome_ELV!$D16</f>
        <v>0</v>
      </c>
      <c r="AI16">
        <f>[7]CRP_Outcome_ELV!$E16</f>
        <v>0</v>
      </c>
      <c r="AK16">
        <f>[8]CRP_Outcome_ELV!$B16</f>
        <v>0</v>
      </c>
      <c r="AL16">
        <f>[8]CRP_Outcome_ELV!$C16</f>
        <v>0</v>
      </c>
      <c r="AM16">
        <f>[8]CRP_Outcome_ELV!$D16</f>
        <v>0</v>
      </c>
      <c r="AN16">
        <f>[8]CRP_Outcome_ELV!$E16</f>
        <v>0</v>
      </c>
      <c r="AP16">
        <f>[9]CRP_Outcome_ELV!$B16</f>
        <v>0</v>
      </c>
      <c r="AQ16">
        <f>[9]CRP_Outcome_ELV!$C16</f>
        <v>0</v>
      </c>
      <c r="AR16">
        <f>[9]CRP_Outcome_ELV!$D16</f>
        <v>0</v>
      </c>
      <c r="AS16">
        <f>[9]CRP_Outcome_ELV!$E16</f>
        <v>0</v>
      </c>
      <c r="AU16">
        <f>[10]CRP_Outcome_ELV!$B16</f>
        <v>0</v>
      </c>
      <c r="AV16">
        <f>[10]CRP_Outcome_ELV!$C16</f>
        <v>9</v>
      </c>
      <c r="AW16">
        <f>[10]CRP_Outcome_ELV!$D16</f>
        <v>0</v>
      </c>
      <c r="AX16">
        <f>[10]CRP_Outcome_ELV!$E16</f>
        <v>0</v>
      </c>
      <c r="BA16">
        <f t="shared" si="1"/>
        <v>0</v>
      </c>
      <c r="BB16">
        <f t="shared" si="0"/>
        <v>0.9</v>
      </c>
      <c r="BC16">
        <f t="shared" si="0"/>
        <v>0</v>
      </c>
      <c r="BD16">
        <f t="shared" si="0"/>
        <v>0</v>
      </c>
    </row>
    <row r="17" spans="1:56" x14ac:dyDescent="0.35">
      <c r="A17">
        <v>15</v>
      </c>
      <c r="B17">
        <f>[1]CRP_Outcome_ELV!$B17</f>
        <v>0</v>
      </c>
      <c r="C17">
        <f>[1]CRP_Outcome_ELV!$C17</f>
        <v>0</v>
      </c>
      <c r="D17">
        <f>[1]CRP_Outcome_ELV!$D17</f>
        <v>0</v>
      </c>
      <c r="E17">
        <f>[1]CRP_Outcome_ELV!$E17</f>
        <v>0</v>
      </c>
      <c r="G17">
        <f>[2]CRP_Outcome_ELV!$B17</f>
        <v>0</v>
      </c>
      <c r="H17">
        <f>[2]CRP_Outcome_ELV!$C17</f>
        <v>0</v>
      </c>
      <c r="I17">
        <f>[2]CRP_Outcome_ELV!$D17</f>
        <v>0</v>
      </c>
      <c r="J17">
        <f>[2]CRP_Outcome_ELV!$E17</f>
        <v>0</v>
      </c>
      <c r="L17">
        <f>[3]CRP_Outcome_ELV!$B17</f>
        <v>0</v>
      </c>
      <c r="M17">
        <f>[3]CRP_Outcome_ELV!$C17</f>
        <v>0</v>
      </c>
      <c r="N17">
        <f>[3]CRP_Outcome_ELV!$D17</f>
        <v>0</v>
      </c>
      <c r="O17">
        <f>[3]CRP_Outcome_ELV!$E17</f>
        <v>0</v>
      </c>
      <c r="Q17">
        <f>[4]CRP_Outcome_ELV!$B17</f>
        <v>0</v>
      </c>
      <c r="R17">
        <f>[4]CRP_Outcome_ELV!$C17</f>
        <v>0</v>
      </c>
      <c r="S17">
        <f>[4]CRP_Outcome_ELV!$D17</f>
        <v>0</v>
      </c>
      <c r="T17">
        <f>[4]CRP_Outcome_ELV!$E17</f>
        <v>0</v>
      </c>
      <c r="V17">
        <f>[5]CRP_Outcome_ELV!$B17</f>
        <v>0</v>
      </c>
      <c r="W17">
        <f>[5]CRP_Outcome_ELV!$C17</f>
        <v>0</v>
      </c>
      <c r="X17">
        <f>[5]CRP_Outcome_ELV!$D17</f>
        <v>0</v>
      </c>
      <c r="Y17">
        <f>[5]CRP_Outcome_ELV!$E17</f>
        <v>0</v>
      </c>
      <c r="AA17">
        <f>[6]CRP_Outcome_ELV!$B17</f>
        <v>0</v>
      </c>
      <c r="AB17">
        <f>[6]CRP_Outcome_ELV!$C17</f>
        <v>0</v>
      </c>
      <c r="AC17">
        <f>[6]CRP_Outcome_ELV!$D17</f>
        <v>0</v>
      </c>
      <c r="AD17">
        <f>[6]CRP_Outcome_ELV!$E17</f>
        <v>0</v>
      </c>
      <c r="AF17">
        <f>[7]CRP_Outcome_ELV!$B17</f>
        <v>0</v>
      </c>
      <c r="AG17">
        <f>[7]CRP_Outcome_ELV!$C17</f>
        <v>0</v>
      </c>
      <c r="AH17">
        <f>[7]CRP_Outcome_ELV!$D17</f>
        <v>0</v>
      </c>
      <c r="AI17">
        <f>[7]CRP_Outcome_ELV!$E17</f>
        <v>0</v>
      </c>
      <c r="AK17">
        <f>[8]CRP_Outcome_ELV!$B17</f>
        <v>0</v>
      </c>
      <c r="AL17">
        <f>[8]CRP_Outcome_ELV!$C17</f>
        <v>0</v>
      </c>
      <c r="AM17">
        <f>[8]CRP_Outcome_ELV!$D17</f>
        <v>0</v>
      </c>
      <c r="AN17">
        <f>[8]CRP_Outcome_ELV!$E17</f>
        <v>0</v>
      </c>
      <c r="AP17">
        <f>[9]CRP_Outcome_ELV!$B17</f>
        <v>0</v>
      </c>
      <c r="AQ17">
        <f>[9]CRP_Outcome_ELV!$C17</f>
        <v>0</v>
      </c>
      <c r="AR17">
        <f>[9]CRP_Outcome_ELV!$D17</f>
        <v>0</v>
      </c>
      <c r="AS17">
        <f>[9]CRP_Outcome_ELV!$E17</f>
        <v>0</v>
      </c>
      <c r="AU17">
        <f>[10]CRP_Outcome_ELV!$B17</f>
        <v>5</v>
      </c>
      <c r="AV17">
        <f>[10]CRP_Outcome_ELV!$C17</f>
        <v>0</v>
      </c>
      <c r="AW17">
        <f>[10]CRP_Outcome_ELV!$D17</f>
        <v>0</v>
      </c>
      <c r="AX17">
        <f>[10]CRP_Outcome_ELV!$E17</f>
        <v>0</v>
      </c>
      <c r="BA17">
        <f t="shared" si="1"/>
        <v>0.5</v>
      </c>
      <c r="BB17">
        <f t="shared" si="0"/>
        <v>0</v>
      </c>
      <c r="BC17">
        <f t="shared" si="0"/>
        <v>0</v>
      </c>
      <c r="BD17">
        <f t="shared" si="0"/>
        <v>0</v>
      </c>
    </row>
    <row r="18" spans="1:56" x14ac:dyDescent="0.35">
      <c r="A18">
        <v>16</v>
      </c>
      <c r="B18">
        <f>[1]CRP_Outcome_ELV!$B18</f>
        <v>0</v>
      </c>
      <c r="C18">
        <f>[1]CRP_Outcome_ELV!$C18</f>
        <v>0</v>
      </c>
      <c r="D18">
        <f>[1]CRP_Outcome_ELV!$D18</f>
        <v>0</v>
      </c>
      <c r="E18">
        <f>[1]CRP_Outcome_ELV!$E18</f>
        <v>0</v>
      </c>
      <c r="G18">
        <f>[2]CRP_Outcome_ELV!$B18</f>
        <v>1</v>
      </c>
      <c r="H18">
        <f>[2]CRP_Outcome_ELV!$C18</f>
        <v>0</v>
      </c>
      <c r="I18">
        <f>[2]CRP_Outcome_ELV!$D18</f>
        <v>0</v>
      </c>
      <c r="J18">
        <f>[2]CRP_Outcome_ELV!$E18</f>
        <v>0</v>
      </c>
      <c r="L18">
        <f>[3]CRP_Outcome_ELV!$B18</f>
        <v>1</v>
      </c>
      <c r="M18">
        <f>[3]CRP_Outcome_ELV!$C18</f>
        <v>0</v>
      </c>
      <c r="N18">
        <f>[3]CRP_Outcome_ELV!$D18</f>
        <v>0</v>
      </c>
      <c r="O18">
        <f>[3]CRP_Outcome_ELV!$E18</f>
        <v>0</v>
      </c>
      <c r="Q18">
        <f>[4]CRP_Outcome_ELV!$B18</f>
        <v>0</v>
      </c>
      <c r="R18">
        <f>[4]CRP_Outcome_ELV!$C18</f>
        <v>0</v>
      </c>
      <c r="S18">
        <f>[4]CRP_Outcome_ELV!$D18</f>
        <v>0</v>
      </c>
      <c r="T18">
        <f>[4]CRP_Outcome_ELV!$E18</f>
        <v>0</v>
      </c>
      <c r="V18">
        <f>[5]CRP_Outcome_ELV!$B18</f>
        <v>0</v>
      </c>
      <c r="W18">
        <f>[5]CRP_Outcome_ELV!$C18</f>
        <v>0</v>
      </c>
      <c r="X18">
        <f>[5]CRP_Outcome_ELV!$D18</f>
        <v>0</v>
      </c>
      <c r="Y18">
        <f>[5]CRP_Outcome_ELV!$E18</f>
        <v>0</v>
      </c>
      <c r="AA18">
        <f>[6]CRP_Outcome_ELV!$B18</f>
        <v>1</v>
      </c>
      <c r="AB18">
        <f>[6]CRP_Outcome_ELV!$C18</f>
        <v>0</v>
      </c>
      <c r="AC18">
        <f>[6]CRP_Outcome_ELV!$D18</f>
        <v>0</v>
      </c>
      <c r="AD18">
        <f>[6]CRP_Outcome_ELV!$E18</f>
        <v>0</v>
      </c>
      <c r="AF18">
        <f>[7]CRP_Outcome_ELV!$B18</f>
        <v>6</v>
      </c>
      <c r="AG18">
        <f>[7]CRP_Outcome_ELV!$C18</f>
        <v>0</v>
      </c>
      <c r="AH18">
        <f>[7]CRP_Outcome_ELV!$D18</f>
        <v>0</v>
      </c>
      <c r="AI18">
        <f>[7]CRP_Outcome_ELV!$E18</f>
        <v>0</v>
      </c>
      <c r="AK18">
        <f>[8]CRP_Outcome_ELV!$B18</f>
        <v>0</v>
      </c>
      <c r="AL18">
        <f>[8]CRP_Outcome_ELV!$C18</f>
        <v>0</v>
      </c>
      <c r="AM18">
        <f>[8]CRP_Outcome_ELV!$D18</f>
        <v>0</v>
      </c>
      <c r="AN18">
        <f>[8]CRP_Outcome_ELV!$E18</f>
        <v>0</v>
      </c>
      <c r="AP18">
        <f>[9]CRP_Outcome_ELV!$B18</f>
        <v>3</v>
      </c>
      <c r="AQ18">
        <f>[9]CRP_Outcome_ELV!$C18</f>
        <v>0</v>
      </c>
      <c r="AR18">
        <f>[9]CRP_Outcome_ELV!$D18</f>
        <v>0</v>
      </c>
      <c r="AS18">
        <f>[9]CRP_Outcome_ELV!$E18</f>
        <v>0</v>
      </c>
      <c r="AU18">
        <f>[10]CRP_Outcome_ELV!$B18</f>
        <v>0</v>
      </c>
      <c r="AV18">
        <f>[10]CRP_Outcome_ELV!$C18</f>
        <v>0</v>
      </c>
      <c r="AW18">
        <f>[10]CRP_Outcome_ELV!$D18</f>
        <v>0</v>
      </c>
      <c r="AX18">
        <f>[10]CRP_Outcome_ELV!$E18</f>
        <v>0</v>
      </c>
      <c r="BA18">
        <f t="shared" si="1"/>
        <v>1.2</v>
      </c>
      <c r="BB18">
        <f t="shared" si="1"/>
        <v>0</v>
      </c>
      <c r="BC18">
        <f t="shared" si="1"/>
        <v>0</v>
      </c>
      <c r="BD18">
        <f t="shared" si="1"/>
        <v>0</v>
      </c>
    </row>
    <row r="19" spans="1:56" x14ac:dyDescent="0.35">
      <c r="A19">
        <v>17</v>
      </c>
      <c r="B19">
        <f>[1]CRP_Outcome_ELV!$B19</f>
        <v>0</v>
      </c>
      <c r="C19">
        <f>[1]CRP_Outcome_ELV!$C19</f>
        <v>0</v>
      </c>
      <c r="D19">
        <f>[1]CRP_Outcome_ELV!$D19</f>
        <v>0</v>
      </c>
      <c r="E19">
        <f>[1]CRP_Outcome_ELV!$E19</f>
        <v>0</v>
      </c>
      <c r="G19">
        <f>[2]CRP_Outcome_ELV!$B19</f>
        <v>3</v>
      </c>
      <c r="H19">
        <f>[2]CRP_Outcome_ELV!$C19</f>
        <v>0</v>
      </c>
      <c r="I19">
        <f>[2]CRP_Outcome_ELV!$D19</f>
        <v>0</v>
      </c>
      <c r="J19">
        <f>[2]CRP_Outcome_ELV!$E19</f>
        <v>0</v>
      </c>
      <c r="L19">
        <f>[3]CRP_Outcome_ELV!$B19</f>
        <v>0</v>
      </c>
      <c r="M19">
        <f>[3]CRP_Outcome_ELV!$C19</f>
        <v>0</v>
      </c>
      <c r="N19">
        <f>[3]CRP_Outcome_ELV!$D19</f>
        <v>0</v>
      </c>
      <c r="O19">
        <f>[3]CRP_Outcome_ELV!$E19</f>
        <v>0</v>
      </c>
      <c r="Q19">
        <f>[4]CRP_Outcome_ELV!$B19</f>
        <v>0</v>
      </c>
      <c r="R19">
        <f>[4]CRP_Outcome_ELV!$C19</f>
        <v>7</v>
      </c>
      <c r="S19">
        <f>[4]CRP_Outcome_ELV!$D19</f>
        <v>0</v>
      </c>
      <c r="T19">
        <f>[4]CRP_Outcome_ELV!$E19</f>
        <v>0</v>
      </c>
      <c r="V19">
        <f>[5]CRP_Outcome_ELV!$B19</f>
        <v>0</v>
      </c>
      <c r="W19">
        <f>[5]CRP_Outcome_ELV!$C19</f>
        <v>0</v>
      </c>
      <c r="X19">
        <f>[5]CRP_Outcome_ELV!$D19</f>
        <v>0</v>
      </c>
      <c r="Y19">
        <f>[5]CRP_Outcome_ELV!$E19</f>
        <v>0</v>
      </c>
      <c r="AA19">
        <f>[6]CRP_Outcome_ELV!$B19</f>
        <v>0</v>
      </c>
      <c r="AB19">
        <f>[6]CRP_Outcome_ELV!$C19</f>
        <v>8</v>
      </c>
      <c r="AC19">
        <f>[6]CRP_Outcome_ELV!$D19</f>
        <v>0</v>
      </c>
      <c r="AD19">
        <f>[6]CRP_Outcome_ELV!$E19</f>
        <v>0</v>
      </c>
      <c r="AF19">
        <f>[7]CRP_Outcome_ELV!$B19</f>
        <v>0</v>
      </c>
      <c r="AG19">
        <f>[7]CRP_Outcome_ELV!$C19</f>
        <v>6</v>
      </c>
      <c r="AH19">
        <f>[7]CRP_Outcome_ELV!$D19</f>
        <v>0</v>
      </c>
      <c r="AI19">
        <f>[7]CRP_Outcome_ELV!$E19</f>
        <v>0</v>
      </c>
      <c r="AK19">
        <f>[8]CRP_Outcome_ELV!$B19</f>
        <v>0</v>
      </c>
      <c r="AL19">
        <f>[8]CRP_Outcome_ELV!$C19</f>
        <v>0</v>
      </c>
      <c r="AM19">
        <f>[8]CRP_Outcome_ELV!$D19</f>
        <v>0</v>
      </c>
      <c r="AN19">
        <f>[8]CRP_Outcome_ELV!$E19</f>
        <v>0</v>
      </c>
      <c r="AP19">
        <f>[9]CRP_Outcome_ELV!$B19</f>
        <v>0</v>
      </c>
      <c r="AQ19">
        <f>[9]CRP_Outcome_ELV!$C19</f>
        <v>22</v>
      </c>
      <c r="AR19">
        <f>[9]CRP_Outcome_ELV!$D19</f>
        <v>0</v>
      </c>
      <c r="AS19">
        <f>[9]CRP_Outcome_ELV!$E19</f>
        <v>0</v>
      </c>
      <c r="AU19">
        <f>[10]CRP_Outcome_ELV!$B19</f>
        <v>0</v>
      </c>
      <c r="AV19">
        <f>[10]CRP_Outcome_ELV!$C19</f>
        <v>0</v>
      </c>
      <c r="AW19">
        <f>[10]CRP_Outcome_ELV!$D19</f>
        <v>0</v>
      </c>
      <c r="AX19">
        <f>[10]CRP_Outcome_ELV!$E19</f>
        <v>0</v>
      </c>
      <c r="BA19">
        <f t="shared" si="1"/>
        <v>0.3</v>
      </c>
      <c r="BB19">
        <f t="shared" si="1"/>
        <v>4.3</v>
      </c>
      <c r="BC19">
        <f t="shared" si="1"/>
        <v>0</v>
      </c>
      <c r="BD19">
        <f t="shared" si="1"/>
        <v>0</v>
      </c>
    </row>
    <row r="20" spans="1:56" x14ac:dyDescent="0.35">
      <c r="A20">
        <v>18</v>
      </c>
      <c r="B20">
        <f>[1]CRP_Outcome_ELV!$B20</f>
        <v>0</v>
      </c>
      <c r="C20">
        <f>[1]CRP_Outcome_ELV!$C20</f>
        <v>7</v>
      </c>
      <c r="D20">
        <f>[1]CRP_Outcome_ELV!$D20</f>
        <v>0</v>
      </c>
      <c r="E20">
        <f>[1]CRP_Outcome_ELV!$E20</f>
        <v>0</v>
      </c>
      <c r="G20">
        <f>[2]CRP_Outcome_ELV!$B20</f>
        <v>0</v>
      </c>
      <c r="H20">
        <f>[2]CRP_Outcome_ELV!$C20</f>
        <v>22</v>
      </c>
      <c r="I20">
        <f>[2]CRP_Outcome_ELV!$D20</f>
        <v>0</v>
      </c>
      <c r="J20">
        <f>[2]CRP_Outcome_ELV!$E20</f>
        <v>0</v>
      </c>
      <c r="L20">
        <f>[3]CRP_Outcome_ELV!$B20</f>
        <v>0</v>
      </c>
      <c r="M20">
        <f>[3]CRP_Outcome_ELV!$C20</f>
        <v>24</v>
      </c>
      <c r="N20">
        <f>[3]CRP_Outcome_ELV!$D20</f>
        <v>0</v>
      </c>
      <c r="O20">
        <f>[3]CRP_Outcome_ELV!$E20</f>
        <v>0</v>
      </c>
      <c r="Q20">
        <f>[4]CRP_Outcome_ELV!$B20</f>
        <v>0</v>
      </c>
      <c r="R20">
        <f>[4]CRP_Outcome_ELV!$C20</f>
        <v>0</v>
      </c>
      <c r="S20">
        <f>[4]CRP_Outcome_ELV!$D20</f>
        <v>0</v>
      </c>
      <c r="T20">
        <f>[4]CRP_Outcome_ELV!$E20</f>
        <v>0</v>
      </c>
      <c r="V20">
        <f>[5]CRP_Outcome_ELV!$B20</f>
        <v>0</v>
      </c>
      <c r="W20">
        <f>[5]CRP_Outcome_ELV!$C20</f>
        <v>0</v>
      </c>
      <c r="X20">
        <f>[5]CRP_Outcome_ELV!$D20</f>
        <v>0</v>
      </c>
      <c r="Y20">
        <f>[5]CRP_Outcome_ELV!$E20</f>
        <v>0</v>
      </c>
      <c r="AA20">
        <f>[6]CRP_Outcome_ELV!$B20</f>
        <v>0</v>
      </c>
      <c r="AB20">
        <f>[6]CRP_Outcome_ELV!$C20</f>
        <v>4</v>
      </c>
      <c r="AC20">
        <f>[6]CRP_Outcome_ELV!$D20</f>
        <v>0</v>
      </c>
      <c r="AD20">
        <f>[6]CRP_Outcome_ELV!$E20</f>
        <v>0</v>
      </c>
      <c r="AF20">
        <f>[7]CRP_Outcome_ELV!$B20</f>
        <v>0</v>
      </c>
      <c r="AG20">
        <f>[7]CRP_Outcome_ELV!$C20</f>
        <v>15</v>
      </c>
      <c r="AH20">
        <f>[7]CRP_Outcome_ELV!$D20</f>
        <v>0</v>
      </c>
      <c r="AI20">
        <f>[7]CRP_Outcome_ELV!$E20</f>
        <v>0</v>
      </c>
      <c r="AK20">
        <f>[8]CRP_Outcome_ELV!$B20</f>
        <v>0</v>
      </c>
      <c r="AL20">
        <f>[8]CRP_Outcome_ELV!$C20</f>
        <v>0</v>
      </c>
      <c r="AM20">
        <f>[8]CRP_Outcome_ELV!$D20</f>
        <v>0</v>
      </c>
      <c r="AN20">
        <f>[8]CRP_Outcome_ELV!$E20</f>
        <v>0</v>
      </c>
      <c r="AP20">
        <f>[9]CRP_Outcome_ELV!$B20</f>
        <v>0</v>
      </c>
      <c r="AQ20">
        <f>[9]CRP_Outcome_ELV!$C20</f>
        <v>26</v>
      </c>
      <c r="AR20">
        <f>[9]CRP_Outcome_ELV!$D20</f>
        <v>0</v>
      </c>
      <c r="AS20">
        <f>[9]CRP_Outcome_ELV!$E20</f>
        <v>0</v>
      </c>
      <c r="AU20">
        <f>[10]CRP_Outcome_ELV!$B20</f>
        <v>0</v>
      </c>
      <c r="AV20">
        <f>[10]CRP_Outcome_ELV!$C20</f>
        <v>0</v>
      </c>
      <c r="AW20">
        <f>[10]CRP_Outcome_ELV!$D20</f>
        <v>0</v>
      </c>
      <c r="AX20">
        <f>[10]CRP_Outcome_ELV!$E20</f>
        <v>0</v>
      </c>
      <c r="BA20">
        <f t="shared" si="1"/>
        <v>0</v>
      </c>
      <c r="BB20">
        <f t="shared" si="1"/>
        <v>9.8000000000000007</v>
      </c>
      <c r="BC20">
        <f t="shared" si="1"/>
        <v>0</v>
      </c>
      <c r="BD20">
        <f t="shared" si="1"/>
        <v>0</v>
      </c>
    </row>
    <row r="21" spans="1:56" x14ac:dyDescent="0.35">
      <c r="A21">
        <v>19</v>
      </c>
      <c r="B21">
        <f>[1]CRP_Outcome_ELV!$B21</f>
        <v>0</v>
      </c>
      <c r="C21">
        <f>[1]CRP_Outcome_ELV!$C21</f>
        <v>6</v>
      </c>
      <c r="D21">
        <f>[1]CRP_Outcome_ELV!$D21</f>
        <v>0</v>
      </c>
      <c r="E21">
        <f>[1]CRP_Outcome_ELV!$E21</f>
        <v>0</v>
      </c>
      <c r="G21">
        <f>[2]CRP_Outcome_ELV!$B21</f>
        <v>0</v>
      </c>
      <c r="H21">
        <f>[2]CRP_Outcome_ELV!$C21</f>
        <v>3</v>
      </c>
      <c r="I21">
        <f>[2]CRP_Outcome_ELV!$D21</f>
        <v>0</v>
      </c>
      <c r="J21">
        <f>[2]CRP_Outcome_ELV!$E21</f>
        <v>0</v>
      </c>
      <c r="L21">
        <f>[3]CRP_Outcome_ELV!$B21</f>
        <v>0</v>
      </c>
      <c r="M21">
        <f>[3]CRP_Outcome_ELV!$C21</f>
        <v>0</v>
      </c>
      <c r="N21">
        <f>[3]CRP_Outcome_ELV!$D21</f>
        <v>0</v>
      </c>
      <c r="O21">
        <f>[3]CRP_Outcome_ELV!$E21</f>
        <v>0</v>
      </c>
      <c r="Q21">
        <f>[4]CRP_Outcome_ELV!$B21</f>
        <v>0</v>
      </c>
      <c r="R21">
        <f>[4]CRP_Outcome_ELV!$C21</f>
        <v>0</v>
      </c>
      <c r="S21">
        <f>[4]CRP_Outcome_ELV!$D21</f>
        <v>0</v>
      </c>
      <c r="T21">
        <f>[4]CRP_Outcome_ELV!$E21</f>
        <v>0</v>
      </c>
      <c r="V21">
        <f>[5]CRP_Outcome_ELV!$B21</f>
        <v>0</v>
      </c>
      <c r="W21">
        <f>[5]CRP_Outcome_ELV!$C21</f>
        <v>0</v>
      </c>
      <c r="X21">
        <f>[5]CRP_Outcome_ELV!$D21</f>
        <v>0</v>
      </c>
      <c r="Y21">
        <f>[5]CRP_Outcome_ELV!$E21</f>
        <v>0</v>
      </c>
      <c r="AA21">
        <f>[6]CRP_Outcome_ELV!$B21</f>
        <v>0</v>
      </c>
      <c r="AB21">
        <f>[6]CRP_Outcome_ELV!$C21</f>
        <v>0</v>
      </c>
      <c r="AC21">
        <f>[6]CRP_Outcome_ELV!$D21</f>
        <v>0</v>
      </c>
      <c r="AD21">
        <f>[6]CRP_Outcome_ELV!$E21</f>
        <v>0</v>
      </c>
      <c r="AF21">
        <f>[7]CRP_Outcome_ELV!$B21</f>
        <v>0</v>
      </c>
      <c r="AG21">
        <f>[7]CRP_Outcome_ELV!$C21</f>
        <v>0</v>
      </c>
      <c r="AH21">
        <f>[7]CRP_Outcome_ELV!$D21</f>
        <v>0</v>
      </c>
      <c r="AI21">
        <f>[7]CRP_Outcome_ELV!$E21</f>
        <v>0</v>
      </c>
      <c r="AK21">
        <f>[8]CRP_Outcome_ELV!$B21</f>
        <v>0</v>
      </c>
      <c r="AL21">
        <f>[8]CRP_Outcome_ELV!$C21</f>
        <v>0</v>
      </c>
      <c r="AM21">
        <f>[8]CRP_Outcome_ELV!$D21</f>
        <v>0</v>
      </c>
      <c r="AN21">
        <f>[8]CRP_Outcome_ELV!$E21</f>
        <v>0</v>
      </c>
      <c r="AP21">
        <f>[9]CRP_Outcome_ELV!$B21</f>
        <v>0</v>
      </c>
      <c r="AQ21">
        <f>[9]CRP_Outcome_ELV!$C21</f>
        <v>0</v>
      </c>
      <c r="AR21">
        <f>[9]CRP_Outcome_ELV!$D21</f>
        <v>0</v>
      </c>
      <c r="AS21">
        <f>[9]CRP_Outcome_ELV!$E21</f>
        <v>0</v>
      </c>
      <c r="AU21">
        <f>[10]CRP_Outcome_ELV!$B21</f>
        <v>0</v>
      </c>
      <c r="AV21">
        <f>[10]CRP_Outcome_ELV!$C21</f>
        <v>0</v>
      </c>
      <c r="AW21">
        <f>[10]CRP_Outcome_ELV!$D21</f>
        <v>0</v>
      </c>
      <c r="AX21">
        <f>[10]CRP_Outcome_ELV!$E21</f>
        <v>0</v>
      </c>
      <c r="BA21">
        <f t="shared" si="1"/>
        <v>0</v>
      </c>
      <c r="BB21">
        <f t="shared" si="1"/>
        <v>0.9</v>
      </c>
      <c r="BC21">
        <f t="shared" si="1"/>
        <v>0</v>
      </c>
      <c r="BD21">
        <f t="shared" si="1"/>
        <v>0</v>
      </c>
    </row>
    <row r="22" spans="1:56" x14ac:dyDescent="0.35">
      <c r="A22">
        <v>20</v>
      </c>
      <c r="B22">
        <f>[1]CRP_Outcome_ELV!$B22</f>
        <v>0</v>
      </c>
      <c r="C22">
        <f>[1]CRP_Outcome_ELV!$C22</f>
        <v>0</v>
      </c>
      <c r="D22">
        <f>[1]CRP_Outcome_ELV!$D22</f>
        <v>0</v>
      </c>
      <c r="E22">
        <f>[1]CRP_Outcome_ELV!$E22</f>
        <v>0</v>
      </c>
      <c r="G22">
        <f>[2]CRP_Outcome_ELV!$B22</f>
        <v>0</v>
      </c>
      <c r="H22">
        <f>[2]CRP_Outcome_ELV!$C22</f>
        <v>0</v>
      </c>
      <c r="I22">
        <f>[2]CRP_Outcome_ELV!$D22</f>
        <v>0</v>
      </c>
      <c r="J22">
        <f>[2]CRP_Outcome_ELV!$E22</f>
        <v>0</v>
      </c>
      <c r="L22">
        <f>[3]CRP_Outcome_ELV!$B22</f>
        <v>0</v>
      </c>
      <c r="M22">
        <f>[3]CRP_Outcome_ELV!$C22</f>
        <v>0</v>
      </c>
      <c r="N22">
        <f>[3]CRP_Outcome_ELV!$D22</f>
        <v>0</v>
      </c>
      <c r="O22">
        <f>[3]CRP_Outcome_ELV!$E22</f>
        <v>0</v>
      </c>
      <c r="Q22">
        <f>[4]CRP_Outcome_ELV!$B22</f>
        <v>0</v>
      </c>
      <c r="R22">
        <f>[4]CRP_Outcome_ELV!$C22</f>
        <v>0</v>
      </c>
      <c r="S22">
        <f>[4]CRP_Outcome_ELV!$D22</f>
        <v>0</v>
      </c>
      <c r="T22">
        <f>[4]CRP_Outcome_ELV!$E22</f>
        <v>0</v>
      </c>
      <c r="V22">
        <f>[5]CRP_Outcome_ELV!$B22</f>
        <v>0</v>
      </c>
      <c r="W22">
        <f>[5]CRP_Outcome_ELV!$C22</f>
        <v>0</v>
      </c>
      <c r="X22">
        <f>[5]CRP_Outcome_ELV!$D22</f>
        <v>0</v>
      </c>
      <c r="Y22">
        <f>[5]CRP_Outcome_ELV!$E22</f>
        <v>0</v>
      </c>
      <c r="AA22">
        <f>[6]CRP_Outcome_ELV!$B22</f>
        <v>0</v>
      </c>
      <c r="AB22">
        <f>[6]CRP_Outcome_ELV!$C22</f>
        <v>0</v>
      </c>
      <c r="AC22">
        <f>[6]CRP_Outcome_ELV!$D22</f>
        <v>0</v>
      </c>
      <c r="AD22">
        <f>[6]CRP_Outcome_ELV!$E22</f>
        <v>0</v>
      </c>
      <c r="AF22">
        <f>[7]CRP_Outcome_ELV!$B22</f>
        <v>0</v>
      </c>
      <c r="AG22">
        <f>[7]CRP_Outcome_ELV!$C22</f>
        <v>0</v>
      </c>
      <c r="AH22">
        <f>[7]CRP_Outcome_ELV!$D22</f>
        <v>0</v>
      </c>
      <c r="AI22">
        <f>[7]CRP_Outcome_ELV!$E22</f>
        <v>0</v>
      </c>
      <c r="AK22">
        <f>[8]CRP_Outcome_ELV!$B22</f>
        <v>0</v>
      </c>
      <c r="AL22">
        <f>[8]CRP_Outcome_ELV!$C22</f>
        <v>0</v>
      </c>
      <c r="AM22">
        <f>[8]CRP_Outcome_ELV!$D22</f>
        <v>0</v>
      </c>
      <c r="AN22">
        <f>[8]CRP_Outcome_ELV!$E22</f>
        <v>0</v>
      </c>
      <c r="AP22">
        <f>[9]CRP_Outcome_ELV!$B22</f>
        <v>0</v>
      </c>
      <c r="AQ22">
        <f>[9]CRP_Outcome_ELV!$C22</f>
        <v>0</v>
      </c>
      <c r="AR22">
        <f>[9]CRP_Outcome_ELV!$D22</f>
        <v>0</v>
      </c>
      <c r="AS22">
        <f>[9]CRP_Outcome_ELV!$E22</f>
        <v>0</v>
      </c>
      <c r="AU22">
        <f>[10]CRP_Outcome_ELV!$B22</f>
        <v>0</v>
      </c>
      <c r="AV22">
        <f>[10]CRP_Outcome_ELV!$C22</f>
        <v>0</v>
      </c>
      <c r="AW22">
        <f>[10]CRP_Outcome_ELV!$D22</f>
        <v>0</v>
      </c>
      <c r="AX22">
        <f>[10]CRP_Outcome_ELV!$E22</f>
        <v>0</v>
      </c>
      <c r="BA22">
        <f t="shared" si="1"/>
        <v>0</v>
      </c>
      <c r="BB22">
        <f t="shared" si="1"/>
        <v>0</v>
      </c>
      <c r="BC22">
        <f t="shared" si="1"/>
        <v>0</v>
      </c>
      <c r="BD22">
        <f t="shared" si="1"/>
        <v>0</v>
      </c>
    </row>
    <row r="23" spans="1:56" x14ac:dyDescent="0.35">
      <c r="A23">
        <v>21</v>
      </c>
      <c r="B23">
        <f>[1]CRP_Outcome_ELV!$B23</f>
        <v>0</v>
      </c>
      <c r="C23">
        <f>[1]CRP_Outcome_ELV!$C23</f>
        <v>0</v>
      </c>
      <c r="D23">
        <f>[1]CRP_Outcome_ELV!$D23</f>
        <v>0</v>
      </c>
      <c r="E23">
        <f>[1]CRP_Outcome_ELV!$E23</f>
        <v>0</v>
      </c>
      <c r="G23">
        <f>[2]CRP_Outcome_ELV!$B23</f>
        <v>0</v>
      </c>
      <c r="H23">
        <f>[2]CRP_Outcome_ELV!$C23</f>
        <v>0</v>
      </c>
      <c r="I23">
        <f>[2]CRP_Outcome_ELV!$D23</f>
        <v>0</v>
      </c>
      <c r="J23">
        <f>[2]CRP_Outcome_ELV!$E23</f>
        <v>0</v>
      </c>
      <c r="L23">
        <f>[3]CRP_Outcome_ELV!$B23</f>
        <v>0</v>
      </c>
      <c r="M23">
        <f>[3]CRP_Outcome_ELV!$C23</f>
        <v>0</v>
      </c>
      <c r="N23">
        <f>[3]CRP_Outcome_ELV!$D23</f>
        <v>0</v>
      </c>
      <c r="O23">
        <f>[3]CRP_Outcome_ELV!$E23</f>
        <v>0</v>
      </c>
      <c r="Q23">
        <f>[4]CRP_Outcome_ELV!$B23</f>
        <v>0</v>
      </c>
      <c r="R23">
        <f>[4]CRP_Outcome_ELV!$C23</f>
        <v>0</v>
      </c>
      <c r="S23">
        <f>[4]CRP_Outcome_ELV!$D23</f>
        <v>0</v>
      </c>
      <c r="T23">
        <f>[4]CRP_Outcome_ELV!$E23</f>
        <v>0</v>
      </c>
      <c r="V23">
        <f>[5]CRP_Outcome_ELV!$B23</f>
        <v>0</v>
      </c>
      <c r="W23">
        <f>[5]CRP_Outcome_ELV!$C23</f>
        <v>0</v>
      </c>
      <c r="X23">
        <f>[5]CRP_Outcome_ELV!$D23</f>
        <v>0</v>
      </c>
      <c r="Y23">
        <f>[5]CRP_Outcome_ELV!$E23</f>
        <v>0</v>
      </c>
      <c r="AA23">
        <f>[6]CRP_Outcome_ELV!$B23</f>
        <v>0</v>
      </c>
      <c r="AB23">
        <f>[6]CRP_Outcome_ELV!$C23</f>
        <v>0</v>
      </c>
      <c r="AC23">
        <f>[6]CRP_Outcome_ELV!$D23</f>
        <v>0</v>
      </c>
      <c r="AD23">
        <f>[6]CRP_Outcome_ELV!$E23</f>
        <v>0</v>
      </c>
      <c r="AF23">
        <f>[7]CRP_Outcome_ELV!$B23</f>
        <v>0</v>
      </c>
      <c r="AG23">
        <f>[7]CRP_Outcome_ELV!$C23</f>
        <v>0</v>
      </c>
      <c r="AH23">
        <f>[7]CRP_Outcome_ELV!$D23</f>
        <v>0</v>
      </c>
      <c r="AI23">
        <f>[7]CRP_Outcome_ELV!$E23</f>
        <v>0</v>
      </c>
      <c r="AK23">
        <f>[8]CRP_Outcome_ELV!$B23</f>
        <v>0</v>
      </c>
      <c r="AL23">
        <f>[8]CRP_Outcome_ELV!$C23</f>
        <v>0</v>
      </c>
      <c r="AM23">
        <f>[8]CRP_Outcome_ELV!$D23</f>
        <v>0</v>
      </c>
      <c r="AN23">
        <f>[8]CRP_Outcome_ELV!$E23</f>
        <v>0</v>
      </c>
      <c r="AP23">
        <f>[9]CRP_Outcome_ELV!$B23</f>
        <v>0</v>
      </c>
      <c r="AQ23">
        <f>[9]CRP_Outcome_ELV!$C23</f>
        <v>0</v>
      </c>
      <c r="AR23">
        <f>[9]CRP_Outcome_ELV!$D23</f>
        <v>0</v>
      </c>
      <c r="AS23">
        <f>[9]CRP_Outcome_ELV!$E23</f>
        <v>0</v>
      </c>
      <c r="AU23">
        <f>[10]CRP_Outcome_ELV!$B23</f>
        <v>0</v>
      </c>
      <c r="AV23">
        <f>[10]CRP_Outcome_ELV!$C23</f>
        <v>0</v>
      </c>
      <c r="AW23">
        <f>[10]CRP_Outcome_ELV!$D23</f>
        <v>0</v>
      </c>
      <c r="AX23">
        <f>[10]CRP_Outcome_ELV!$E23</f>
        <v>0</v>
      </c>
      <c r="BA23">
        <f t="shared" si="1"/>
        <v>0</v>
      </c>
      <c r="BB23">
        <f t="shared" si="1"/>
        <v>0</v>
      </c>
      <c r="BC23">
        <f t="shared" si="1"/>
        <v>0</v>
      </c>
      <c r="BD23">
        <f t="shared" si="1"/>
        <v>0</v>
      </c>
    </row>
    <row r="24" spans="1:56" x14ac:dyDescent="0.35">
      <c r="A24">
        <v>22</v>
      </c>
      <c r="B24">
        <f>[1]CRP_Outcome_ELV!$B24</f>
        <v>0</v>
      </c>
      <c r="C24">
        <f>[1]CRP_Outcome_ELV!$C24</f>
        <v>0</v>
      </c>
      <c r="D24">
        <f>[1]CRP_Outcome_ELV!$D24</f>
        <v>0</v>
      </c>
      <c r="E24">
        <f>[1]CRP_Outcome_ELV!$E24</f>
        <v>0</v>
      </c>
      <c r="G24">
        <f>[2]CRP_Outcome_ELV!$B24</f>
        <v>1</v>
      </c>
      <c r="H24">
        <f>[2]CRP_Outcome_ELV!$C24</f>
        <v>0</v>
      </c>
      <c r="I24">
        <f>[2]CRP_Outcome_ELV!$D24</f>
        <v>0</v>
      </c>
      <c r="J24">
        <f>[2]CRP_Outcome_ELV!$E24</f>
        <v>0</v>
      </c>
      <c r="L24">
        <f>[3]CRP_Outcome_ELV!$B24</f>
        <v>1</v>
      </c>
      <c r="M24">
        <f>[3]CRP_Outcome_ELV!$C24</f>
        <v>0</v>
      </c>
      <c r="N24">
        <f>[3]CRP_Outcome_ELV!$D24</f>
        <v>0</v>
      </c>
      <c r="O24">
        <f>[3]CRP_Outcome_ELV!$E24</f>
        <v>0</v>
      </c>
      <c r="Q24">
        <f>[4]CRP_Outcome_ELV!$B24</f>
        <v>0</v>
      </c>
      <c r="R24">
        <f>[4]CRP_Outcome_ELV!$C24</f>
        <v>8</v>
      </c>
      <c r="S24">
        <f>[4]CRP_Outcome_ELV!$D24</f>
        <v>0</v>
      </c>
      <c r="T24">
        <f>[4]CRP_Outcome_ELV!$E24</f>
        <v>0</v>
      </c>
      <c r="V24">
        <f>[5]CRP_Outcome_ELV!$B24</f>
        <v>0</v>
      </c>
      <c r="W24">
        <f>[5]CRP_Outcome_ELV!$C24</f>
        <v>0</v>
      </c>
      <c r="X24">
        <f>[5]CRP_Outcome_ELV!$D24</f>
        <v>0</v>
      </c>
      <c r="Y24">
        <f>[5]CRP_Outcome_ELV!$E24</f>
        <v>0</v>
      </c>
      <c r="AA24">
        <f>[6]CRP_Outcome_ELV!$B24</f>
        <v>0</v>
      </c>
      <c r="AB24">
        <f>[6]CRP_Outcome_ELV!$C24</f>
        <v>2</v>
      </c>
      <c r="AC24">
        <f>[6]CRP_Outcome_ELV!$D24</f>
        <v>0</v>
      </c>
      <c r="AD24">
        <f>[6]CRP_Outcome_ELV!$E24</f>
        <v>0</v>
      </c>
      <c r="AF24">
        <f>[7]CRP_Outcome_ELV!$B24</f>
        <v>0</v>
      </c>
      <c r="AG24">
        <f>[7]CRP_Outcome_ELV!$C24</f>
        <v>0</v>
      </c>
      <c r="AH24">
        <f>[7]CRP_Outcome_ELV!$D24</f>
        <v>0</v>
      </c>
      <c r="AI24">
        <f>[7]CRP_Outcome_ELV!$E24</f>
        <v>0</v>
      </c>
      <c r="AK24">
        <f>[8]CRP_Outcome_ELV!$B24</f>
        <v>0</v>
      </c>
      <c r="AL24">
        <f>[8]CRP_Outcome_ELV!$C24</f>
        <v>0</v>
      </c>
      <c r="AM24">
        <f>[8]CRP_Outcome_ELV!$D24</f>
        <v>0</v>
      </c>
      <c r="AN24">
        <f>[8]CRP_Outcome_ELV!$E24</f>
        <v>0</v>
      </c>
      <c r="AP24">
        <f>[9]CRP_Outcome_ELV!$B24</f>
        <v>0</v>
      </c>
      <c r="AQ24">
        <f>[9]CRP_Outcome_ELV!$C24</f>
        <v>0</v>
      </c>
      <c r="AR24">
        <f>[9]CRP_Outcome_ELV!$D24</f>
        <v>0</v>
      </c>
      <c r="AS24">
        <f>[9]CRP_Outcome_ELV!$E24</f>
        <v>0</v>
      </c>
      <c r="AU24">
        <f>[10]CRP_Outcome_ELV!$B24</f>
        <v>2</v>
      </c>
      <c r="AV24">
        <f>[10]CRP_Outcome_ELV!$C24</f>
        <v>0</v>
      </c>
      <c r="AW24">
        <f>[10]CRP_Outcome_ELV!$D24</f>
        <v>0</v>
      </c>
      <c r="AX24">
        <f>[10]CRP_Outcome_ELV!$E24</f>
        <v>0</v>
      </c>
      <c r="BA24">
        <f t="shared" si="1"/>
        <v>0.4</v>
      </c>
      <c r="BB24">
        <f t="shared" si="1"/>
        <v>1</v>
      </c>
      <c r="BC24">
        <f t="shared" si="1"/>
        <v>0</v>
      </c>
      <c r="BD24">
        <f t="shared" si="1"/>
        <v>0</v>
      </c>
    </row>
    <row r="25" spans="1:56" x14ac:dyDescent="0.35">
      <c r="A25">
        <v>23</v>
      </c>
      <c r="B25">
        <f>[1]CRP_Outcome_ELV!$B25</f>
        <v>2</v>
      </c>
      <c r="C25">
        <f>[1]CRP_Outcome_ELV!$C25</f>
        <v>0</v>
      </c>
      <c r="D25">
        <f>[1]CRP_Outcome_ELV!$D25</f>
        <v>0</v>
      </c>
      <c r="E25">
        <f>[1]CRP_Outcome_ELV!$E25</f>
        <v>0</v>
      </c>
      <c r="G25">
        <f>[2]CRP_Outcome_ELV!$B25</f>
        <v>0</v>
      </c>
      <c r="H25">
        <f>[2]CRP_Outcome_ELV!$C25</f>
        <v>0</v>
      </c>
      <c r="I25">
        <f>[2]CRP_Outcome_ELV!$D25</f>
        <v>0</v>
      </c>
      <c r="J25">
        <f>[2]CRP_Outcome_ELV!$E25</f>
        <v>0</v>
      </c>
      <c r="L25">
        <f>[3]CRP_Outcome_ELV!$B25</f>
        <v>0</v>
      </c>
      <c r="M25">
        <f>[3]CRP_Outcome_ELV!$C25</f>
        <v>20</v>
      </c>
      <c r="N25">
        <f>[3]CRP_Outcome_ELV!$D25</f>
        <v>0</v>
      </c>
      <c r="O25">
        <f>[3]CRP_Outcome_ELV!$E25</f>
        <v>0</v>
      </c>
      <c r="Q25">
        <f>[4]CRP_Outcome_ELV!$B25</f>
        <v>0</v>
      </c>
      <c r="R25">
        <f>[4]CRP_Outcome_ELV!$C25</f>
        <v>0</v>
      </c>
      <c r="S25">
        <f>[4]CRP_Outcome_ELV!$D25</f>
        <v>0</v>
      </c>
      <c r="T25">
        <f>[4]CRP_Outcome_ELV!$E25</f>
        <v>0</v>
      </c>
      <c r="V25">
        <f>[5]CRP_Outcome_ELV!$B25</f>
        <v>0</v>
      </c>
      <c r="W25">
        <f>[5]CRP_Outcome_ELV!$C25</f>
        <v>0</v>
      </c>
      <c r="X25">
        <f>[5]CRP_Outcome_ELV!$D25</f>
        <v>0</v>
      </c>
      <c r="Y25">
        <f>[5]CRP_Outcome_ELV!$E25</f>
        <v>0</v>
      </c>
      <c r="AA25">
        <f>[6]CRP_Outcome_ELV!$B25</f>
        <v>0</v>
      </c>
      <c r="AB25">
        <f>[6]CRP_Outcome_ELV!$C25</f>
        <v>5</v>
      </c>
      <c r="AC25">
        <f>[6]CRP_Outcome_ELV!$D25</f>
        <v>0</v>
      </c>
      <c r="AD25">
        <f>[6]CRP_Outcome_ELV!$E25</f>
        <v>0</v>
      </c>
      <c r="AF25">
        <f>[7]CRP_Outcome_ELV!$B25</f>
        <v>0</v>
      </c>
      <c r="AG25">
        <f>[7]CRP_Outcome_ELV!$C25</f>
        <v>13</v>
      </c>
      <c r="AH25">
        <f>[7]CRP_Outcome_ELV!$D25</f>
        <v>0</v>
      </c>
      <c r="AI25">
        <f>[7]CRP_Outcome_ELV!$E25</f>
        <v>0</v>
      </c>
      <c r="AK25">
        <f>[8]CRP_Outcome_ELV!$B25</f>
        <v>0</v>
      </c>
      <c r="AL25">
        <f>[8]CRP_Outcome_ELV!$C25</f>
        <v>0</v>
      </c>
      <c r="AM25">
        <f>[8]CRP_Outcome_ELV!$D25</f>
        <v>0</v>
      </c>
      <c r="AN25">
        <f>[8]CRP_Outcome_ELV!$E25</f>
        <v>0</v>
      </c>
      <c r="AP25">
        <f>[9]CRP_Outcome_ELV!$B25</f>
        <v>0</v>
      </c>
      <c r="AQ25">
        <f>[9]CRP_Outcome_ELV!$C25</f>
        <v>8</v>
      </c>
      <c r="AR25">
        <f>[9]CRP_Outcome_ELV!$D25</f>
        <v>0</v>
      </c>
      <c r="AS25">
        <f>[9]CRP_Outcome_ELV!$E25</f>
        <v>0</v>
      </c>
      <c r="AU25">
        <f>[10]CRP_Outcome_ELV!$B25</f>
        <v>0</v>
      </c>
      <c r="AV25">
        <f>[10]CRP_Outcome_ELV!$C25</f>
        <v>0</v>
      </c>
      <c r="AW25">
        <f>[10]CRP_Outcome_ELV!$D25</f>
        <v>0</v>
      </c>
      <c r="AX25">
        <f>[10]CRP_Outcome_ELV!$E25</f>
        <v>0</v>
      </c>
      <c r="BA25">
        <f t="shared" si="1"/>
        <v>0.2</v>
      </c>
      <c r="BB25">
        <f t="shared" si="1"/>
        <v>4.5999999999999996</v>
      </c>
      <c r="BC25">
        <f t="shared" si="1"/>
        <v>0</v>
      </c>
      <c r="BD25">
        <f t="shared" si="1"/>
        <v>0</v>
      </c>
    </row>
    <row r="26" spans="1:56" x14ac:dyDescent="0.35">
      <c r="A26">
        <v>24</v>
      </c>
      <c r="B26">
        <f>[1]CRP_Outcome_ELV!$B26</f>
        <v>0</v>
      </c>
      <c r="C26">
        <f>[1]CRP_Outcome_ELV!$C26</f>
        <v>0</v>
      </c>
      <c r="D26">
        <f>[1]CRP_Outcome_ELV!$D26</f>
        <v>0</v>
      </c>
      <c r="E26">
        <f>[1]CRP_Outcome_ELV!$E26</f>
        <v>0</v>
      </c>
      <c r="G26">
        <f>[2]CRP_Outcome_ELV!$B26</f>
        <v>0</v>
      </c>
      <c r="H26">
        <f>[2]CRP_Outcome_ELV!$C26</f>
        <v>25</v>
      </c>
      <c r="I26">
        <f>[2]CRP_Outcome_ELV!$D26</f>
        <v>0</v>
      </c>
      <c r="J26">
        <f>[2]CRP_Outcome_ELV!$E26</f>
        <v>0</v>
      </c>
      <c r="L26">
        <f>[3]CRP_Outcome_ELV!$B26</f>
        <v>0</v>
      </c>
      <c r="M26">
        <f>[3]CRP_Outcome_ELV!$C26</f>
        <v>2</v>
      </c>
      <c r="N26">
        <f>[3]CRP_Outcome_ELV!$D26</f>
        <v>0</v>
      </c>
      <c r="O26">
        <f>[3]CRP_Outcome_ELV!$E26</f>
        <v>0</v>
      </c>
      <c r="Q26">
        <f>[4]CRP_Outcome_ELV!$B26</f>
        <v>0</v>
      </c>
      <c r="R26">
        <f>[4]CRP_Outcome_ELV!$C26</f>
        <v>0</v>
      </c>
      <c r="S26">
        <f>[4]CRP_Outcome_ELV!$D26</f>
        <v>0</v>
      </c>
      <c r="T26">
        <f>[4]CRP_Outcome_ELV!$E26</f>
        <v>0</v>
      </c>
      <c r="V26">
        <f>[5]CRP_Outcome_ELV!$B26</f>
        <v>0</v>
      </c>
      <c r="W26">
        <f>[5]CRP_Outcome_ELV!$C26</f>
        <v>0</v>
      </c>
      <c r="X26">
        <f>[5]CRP_Outcome_ELV!$D26</f>
        <v>0</v>
      </c>
      <c r="Y26">
        <f>[5]CRP_Outcome_ELV!$E26</f>
        <v>0</v>
      </c>
      <c r="AA26">
        <f>[6]CRP_Outcome_ELV!$B26</f>
        <v>0</v>
      </c>
      <c r="AB26">
        <f>[6]CRP_Outcome_ELV!$C26</f>
        <v>0</v>
      </c>
      <c r="AC26">
        <f>[6]CRP_Outcome_ELV!$D26</f>
        <v>0</v>
      </c>
      <c r="AD26">
        <f>[6]CRP_Outcome_ELV!$E26</f>
        <v>0</v>
      </c>
      <c r="AF26">
        <f>[7]CRP_Outcome_ELV!$B26</f>
        <v>0</v>
      </c>
      <c r="AG26">
        <f>[7]CRP_Outcome_ELV!$C26</f>
        <v>2</v>
      </c>
      <c r="AH26">
        <f>[7]CRP_Outcome_ELV!$D26</f>
        <v>0</v>
      </c>
      <c r="AI26">
        <f>[7]CRP_Outcome_ELV!$E26</f>
        <v>0</v>
      </c>
      <c r="AK26">
        <f>[8]CRP_Outcome_ELV!$B26</f>
        <v>0</v>
      </c>
      <c r="AL26">
        <f>[8]CRP_Outcome_ELV!$C26</f>
        <v>0</v>
      </c>
      <c r="AM26">
        <f>[8]CRP_Outcome_ELV!$D26</f>
        <v>0</v>
      </c>
      <c r="AN26">
        <f>[8]CRP_Outcome_ELV!$E26</f>
        <v>0</v>
      </c>
      <c r="AP26">
        <f>[9]CRP_Outcome_ELV!$B26</f>
        <v>0</v>
      </c>
      <c r="AQ26">
        <f>[9]CRP_Outcome_ELV!$C26</f>
        <v>3</v>
      </c>
      <c r="AR26">
        <f>[9]CRP_Outcome_ELV!$D26</f>
        <v>0</v>
      </c>
      <c r="AS26">
        <f>[9]CRP_Outcome_ELV!$E26</f>
        <v>0</v>
      </c>
      <c r="AU26">
        <f>[10]CRP_Outcome_ELV!$B26</f>
        <v>0</v>
      </c>
      <c r="AV26">
        <f>[10]CRP_Outcome_ELV!$C26</f>
        <v>16</v>
      </c>
      <c r="AW26">
        <f>[10]CRP_Outcome_ELV!$D26</f>
        <v>0</v>
      </c>
      <c r="AX26">
        <f>[10]CRP_Outcome_ELV!$E26</f>
        <v>0</v>
      </c>
      <c r="BA26">
        <f t="shared" si="1"/>
        <v>0</v>
      </c>
      <c r="BB26">
        <f t="shared" si="1"/>
        <v>4.8</v>
      </c>
      <c r="BC26">
        <f t="shared" si="1"/>
        <v>0</v>
      </c>
      <c r="BD26">
        <f t="shared" si="1"/>
        <v>0</v>
      </c>
    </row>
    <row r="27" spans="1:56" x14ac:dyDescent="0.35">
      <c r="A27">
        <v>25</v>
      </c>
      <c r="B27">
        <f>[1]CRP_Outcome_ELV!$B27</f>
        <v>0</v>
      </c>
      <c r="C27">
        <f>[1]CRP_Outcome_ELV!$C27</f>
        <v>9</v>
      </c>
      <c r="D27">
        <f>[1]CRP_Outcome_ELV!$D27</f>
        <v>0</v>
      </c>
      <c r="E27">
        <f>[1]CRP_Outcome_ELV!$E27</f>
        <v>0</v>
      </c>
      <c r="G27">
        <f>[2]CRP_Outcome_ELV!$B27</f>
        <v>0</v>
      </c>
      <c r="H27">
        <f>[2]CRP_Outcome_ELV!$C27</f>
        <v>0</v>
      </c>
      <c r="I27">
        <f>[2]CRP_Outcome_ELV!$D27</f>
        <v>0</v>
      </c>
      <c r="J27">
        <f>[2]CRP_Outcome_ELV!$E27</f>
        <v>0</v>
      </c>
      <c r="L27">
        <f>[3]CRP_Outcome_ELV!$B27</f>
        <v>0</v>
      </c>
      <c r="M27">
        <f>[3]CRP_Outcome_ELV!$C27</f>
        <v>0</v>
      </c>
      <c r="N27">
        <f>[3]CRP_Outcome_ELV!$D27</f>
        <v>0</v>
      </c>
      <c r="O27">
        <f>[3]CRP_Outcome_ELV!$E27</f>
        <v>0</v>
      </c>
      <c r="Q27">
        <f>[4]CRP_Outcome_ELV!$B27</f>
        <v>0</v>
      </c>
      <c r="R27">
        <f>[4]CRP_Outcome_ELV!$C27</f>
        <v>0</v>
      </c>
      <c r="S27">
        <f>[4]CRP_Outcome_ELV!$D27</f>
        <v>0</v>
      </c>
      <c r="T27">
        <f>[4]CRP_Outcome_ELV!$E27</f>
        <v>0</v>
      </c>
      <c r="V27">
        <f>[5]CRP_Outcome_ELV!$B27</f>
        <v>0</v>
      </c>
      <c r="W27">
        <f>[5]CRP_Outcome_ELV!$C27</f>
        <v>0</v>
      </c>
      <c r="X27">
        <f>[5]CRP_Outcome_ELV!$D27</f>
        <v>0</v>
      </c>
      <c r="Y27">
        <f>[5]CRP_Outcome_ELV!$E27</f>
        <v>0</v>
      </c>
      <c r="AA27">
        <f>[6]CRP_Outcome_ELV!$B27</f>
        <v>0</v>
      </c>
      <c r="AB27">
        <f>[6]CRP_Outcome_ELV!$C27</f>
        <v>0</v>
      </c>
      <c r="AC27">
        <f>[6]CRP_Outcome_ELV!$D27</f>
        <v>0</v>
      </c>
      <c r="AD27">
        <f>[6]CRP_Outcome_ELV!$E27</f>
        <v>0</v>
      </c>
      <c r="AF27">
        <f>[7]CRP_Outcome_ELV!$B27</f>
        <v>0</v>
      </c>
      <c r="AG27">
        <f>[7]CRP_Outcome_ELV!$C27</f>
        <v>0</v>
      </c>
      <c r="AH27">
        <f>[7]CRP_Outcome_ELV!$D27</f>
        <v>0</v>
      </c>
      <c r="AI27">
        <f>[7]CRP_Outcome_ELV!$E27</f>
        <v>0</v>
      </c>
      <c r="AK27">
        <f>[8]CRP_Outcome_ELV!$B27</f>
        <v>0</v>
      </c>
      <c r="AL27">
        <f>[8]CRP_Outcome_ELV!$C27</f>
        <v>0</v>
      </c>
      <c r="AM27">
        <f>[8]CRP_Outcome_ELV!$D27</f>
        <v>0</v>
      </c>
      <c r="AN27">
        <f>[8]CRP_Outcome_ELV!$E27</f>
        <v>0</v>
      </c>
      <c r="AP27">
        <f>[9]CRP_Outcome_ELV!$B27</f>
        <v>0</v>
      </c>
      <c r="AQ27">
        <f>[9]CRP_Outcome_ELV!$C27</f>
        <v>0</v>
      </c>
      <c r="AR27">
        <f>[9]CRP_Outcome_ELV!$D27</f>
        <v>0</v>
      </c>
      <c r="AS27">
        <f>[9]CRP_Outcome_ELV!$E27</f>
        <v>0</v>
      </c>
      <c r="AU27">
        <f>[10]CRP_Outcome_ELV!$B27</f>
        <v>0</v>
      </c>
      <c r="AV27">
        <f>[10]CRP_Outcome_ELV!$C27</f>
        <v>18</v>
      </c>
      <c r="AW27">
        <f>[10]CRP_Outcome_ELV!$D27</f>
        <v>0</v>
      </c>
      <c r="AX27">
        <f>[10]CRP_Outcome_ELV!$E27</f>
        <v>0</v>
      </c>
      <c r="BA27">
        <f t="shared" si="1"/>
        <v>0</v>
      </c>
      <c r="BB27">
        <f t="shared" si="1"/>
        <v>2.7</v>
      </c>
      <c r="BC27">
        <f t="shared" si="1"/>
        <v>0</v>
      </c>
      <c r="BD27">
        <f t="shared" si="1"/>
        <v>0</v>
      </c>
    </row>
    <row r="28" spans="1:56" x14ac:dyDescent="0.35">
      <c r="A28">
        <v>26</v>
      </c>
      <c r="B28">
        <f>[1]CRP_Outcome_ELV!$B28</f>
        <v>0</v>
      </c>
      <c r="C28">
        <f>[1]CRP_Outcome_ELV!$C28</f>
        <v>0</v>
      </c>
      <c r="D28">
        <f>[1]CRP_Outcome_ELV!$D28</f>
        <v>0</v>
      </c>
      <c r="E28">
        <f>[1]CRP_Outcome_ELV!$E28</f>
        <v>0</v>
      </c>
      <c r="G28">
        <f>[2]CRP_Outcome_ELV!$B28</f>
        <v>0</v>
      </c>
      <c r="H28">
        <f>[2]CRP_Outcome_ELV!$C28</f>
        <v>0</v>
      </c>
      <c r="I28">
        <f>[2]CRP_Outcome_ELV!$D28</f>
        <v>0</v>
      </c>
      <c r="J28">
        <f>[2]CRP_Outcome_ELV!$E28</f>
        <v>0</v>
      </c>
      <c r="L28">
        <f>[3]CRP_Outcome_ELV!$B28</f>
        <v>0</v>
      </c>
      <c r="M28">
        <f>[3]CRP_Outcome_ELV!$C28</f>
        <v>0</v>
      </c>
      <c r="N28">
        <f>[3]CRP_Outcome_ELV!$D28</f>
        <v>0</v>
      </c>
      <c r="O28">
        <f>[3]CRP_Outcome_ELV!$E28</f>
        <v>0</v>
      </c>
      <c r="Q28">
        <f>[4]CRP_Outcome_ELV!$B28</f>
        <v>0</v>
      </c>
      <c r="R28">
        <f>[4]CRP_Outcome_ELV!$C28</f>
        <v>0</v>
      </c>
      <c r="S28">
        <f>[4]CRP_Outcome_ELV!$D28</f>
        <v>0</v>
      </c>
      <c r="T28">
        <f>[4]CRP_Outcome_ELV!$E28</f>
        <v>0</v>
      </c>
      <c r="V28">
        <f>[5]CRP_Outcome_ELV!$B28</f>
        <v>0</v>
      </c>
      <c r="W28">
        <f>[5]CRP_Outcome_ELV!$C28</f>
        <v>0</v>
      </c>
      <c r="X28">
        <f>[5]CRP_Outcome_ELV!$D28</f>
        <v>0</v>
      </c>
      <c r="Y28">
        <f>[5]CRP_Outcome_ELV!$E28</f>
        <v>0</v>
      </c>
      <c r="AA28">
        <f>[6]CRP_Outcome_ELV!$B28</f>
        <v>0</v>
      </c>
      <c r="AB28">
        <f>[6]CRP_Outcome_ELV!$C28</f>
        <v>0</v>
      </c>
      <c r="AC28">
        <f>[6]CRP_Outcome_ELV!$D28</f>
        <v>0</v>
      </c>
      <c r="AD28">
        <f>[6]CRP_Outcome_ELV!$E28</f>
        <v>0</v>
      </c>
      <c r="AF28">
        <f>[7]CRP_Outcome_ELV!$B28</f>
        <v>0</v>
      </c>
      <c r="AG28">
        <f>[7]CRP_Outcome_ELV!$C28</f>
        <v>0</v>
      </c>
      <c r="AH28">
        <f>[7]CRP_Outcome_ELV!$D28</f>
        <v>0</v>
      </c>
      <c r="AI28">
        <f>[7]CRP_Outcome_ELV!$E28</f>
        <v>0</v>
      </c>
      <c r="AK28">
        <f>[8]CRP_Outcome_ELV!$B28</f>
        <v>0</v>
      </c>
      <c r="AL28">
        <f>[8]CRP_Outcome_ELV!$C28</f>
        <v>0</v>
      </c>
      <c r="AM28">
        <f>[8]CRP_Outcome_ELV!$D28</f>
        <v>0</v>
      </c>
      <c r="AN28">
        <f>[8]CRP_Outcome_ELV!$E28</f>
        <v>0</v>
      </c>
      <c r="AP28">
        <f>[9]CRP_Outcome_ELV!$B28</f>
        <v>0</v>
      </c>
      <c r="AQ28">
        <f>[9]CRP_Outcome_ELV!$C28</f>
        <v>3</v>
      </c>
      <c r="AR28">
        <f>[9]CRP_Outcome_ELV!$D28</f>
        <v>0</v>
      </c>
      <c r="AS28">
        <f>[9]CRP_Outcome_ELV!$E28</f>
        <v>0</v>
      </c>
      <c r="AU28">
        <f>[10]CRP_Outcome_ELV!$B28</f>
        <v>0</v>
      </c>
      <c r="AV28">
        <f>[10]CRP_Outcome_ELV!$C28</f>
        <v>10</v>
      </c>
      <c r="AW28">
        <f>[10]CRP_Outcome_ELV!$D28</f>
        <v>0</v>
      </c>
      <c r="AX28">
        <f>[10]CRP_Outcome_ELV!$E28</f>
        <v>0</v>
      </c>
      <c r="BA28">
        <f t="shared" si="1"/>
        <v>0</v>
      </c>
      <c r="BB28">
        <f t="shared" si="1"/>
        <v>1.3</v>
      </c>
      <c r="BC28">
        <f t="shared" si="1"/>
        <v>0</v>
      </c>
      <c r="BD28">
        <f t="shared" si="1"/>
        <v>0</v>
      </c>
    </row>
    <row r="29" spans="1:56" x14ac:dyDescent="0.35">
      <c r="A29">
        <v>27</v>
      </c>
      <c r="B29">
        <f>[1]CRP_Outcome_ELV!$B29</f>
        <v>0</v>
      </c>
      <c r="C29">
        <f>[1]CRP_Outcome_ELV!$C29</f>
        <v>0</v>
      </c>
      <c r="D29">
        <f>[1]CRP_Outcome_ELV!$D29</f>
        <v>0</v>
      </c>
      <c r="E29">
        <f>[1]CRP_Outcome_ELV!$E29</f>
        <v>0</v>
      </c>
      <c r="G29">
        <f>[2]CRP_Outcome_ELV!$B29</f>
        <v>0</v>
      </c>
      <c r="H29">
        <f>[2]CRP_Outcome_ELV!$C29</f>
        <v>0</v>
      </c>
      <c r="I29">
        <f>[2]CRP_Outcome_ELV!$D29</f>
        <v>0</v>
      </c>
      <c r="J29">
        <f>[2]CRP_Outcome_ELV!$E29</f>
        <v>0</v>
      </c>
      <c r="L29">
        <f>[3]CRP_Outcome_ELV!$B29</f>
        <v>0</v>
      </c>
      <c r="M29">
        <f>[3]CRP_Outcome_ELV!$C29</f>
        <v>0</v>
      </c>
      <c r="N29">
        <f>[3]CRP_Outcome_ELV!$D29</f>
        <v>0</v>
      </c>
      <c r="O29">
        <f>[3]CRP_Outcome_ELV!$E29</f>
        <v>0</v>
      </c>
      <c r="Q29">
        <f>[4]CRP_Outcome_ELV!$B29</f>
        <v>0</v>
      </c>
      <c r="R29">
        <f>[4]CRP_Outcome_ELV!$C29</f>
        <v>1</v>
      </c>
      <c r="S29">
        <f>[4]CRP_Outcome_ELV!$D29</f>
        <v>0</v>
      </c>
      <c r="T29">
        <f>[4]CRP_Outcome_ELV!$E29</f>
        <v>0</v>
      </c>
      <c r="V29">
        <f>[5]CRP_Outcome_ELV!$B29</f>
        <v>0</v>
      </c>
      <c r="W29">
        <f>[5]CRP_Outcome_ELV!$C29</f>
        <v>0</v>
      </c>
      <c r="X29">
        <f>[5]CRP_Outcome_ELV!$D29</f>
        <v>0</v>
      </c>
      <c r="Y29">
        <f>[5]CRP_Outcome_ELV!$E29</f>
        <v>0</v>
      </c>
      <c r="AA29">
        <f>[6]CRP_Outcome_ELV!$B29</f>
        <v>5</v>
      </c>
      <c r="AB29">
        <f>[6]CRP_Outcome_ELV!$C29</f>
        <v>0</v>
      </c>
      <c r="AC29">
        <f>[6]CRP_Outcome_ELV!$D29</f>
        <v>0</v>
      </c>
      <c r="AD29">
        <f>[6]CRP_Outcome_ELV!$E29</f>
        <v>0</v>
      </c>
      <c r="AF29">
        <f>[7]CRP_Outcome_ELV!$B29</f>
        <v>3</v>
      </c>
      <c r="AG29">
        <f>[7]CRP_Outcome_ELV!$C29</f>
        <v>0</v>
      </c>
      <c r="AH29">
        <f>[7]CRP_Outcome_ELV!$D29</f>
        <v>0</v>
      </c>
      <c r="AI29">
        <f>[7]CRP_Outcome_ELV!$E29</f>
        <v>0</v>
      </c>
      <c r="AK29">
        <f>[8]CRP_Outcome_ELV!$B29</f>
        <v>0</v>
      </c>
      <c r="AL29">
        <f>[8]CRP_Outcome_ELV!$C29</f>
        <v>0</v>
      </c>
      <c r="AM29">
        <f>[8]CRP_Outcome_ELV!$D29</f>
        <v>0</v>
      </c>
      <c r="AN29">
        <f>[8]CRP_Outcome_ELV!$E29</f>
        <v>0</v>
      </c>
      <c r="AP29">
        <f>[9]CRP_Outcome_ELV!$B29</f>
        <v>0</v>
      </c>
      <c r="AQ29">
        <f>[9]CRP_Outcome_ELV!$C29</f>
        <v>0</v>
      </c>
      <c r="AR29">
        <f>[9]CRP_Outcome_ELV!$D29</f>
        <v>0</v>
      </c>
      <c r="AS29">
        <f>[9]CRP_Outcome_ELV!$E29</f>
        <v>0</v>
      </c>
      <c r="AU29">
        <f>[10]CRP_Outcome_ELV!$B29</f>
        <v>0</v>
      </c>
      <c r="AV29">
        <f>[10]CRP_Outcome_ELV!$C29</f>
        <v>0</v>
      </c>
      <c r="AW29">
        <f>[10]CRP_Outcome_ELV!$D29</f>
        <v>0</v>
      </c>
      <c r="AX29">
        <f>[10]CRP_Outcome_ELV!$E29</f>
        <v>0</v>
      </c>
      <c r="BA29">
        <f t="shared" si="1"/>
        <v>0.8</v>
      </c>
      <c r="BB29">
        <f t="shared" si="1"/>
        <v>0.1</v>
      </c>
      <c r="BC29">
        <f t="shared" si="1"/>
        <v>0</v>
      </c>
      <c r="BD29">
        <f t="shared" si="1"/>
        <v>0</v>
      </c>
    </row>
    <row r="30" spans="1:56" x14ac:dyDescent="0.35">
      <c r="A30">
        <v>28</v>
      </c>
      <c r="B30">
        <f>[1]CRP_Outcome_ELV!$B30</f>
        <v>0</v>
      </c>
      <c r="C30">
        <f>[1]CRP_Outcome_ELV!$C30</f>
        <v>0</v>
      </c>
      <c r="D30">
        <f>[1]CRP_Outcome_ELV!$D30</f>
        <v>0</v>
      </c>
      <c r="E30">
        <f>[1]CRP_Outcome_ELV!$E30</f>
        <v>0</v>
      </c>
      <c r="G30">
        <f>[2]CRP_Outcome_ELV!$B30</f>
        <v>1</v>
      </c>
      <c r="H30">
        <f>[2]CRP_Outcome_ELV!$C30</f>
        <v>0</v>
      </c>
      <c r="I30">
        <f>[2]CRP_Outcome_ELV!$D30</f>
        <v>0</v>
      </c>
      <c r="J30">
        <f>[2]CRP_Outcome_ELV!$E30</f>
        <v>0</v>
      </c>
      <c r="L30">
        <f>[3]CRP_Outcome_ELV!$B30</f>
        <v>0</v>
      </c>
      <c r="M30">
        <f>[3]CRP_Outcome_ELV!$C30</f>
        <v>0</v>
      </c>
      <c r="N30">
        <f>[3]CRP_Outcome_ELV!$D30</f>
        <v>0</v>
      </c>
      <c r="O30">
        <f>[3]CRP_Outcome_ELV!$E30</f>
        <v>0</v>
      </c>
      <c r="Q30">
        <f>[4]CRP_Outcome_ELV!$B30</f>
        <v>0</v>
      </c>
      <c r="R30">
        <f>[4]CRP_Outcome_ELV!$C30</f>
        <v>0</v>
      </c>
      <c r="S30">
        <f>[4]CRP_Outcome_ELV!$D30</f>
        <v>0</v>
      </c>
      <c r="T30">
        <f>[4]CRP_Outcome_ELV!$E30</f>
        <v>0</v>
      </c>
      <c r="V30">
        <f>[5]CRP_Outcome_ELV!$B30</f>
        <v>0</v>
      </c>
      <c r="W30">
        <f>[5]CRP_Outcome_ELV!$C30</f>
        <v>0</v>
      </c>
      <c r="X30">
        <f>[5]CRP_Outcome_ELV!$D30</f>
        <v>0</v>
      </c>
      <c r="Y30">
        <f>[5]CRP_Outcome_ELV!$E30</f>
        <v>0</v>
      </c>
      <c r="AA30">
        <f>[6]CRP_Outcome_ELV!$B30</f>
        <v>0</v>
      </c>
      <c r="AB30">
        <f>[6]CRP_Outcome_ELV!$C30</f>
        <v>1</v>
      </c>
      <c r="AC30">
        <f>[6]CRP_Outcome_ELV!$D30</f>
        <v>0</v>
      </c>
      <c r="AD30">
        <f>[6]CRP_Outcome_ELV!$E30</f>
        <v>0</v>
      </c>
      <c r="AF30">
        <f>[7]CRP_Outcome_ELV!$B30</f>
        <v>0</v>
      </c>
      <c r="AG30">
        <f>[7]CRP_Outcome_ELV!$C30</f>
        <v>8</v>
      </c>
      <c r="AH30">
        <f>[7]CRP_Outcome_ELV!$D30</f>
        <v>0</v>
      </c>
      <c r="AI30">
        <f>[7]CRP_Outcome_ELV!$E30</f>
        <v>0</v>
      </c>
      <c r="AK30">
        <f>[8]CRP_Outcome_ELV!$B30</f>
        <v>0</v>
      </c>
      <c r="AL30">
        <f>[8]CRP_Outcome_ELV!$C30</f>
        <v>0</v>
      </c>
      <c r="AM30">
        <f>[8]CRP_Outcome_ELV!$D30</f>
        <v>0</v>
      </c>
      <c r="AN30">
        <f>[8]CRP_Outcome_ELV!$E30</f>
        <v>0</v>
      </c>
      <c r="AP30">
        <f>[9]CRP_Outcome_ELV!$B30</f>
        <v>0</v>
      </c>
      <c r="AQ30">
        <f>[9]CRP_Outcome_ELV!$C30</f>
        <v>0</v>
      </c>
      <c r="AR30">
        <f>[9]CRP_Outcome_ELV!$D30</f>
        <v>0</v>
      </c>
      <c r="AS30">
        <f>[9]CRP_Outcome_ELV!$E30</f>
        <v>0</v>
      </c>
      <c r="AU30">
        <f>[10]CRP_Outcome_ELV!$B30</f>
        <v>0</v>
      </c>
      <c r="AV30">
        <f>[10]CRP_Outcome_ELV!$C30</f>
        <v>0</v>
      </c>
      <c r="AW30">
        <f>[10]CRP_Outcome_ELV!$D30</f>
        <v>0</v>
      </c>
      <c r="AX30">
        <f>[10]CRP_Outcome_ELV!$E30</f>
        <v>0</v>
      </c>
      <c r="BA30">
        <f t="shared" si="1"/>
        <v>0.1</v>
      </c>
      <c r="BB30">
        <f t="shared" si="1"/>
        <v>0.9</v>
      </c>
      <c r="BC30">
        <f t="shared" si="1"/>
        <v>0</v>
      </c>
      <c r="BD30">
        <f t="shared" si="1"/>
        <v>0</v>
      </c>
    </row>
    <row r="31" spans="1:56" x14ac:dyDescent="0.35">
      <c r="A31">
        <v>29</v>
      </c>
      <c r="B31">
        <f>[1]CRP_Outcome_ELV!$B31</f>
        <v>0</v>
      </c>
      <c r="C31">
        <f>[1]CRP_Outcome_ELV!$C31</f>
        <v>0</v>
      </c>
      <c r="D31">
        <f>[1]CRP_Outcome_ELV!$D31</f>
        <v>0</v>
      </c>
      <c r="E31">
        <f>[1]CRP_Outcome_ELV!$E31</f>
        <v>0</v>
      </c>
      <c r="G31">
        <f>[2]CRP_Outcome_ELV!$B31</f>
        <v>0</v>
      </c>
      <c r="H31">
        <f>[2]CRP_Outcome_ELV!$C31</f>
        <v>3</v>
      </c>
      <c r="I31">
        <f>[2]CRP_Outcome_ELV!$D31</f>
        <v>0</v>
      </c>
      <c r="J31">
        <f>[2]CRP_Outcome_ELV!$E31</f>
        <v>0</v>
      </c>
      <c r="L31">
        <f>[3]CRP_Outcome_ELV!$B31</f>
        <v>0</v>
      </c>
      <c r="M31">
        <f>[3]CRP_Outcome_ELV!$C31</f>
        <v>13</v>
      </c>
      <c r="N31">
        <f>[3]CRP_Outcome_ELV!$D31</f>
        <v>0</v>
      </c>
      <c r="O31">
        <f>[3]CRP_Outcome_ELV!$E31</f>
        <v>0</v>
      </c>
      <c r="Q31">
        <f>[4]CRP_Outcome_ELV!$B31</f>
        <v>0</v>
      </c>
      <c r="R31">
        <f>[4]CRP_Outcome_ELV!$C31</f>
        <v>0</v>
      </c>
      <c r="S31">
        <f>[4]CRP_Outcome_ELV!$D31</f>
        <v>0</v>
      </c>
      <c r="T31">
        <f>[4]CRP_Outcome_ELV!$E31</f>
        <v>0</v>
      </c>
      <c r="V31">
        <f>[5]CRP_Outcome_ELV!$B31</f>
        <v>0</v>
      </c>
      <c r="W31">
        <f>[5]CRP_Outcome_ELV!$C31</f>
        <v>1</v>
      </c>
      <c r="X31">
        <f>[5]CRP_Outcome_ELV!$D31</f>
        <v>0</v>
      </c>
      <c r="Y31">
        <f>[5]CRP_Outcome_ELV!$E31</f>
        <v>0</v>
      </c>
      <c r="AA31">
        <f>[6]CRP_Outcome_ELV!$B31</f>
        <v>0</v>
      </c>
      <c r="AB31">
        <f>[6]CRP_Outcome_ELV!$C31</f>
        <v>11</v>
      </c>
      <c r="AC31">
        <f>[6]CRP_Outcome_ELV!$D31</f>
        <v>0</v>
      </c>
      <c r="AD31">
        <f>[6]CRP_Outcome_ELV!$E31</f>
        <v>0</v>
      </c>
      <c r="AF31">
        <f>[7]CRP_Outcome_ELV!$B31</f>
        <v>0</v>
      </c>
      <c r="AG31">
        <f>[7]CRP_Outcome_ELV!$C31</f>
        <v>12</v>
      </c>
      <c r="AH31">
        <f>[7]CRP_Outcome_ELV!$D31</f>
        <v>0</v>
      </c>
      <c r="AI31">
        <f>[7]CRP_Outcome_ELV!$E31</f>
        <v>0</v>
      </c>
      <c r="AK31">
        <f>[8]CRP_Outcome_ELV!$B31</f>
        <v>0</v>
      </c>
      <c r="AL31">
        <f>[8]CRP_Outcome_ELV!$C31</f>
        <v>0</v>
      </c>
      <c r="AM31">
        <f>[8]CRP_Outcome_ELV!$D31</f>
        <v>0</v>
      </c>
      <c r="AN31">
        <f>[8]CRP_Outcome_ELV!$E31</f>
        <v>0</v>
      </c>
      <c r="AP31">
        <f>[9]CRP_Outcome_ELV!$B31</f>
        <v>0</v>
      </c>
      <c r="AQ31">
        <f>[9]CRP_Outcome_ELV!$C31</f>
        <v>34</v>
      </c>
      <c r="AR31">
        <f>[9]CRP_Outcome_ELV!$D31</f>
        <v>0</v>
      </c>
      <c r="AS31">
        <f>[9]CRP_Outcome_ELV!$E31</f>
        <v>0</v>
      </c>
      <c r="AU31">
        <f>[10]CRP_Outcome_ELV!$B31</f>
        <v>0</v>
      </c>
      <c r="AV31">
        <f>[10]CRP_Outcome_ELV!$C31</f>
        <v>0</v>
      </c>
      <c r="AW31">
        <f>[10]CRP_Outcome_ELV!$D31</f>
        <v>0</v>
      </c>
      <c r="AX31">
        <f>[10]CRP_Outcome_ELV!$E31</f>
        <v>0</v>
      </c>
      <c r="BA31">
        <f t="shared" si="1"/>
        <v>0</v>
      </c>
      <c r="BB31">
        <f t="shared" si="1"/>
        <v>7.4</v>
      </c>
      <c r="BC31">
        <f t="shared" si="1"/>
        <v>0</v>
      </c>
      <c r="BD31">
        <f t="shared" si="1"/>
        <v>0</v>
      </c>
    </row>
    <row r="32" spans="1:56" x14ac:dyDescent="0.35">
      <c r="A32">
        <v>30</v>
      </c>
      <c r="B32">
        <f>[1]CRP_Outcome_ELV!$B32</f>
        <v>0</v>
      </c>
      <c r="C32">
        <f>[1]CRP_Outcome_ELV!$C32</f>
        <v>1</v>
      </c>
      <c r="D32">
        <f>[1]CRP_Outcome_ELV!$D32</f>
        <v>0</v>
      </c>
      <c r="E32">
        <f>[1]CRP_Outcome_ELV!$E32</f>
        <v>0</v>
      </c>
      <c r="G32">
        <f>[2]CRP_Outcome_ELV!$B32</f>
        <v>0</v>
      </c>
      <c r="H32">
        <f>[2]CRP_Outcome_ELV!$C32</f>
        <v>18</v>
      </c>
      <c r="I32">
        <f>[2]CRP_Outcome_ELV!$D32</f>
        <v>0</v>
      </c>
      <c r="J32">
        <f>[2]CRP_Outcome_ELV!$E32</f>
        <v>0</v>
      </c>
      <c r="L32">
        <f>[3]CRP_Outcome_ELV!$B32</f>
        <v>0</v>
      </c>
      <c r="M32">
        <f>[3]CRP_Outcome_ELV!$C32</f>
        <v>0</v>
      </c>
      <c r="N32">
        <f>[3]CRP_Outcome_ELV!$D32</f>
        <v>0</v>
      </c>
      <c r="O32">
        <f>[3]CRP_Outcome_ELV!$E32</f>
        <v>0</v>
      </c>
      <c r="Q32">
        <f>[4]CRP_Outcome_ELV!$B32</f>
        <v>0</v>
      </c>
      <c r="R32">
        <f>[4]CRP_Outcome_ELV!$C32</f>
        <v>0</v>
      </c>
      <c r="S32">
        <f>[4]CRP_Outcome_ELV!$D32</f>
        <v>0</v>
      </c>
      <c r="T32">
        <f>[4]CRP_Outcome_ELV!$E32</f>
        <v>0</v>
      </c>
      <c r="V32">
        <f>[5]CRP_Outcome_ELV!$B32</f>
        <v>0</v>
      </c>
      <c r="W32">
        <f>[5]CRP_Outcome_ELV!$C32</f>
        <v>0</v>
      </c>
      <c r="X32">
        <f>[5]CRP_Outcome_ELV!$D32</f>
        <v>0</v>
      </c>
      <c r="Y32">
        <f>[5]CRP_Outcome_ELV!$E32</f>
        <v>0</v>
      </c>
      <c r="AA32">
        <f>[6]CRP_Outcome_ELV!$B32</f>
        <v>0</v>
      </c>
      <c r="AB32">
        <f>[6]CRP_Outcome_ELV!$C32</f>
        <v>0</v>
      </c>
      <c r="AC32">
        <f>[6]CRP_Outcome_ELV!$D32</f>
        <v>0</v>
      </c>
      <c r="AD32">
        <f>[6]CRP_Outcome_ELV!$E32</f>
        <v>0</v>
      </c>
      <c r="AF32">
        <f>[7]CRP_Outcome_ELV!$B32</f>
        <v>0</v>
      </c>
      <c r="AG32">
        <f>[7]CRP_Outcome_ELV!$C32</f>
        <v>0</v>
      </c>
      <c r="AH32">
        <f>[7]CRP_Outcome_ELV!$D32</f>
        <v>0</v>
      </c>
      <c r="AI32">
        <f>[7]CRP_Outcome_ELV!$E32</f>
        <v>0</v>
      </c>
      <c r="AK32">
        <f>[8]CRP_Outcome_ELV!$B32</f>
        <v>0</v>
      </c>
      <c r="AL32">
        <f>[8]CRP_Outcome_ELV!$C32</f>
        <v>0</v>
      </c>
      <c r="AM32">
        <f>[8]CRP_Outcome_ELV!$D32</f>
        <v>0</v>
      </c>
      <c r="AN32">
        <f>[8]CRP_Outcome_ELV!$E32</f>
        <v>0</v>
      </c>
      <c r="AP32">
        <f>[9]CRP_Outcome_ELV!$B32</f>
        <v>0</v>
      </c>
      <c r="AQ32">
        <f>[9]CRP_Outcome_ELV!$C32</f>
        <v>0</v>
      </c>
      <c r="AR32">
        <f>[9]CRP_Outcome_ELV!$D32</f>
        <v>0</v>
      </c>
      <c r="AS32">
        <f>[9]CRP_Outcome_ELV!$E32</f>
        <v>0</v>
      </c>
      <c r="AU32">
        <f>[10]CRP_Outcome_ELV!$B32</f>
        <v>0</v>
      </c>
      <c r="AV32">
        <f>[10]CRP_Outcome_ELV!$C32</f>
        <v>0</v>
      </c>
      <c r="AW32">
        <f>[10]CRP_Outcome_ELV!$D32</f>
        <v>0</v>
      </c>
      <c r="AX32">
        <f>[10]CRP_Outcome_ELV!$E32</f>
        <v>0</v>
      </c>
      <c r="BA32">
        <f t="shared" si="1"/>
        <v>0</v>
      </c>
      <c r="BB32">
        <f t="shared" si="1"/>
        <v>1.9</v>
      </c>
      <c r="BC32">
        <f t="shared" si="1"/>
        <v>0</v>
      </c>
      <c r="BD32">
        <f t="shared" si="1"/>
        <v>0</v>
      </c>
    </row>
    <row r="33" spans="1:56" x14ac:dyDescent="0.35">
      <c r="A33">
        <v>31</v>
      </c>
      <c r="B33">
        <f>[1]CRP_Outcome_ELV!$B33</f>
        <v>0</v>
      </c>
      <c r="C33">
        <f>[1]CRP_Outcome_ELV!$C33</f>
        <v>3</v>
      </c>
      <c r="D33">
        <f>[1]CRP_Outcome_ELV!$D33</f>
        <v>0</v>
      </c>
      <c r="E33">
        <f>[1]CRP_Outcome_ELV!$E33</f>
        <v>0</v>
      </c>
      <c r="G33">
        <f>[2]CRP_Outcome_ELV!$B33</f>
        <v>0</v>
      </c>
      <c r="H33">
        <f>[2]CRP_Outcome_ELV!$C33</f>
        <v>0</v>
      </c>
      <c r="I33">
        <f>[2]CRP_Outcome_ELV!$D33</f>
        <v>0</v>
      </c>
      <c r="J33">
        <f>[2]CRP_Outcome_ELV!$E33</f>
        <v>0</v>
      </c>
      <c r="L33">
        <f>[3]CRP_Outcome_ELV!$B33</f>
        <v>0</v>
      </c>
      <c r="M33">
        <f>[3]CRP_Outcome_ELV!$C33</f>
        <v>0</v>
      </c>
      <c r="N33">
        <f>[3]CRP_Outcome_ELV!$D33</f>
        <v>0</v>
      </c>
      <c r="O33">
        <f>[3]CRP_Outcome_ELV!$E33</f>
        <v>0</v>
      </c>
      <c r="Q33">
        <f>[4]CRP_Outcome_ELV!$B33</f>
        <v>0</v>
      </c>
      <c r="R33">
        <f>[4]CRP_Outcome_ELV!$C33</f>
        <v>0</v>
      </c>
      <c r="S33">
        <f>[4]CRP_Outcome_ELV!$D33</f>
        <v>0</v>
      </c>
      <c r="T33">
        <f>[4]CRP_Outcome_ELV!$E33</f>
        <v>0</v>
      </c>
      <c r="V33">
        <f>[5]CRP_Outcome_ELV!$B33</f>
        <v>0</v>
      </c>
      <c r="W33">
        <f>[5]CRP_Outcome_ELV!$C33</f>
        <v>0</v>
      </c>
      <c r="X33">
        <f>[5]CRP_Outcome_ELV!$D33</f>
        <v>0</v>
      </c>
      <c r="Y33">
        <f>[5]CRP_Outcome_ELV!$E33</f>
        <v>0</v>
      </c>
      <c r="AA33">
        <f>[6]CRP_Outcome_ELV!$B33</f>
        <v>0</v>
      </c>
      <c r="AB33">
        <f>[6]CRP_Outcome_ELV!$C33</f>
        <v>0</v>
      </c>
      <c r="AC33">
        <f>[6]CRP_Outcome_ELV!$D33</f>
        <v>0</v>
      </c>
      <c r="AD33">
        <f>[6]CRP_Outcome_ELV!$E33</f>
        <v>0</v>
      </c>
      <c r="AF33">
        <f>[7]CRP_Outcome_ELV!$B33</f>
        <v>0</v>
      </c>
      <c r="AG33">
        <f>[7]CRP_Outcome_ELV!$C33</f>
        <v>0</v>
      </c>
      <c r="AH33">
        <f>[7]CRP_Outcome_ELV!$D33</f>
        <v>0</v>
      </c>
      <c r="AI33">
        <f>[7]CRP_Outcome_ELV!$E33</f>
        <v>0</v>
      </c>
      <c r="AK33">
        <f>[8]CRP_Outcome_ELV!$B33</f>
        <v>0</v>
      </c>
      <c r="AL33">
        <f>[8]CRP_Outcome_ELV!$C33</f>
        <v>0</v>
      </c>
      <c r="AM33">
        <f>[8]CRP_Outcome_ELV!$D33</f>
        <v>0</v>
      </c>
      <c r="AN33">
        <f>[8]CRP_Outcome_ELV!$E33</f>
        <v>0</v>
      </c>
      <c r="AP33">
        <f>[9]CRP_Outcome_ELV!$B33</f>
        <v>0</v>
      </c>
      <c r="AQ33">
        <f>[9]CRP_Outcome_ELV!$C33</f>
        <v>0</v>
      </c>
      <c r="AR33">
        <f>[9]CRP_Outcome_ELV!$D33</f>
        <v>0</v>
      </c>
      <c r="AS33">
        <f>[9]CRP_Outcome_ELV!$E33</f>
        <v>0</v>
      </c>
      <c r="AU33">
        <f>[10]CRP_Outcome_ELV!$B33</f>
        <v>0</v>
      </c>
      <c r="AV33">
        <f>[10]CRP_Outcome_ELV!$C33</f>
        <v>0</v>
      </c>
      <c r="AW33">
        <f>[10]CRP_Outcome_ELV!$D33</f>
        <v>0</v>
      </c>
      <c r="AX33">
        <f>[10]CRP_Outcome_ELV!$E33</f>
        <v>0</v>
      </c>
      <c r="BA33">
        <f t="shared" si="1"/>
        <v>0</v>
      </c>
      <c r="BB33">
        <f t="shared" si="1"/>
        <v>0.3</v>
      </c>
      <c r="BC33">
        <f t="shared" si="1"/>
        <v>0</v>
      </c>
      <c r="BD33">
        <f t="shared" si="1"/>
        <v>0</v>
      </c>
    </row>
    <row r="34" spans="1:56" x14ac:dyDescent="0.35">
      <c r="A34">
        <v>32</v>
      </c>
      <c r="B34">
        <f>[1]CRP_Outcome_ELV!$B34</f>
        <v>0</v>
      </c>
      <c r="C34">
        <f>[1]CRP_Outcome_ELV!$C34</f>
        <v>0</v>
      </c>
      <c r="D34">
        <f>[1]CRP_Outcome_ELV!$D34</f>
        <v>0</v>
      </c>
      <c r="E34">
        <f>[1]CRP_Outcome_ELV!$E34</f>
        <v>0</v>
      </c>
      <c r="G34">
        <f>[2]CRP_Outcome_ELV!$B34</f>
        <v>0</v>
      </c>
      <c r="H34">
        <f>[2]CRP_Outcome_ELV!$C34</f>
        <v>0</v>
      </c>
      <c r="I34">
        <f>[2]CRP_Outcome_ELV!$D34</f>
        <v>0</v>
      </c>
      <c r="J34">
        <f>[2]CRP_Outcome_ELV!$E34</f>
        <v>0</v>
      </c>
      <c r="L34">
        <f>[3]CRP_Outcome_ELV!$B34</f>
        <v>0</v>
      </c>
      <c r="M34">
        <f>[3]CRP_Outcome_ELV!$C34</f>
        <v>0</v>
      </c>
      <c r="N34">
        <f>[3]CRP_Outcome_ELV!$D34</f>
        <v>0</v>
      </c>
      <c r="O34">
        <f>[3]CRP_Outcome_ELV!$E34</f>
        <v>0</v>
      </c>
      <c r="Q34">
        <f>[4]CRP_Outcome_ELV!$B34</f>
        <v>0</v>
      </c>
      <c r="R34">
        <f>[4]CRP_Outcome_ELV!$C34</f>
        <v>0</v>
      </c>
      <c r="S34">
        <f>[4]CRP_Outcome_ELV!$D34</f>
        <v>0</v>
      </c>
      <c r="T34">
        <f>[4]CRP_Outcome_ELV!$E34</f>
        <v>0</v>
      </c>
      <c r="V34">
        <f>[5]CRP_Outcome_ELV!$B34</f>
        <v>0</v>
      </c>
      <c r="W34">
        <f>[5]CRP_Outcome_ELV!$C34</f>
        <v>0</v>
      </c>
      <c r="X34">
        <f>[5]CRP_Outcome_ELV!$D34</f>
        <v>0</v>
      </c>
      <c r="Y34">
        <f>[5]CRP_Outcome_ELV!$E34</f>
        <v>0</v>
      </c>
      <c r="AA34">
        <f>[6]CRP_Outcome_ELV!$B34</f>
        <v>5</v>
      </c>
      <c r="AB34">
        <f>[6]CRP_Outcome_ELV!$C34</f>
        <v>0</v>
      </c>
      <c r="AC34">
        <f>[6]CRP_Outcome_ELV!$D34</f>
        <v>0</v>
      </c>
      <c r="AD34">
        <f>[6]CRP_Outcome_ELV!$E34</f>
        <v>0</v>
      </c>
      <c r="AF34">
        <f>[7]CRP_Outcome_ELV!$B34</f>
        <v>2</v>
      </c>
      <c r="AG34">
        <f>[7]CRP_Outcome_ELV!$C34</f>
        <v>0</v>
      </c>
      <c r="AH34">
        <f>[7]CRP_Outcome_ELV!$D34</f>
        <v>0</v>
      </c>
      <c r="AI34">
        <f>[7]CRP_Outcome_ELV!$E34</f>
        <v>0</v>
      </c>
      <c r="AK34">
        <f>[8]CRP_Outcome_ELV!$B34</f>
        <v>0</v>
      </c>
      <c r="AL34">
        <f>[8]CRP_Outcome_ELV!$C34</f>
        <v>0</v>
      </c>
      <c r="AM34">
        <f>[8]CRP_Outcome_ELV!$D34</f>
        <v>0</v>
      </c>
      <c r="AN34">
        <f>[8]CRP_Outcome_ELV!$E34</f>
        <v>0</v>
      </c>
      <c r="AP34">
        <f>[9]CRP_Outcome_ELV!$B34</f>
        <v>0</v>
      </c>
      <c r="AQ34">
        <f>[9]CRP_Outcome_ELV!$C34</f>
        <v>20</v>
      </c>
      <c r="AR34">
        <f>[9]CRP_Outcome_ELV!$D34</f>
        <v>0</v>
      </c>
      <c r="AS34">
        <f>[9]CRP_Outcome_ELV!$E34</f>
        <v>0</v>
      </c>
      <c r="AU34">
        <f>[10]CRP_Outcome_ELV!$B34</f>
        <v>0</v>
      </c>
      <c r="AV34">
        <f>[10]CRP_Outcome_ELV!$C34</f>
        <v>0</v>
      </c>
      <c r="AW34">
        <f>[10]CRP_Outcome_ELV!$D34</f>
        <v>0</v>
      </c>
      <c r="AX34">
        <f>[10]CRP_Outcome_ELV!$E34</f>
        <v>0</v>
      </c>
      <c r="BA34">
        <f t="shared" si="1"/>
        <v>0.7</v>
      </c>
      <c r="BB34">
        <f t="shared" si="1"/>
        <v>2</v>
      </c>
      <c r="BC34">
        <f t="shared" si="1"/>
        <v>0</v>
      </c>
      <c r="BD34">
        <f t="shared" si="1"/>
        <v>0</v>
      </c>
    </row>
    <row r="35" spans="1:56" x14ac:dyDescent="0.35">
      <c r="A35">
        <v>33</v>
      </c>
      <c r="B35">
        <f>[1]CRP_Outcome_ELV!$B35</f>
        <v>0</v>
      </c>
      <c r="C35">
        <f>[1]CRP_Outcome_ELV!$C35</f>
        <v>0</v>
      </c>
      <c r="D35">
        <f>[1]CRP_Outcome_ELV!$D35</f>
        <v>0</v>
      </c>
      <c r="E35">
        <f>[1]CRP_Outcome_ELV!$E35</f>
        <v>0</v>
      </c>
      <c r="G35">
        <f>[2]CRP_Outcome_ELV!$B35</f>
        <v>0</v>
      </c>
      <c r="H35">
        <f>[2]CRP_Outcome_ELV!$C35</f>
        <v>0</v>
      </c>
      <c r="I35">
        <f>[2]CRP_Outcome_ELV!$D35</f>
        <v>0</v>
      </c>
      <c r="J35">
        <f>[2]CRP_Outcome_ELV!$E35</f>
        <v>0</v>
      </c>
      <c r="L35">
        <f>[3]CRP_Outcome_ELV!$B35</f>
        <v>0</v>
      </c>
      <c r="M35">
        <f>[3]CRP_Outcome_ELV!$C35</f>
        <v>0</v>
      </c>
      <c r="N35">
        <f>[3]CRP_Outcome_ELV!$D35</f>
        <v>0</v>
      </c>
      <c r="O35">
        <f>[3]CRP_Outcome_ELV!$E35</f>
        <v>0</v>
      </c>
      <c r="Q35">
        <f>[4]CRP_Outcome_ELV!$B35</f>
        <v>0</v>
      </c>
      <c r="R35">
        <f>[4]CRP_Outcome_ELV!$C35</f>
        <v>0</v>
      </c>
      <c r="S35">
        <f>[4]CRP_Outcome_ELV!$D35</f>
        <v>0</v>
      </c>
      <c r="T35">
        <f>[4]CRP_Outcome_ELV!$E35</f>
        <v>0</v>
      </c>
      <c r="V35">
        <f>[5]CRP_Outcome_ELV!$B35</f>
        <v>0</v>
      </c>
      <c r="W35">
        <f>[5]CRP_Outcome_ELV!$C35</f>
        <v>0</v>
      </c>
      <c r="X35">
        <f>[5]CRP_Outcome_ELV!$D35</f>
        <v>0</v>
      </c>
      <c r="Y35">
        <f>[5]CRP_Outcome_ELV!$E35</f>
        <v>0</v>
      </c>
      <c r="AA35">
        <f>[6]CRP_Outcome_ELV!$B35</f>
        <v>0</v>
      </c>
      <c r="AB35">
        <f>[6]CRP_Outcome_ELV!$C35</f>
        <v>2</v>
      </c>
      <c r="AC35">
        <f>[6]CRP_Outcome_ELV!$D35</f>
        <v>0</v>
      </c>
      <c r="AD35">
        <f>[6]CRP_Outcome_ELV!$E35</f>
        <v>0</v>
      </c>
      <c r="AF35">
        <f>[7]CRP_Outcome_ELV!$B35</f>
        <v>0</v>
      </c>
      <c r="AG35">
        <f>[7]CRP_Outcome_ELV!$C35</f>
        <v>2</v>
      </c>
      <c r="AH35">
        <f>[7]CRP_Outcome_ELV!$D35</f>
        <v>0</v>
      </c>
      <c r="AI35">
        <f>[7]CRP_Outcome_ELV!$E35</f>
        <v>0</v>
      </c>
      <c r="AK35">
        <f>[8]CRP_Outcome_ELV!$B35</f>
        <v>0</v>
      </c>
      <c r="AL35">
        <f>[8]CRP_Outcome_ELV!$C35</f>
        <v>0</v>
      </c>
      <c r="AM35">
        <f>[8]CRP_Outcome_ELV!$D35</f>
        <v>0</v>
      </c>
      <c r="AN35">
        <f>[8]CRP_Outcome_ELV!$E35</f>
        <v>0</v>
      </c>
      <c r="AP35">
        <f>[9]CRP_Outcome_ELV!$B35</f>
        <v>0</v>
      </c>
      <c r="AQ35">
        <f>[9]CRP_Outcome_ELV!$C35</f>
        <v>0</v>
      </c>
      <c r="AR35">
        <f>[9]CRP_Outcome_ELV!$D35</f>
        <v>0</v>
      </c>
      <c r="AS35">
        <f>[9]CRP_Outcome_ELV!$E35</f>
        <v>0</v>
      </c>
      <c r="AU35">
        <f>[10]CRP_Outcome_ELV!$B35</f>
        <v>0</v>
      </c>
      <c r="AV35">
        <f>[10]CRP_Outcome_ELV!$C35</f>
        <v>0</v>
      </c>
      <c r="AW35">
        <f>[10]CRP_Outcome_ELV!$D35</f>
        <v>0</v>
      </c>
      <c r="AX35">
        <f>[10]CRP_Outcome_ELV!$E35</f>
        <v>0</v>
      </c>
      <c r="BA35">
        <f t="shared" si="1"/>
        <v>0</v>
      </c>
      <c r="BB35">
        <f t="shared" si="1"/>
        <v>0.4</v>
      </c>
      <c r="BC35">
        <f t="shared" si="1"/>
        <v>0</v>
      </c>
      <c r="BD35">
        <f t="shared" si="1"/>
        <v>0</v>
      </c>
    </row>
    <row r="36" spans="1:56" x14ac:dyDescent="0.35">
      <c r="A36">
        <v>34</v>
      </c>
      <c r="B36">
        <f>[1]CRP_Outcome_ELV!$B36</f>
        <v>0</v>
      </c>
      <c r="C36">
        <f>[1]CRP_Outcome_ELV!$C36</f>
        <v>0</v>
      </c>
      <c r="D36">
        <f>[1]CRP_Outcome_ELV!$D36</f>
        <v>0</v>
      </c>
      <c r="E36">
        <f>[1]CRP_Outcome_ELV!$E36</f>
        <v>0</v>
      </c>
      <c r="G36">
        <f>[2]CRP_Outcome_ELV!$B36</f>
        <v>0</v>
      </c>
      <c r="H36">
        <f>[2]CRP_Outcome_ELV!$C36</f>
        <v>0</v>
      </c>
      <c r="I36">
        <f>[2]CRP_Outcome_ELV!$D36</f>
        <v>0</v>
      </c>
      <c r="J36">
        <f>[2]CRP_Outcome_ELV!$E36</f>
        <v>0</v>
      </c>
      <c r="L36">
        <f>[3]CRP_Outcome_ELV!$B36</f>
        <v>1</v>
      </c>
      <c r="M36">
        <f>[3]CRP_Outcome_ELV!$C36</f>
        <v>0</v>
      </c>
      <c r="N36">
        <f>[3]CRP_Outcome_ELV!$D36</f>
        <v>0</v>
      </c>
      <c r="O36">
        <f>[3]CRP_Outcome_ELV!$E36</f>
        <v>0</v>
      </c>
      <c r="Q36">
        <f>[4]CRP_Outcome_ELV!$B36</f>
        <v>0</v>
      </c>
      <c r="R36">
        <f>[4]CRP_Outcome_ELV!$C36</f>
        <v>3</v>
      </c>
      <c r="S36">
        <f>[4]CRP_Outcome_ELV!$D36</f>
        <v>0</v>
      </c>
      <c r="T36">
        <f>[4]CRP_Outcome_ELV!$E36</f>
        <v>0</v>
      </c>
      <c r="V36">
        <f>[5]CRP_Outcome_ELV!$B36</f>
        <v>0</v>
      </c>
      <c r="W36">
        <f>[5]CRP_Outcome_ELV!$C36</f>
        <v>4</v>
      </c>
      <c r="X36">
        <f>[5]CRP_Outcome_ELV!$D36</f>
        <v>0</v>
      </c>
      <c r="Y36">
        <f>[5]CRP_Outcome_ELV!$E36</f>
        <v>0</v>
      </c>
      <c r="AA36">
        <f>[6]CRP_Outcome_ELV!$B36</f>
        <v>0</v>
      </c>
      <c r="AB36">
        <f>[6]CRP_Outcome_ELV!$C36</f>
        <v>10</v>
      </c>
      <c r="AC36">
        <f>[6]CRP_Outcome_ELV!$D36</f>
        <v>0</v>
      </c>
      <c r="AD36">
        <f>[6]CRP_Outcome_ELV!$E36</f>
        <v>0</v>
      </c>
      <c r="AF36">
        <f>[7]CRP_Outcome_ELV!$B36</f>
        <v>0</v>
      </c>
      <c r="AG36">
        <f>[7]CRP_Outcome_ELV!$C36</f>
        <v>10</v>
      </c>
      <c r="AH36">
        <f>[7]CRP_Outcome_ELV!$D36</f>
        <v>0</v>
      </c>
      <c r="AI36">
        <f>[7]CRP_Outcome_ELV!$E36</f>
        <v>0</v>
      </c>
      <c r="AK36">
        <f>[8]CRP_Outcome_ELV!$B36</f>
        <v>0</v>
      </c>
      <c r="AL36">
        <f>[8]CRP_Outcome_ELV!$C36</f>
        <v>0</v>
      </c>
      <c r="AM36">
        <f>[8]CRP_Outcome_ELV!$D36</f>
        <v>0</v>
      </c>
      <c r="AN36">
        <f>[8]CRP_Outcome_ELV!$E36</f>
        <v>0</v>
      </c>
      <c r="AP36">
        <f>[9]CRP_Outcome_ELV!$B36</f>
        <v>0</v>
      </c>
      <c r="AQ36">
        <f>[9]CRP_Outcome_ELV!$C36</f>
        <v>0</v>
      </c>
      <c r="AR36">
        <f>[9]CRP_Outcome_ELV!$D36</f>
        <v>0</v>
      </c>
      <c r="AS36">
        <f>[9]CRP_Outcome_ELV!$E36</f>
        <v>0</v>
      </c>
      <c r="AU36">
        <f>[10]CRP_Outcome_ELV!$B36</f>
        <v>0</v>
      </c>
      <c r="AV36">
        <f>[10]CRP_Outcome_ELV!$C36</f>
        <v>0</v>
      </c>
      <c r="AW36">
        <f>[10]CRP_Outcome_ELV!$D36</f>
        <v>0</v>
      </c>
      <c r="AX36">
        <f>[10]CRP_Outcome_ELV!$E36</f>
        <v>0</v>
      </c>
      <c r="BA36">
        <f t="shared" si="1"/>
        <v>0.1</v>
      </c>
      <c r="BB36">
        <f t="shared" si="1"/>
        <v>2.7</v>
      </c>
      <c r="BC36">
        <f t="shared" si="1"/>
        <v>0</v>
      </c>
      <c r="BD36">
        <f t="shared" si="1"/>
        <v>0</v>
      </c>
    </row>
    <row r="37" spans="1:56" x14ac:dyDescent="0.35">
      <c r="A37">
        <v>35</v>
      </c>
      <c r="B37">
        <f>[1]CRP_Outcome_ELV!$B37</f>
        <v>0</v>
      </c>
      <c r="C37">
        <f>[1]CRP_Outcome_ELV!$C37</f>
        <v>0</v>
      </c>
      <c r="D37">
        <f>[1]CRP_Outcome_ELV!$D37</f>
        <v>0</v>
      </c>
      <c r="E37">
        <f>[1]CRP_Outcome_ELV!$E37</f>
        <v>0</v>
      </c>
      <c r="G37">
        <f>[2]CRP_Outcome_ELV!$B37</f>
        <v>0</v>
      </c>
      <c r="H37">
        <f>[2]CRP_Outcome_ELV!$C37</f>
        <v>12</v>
      </c>
      <c r="I37">
        <f>[2]CRP_Outcome_ELV!$D37</f>
        <v>0</v>
      </c>
      <c r="J37">
        <f>[2]CRP_Outcome_ELV!$E37</f>
        <v>0</v>
      </c>
      <c r="L37">
        <f>[3]CRP_Outcome_ELV!$B37</f>
        <v>0</v>
      </c>
      <c r="M37">
        <f>[3]CRP_Outcome_ELV!$C37</f>
        <v>8</v>
      </c>
      <c r="N37">
        <f>[3]CRP_Outcome_ELV!$D37</f>
        <v>0</v>
      </c>
      <c r="O37">
        <f>[3]CRP_Outcome_ELV!$E37</f>
        <v>0</v>
      </c>
      <c r="Q37">
        <f>[4]CRP_Outcome_ELV!$B37</f>
        <v>0</v>
      </c>
      <c r="R37">
        <f>[4]CRP_Outcome_ELV!$C37</f>
        <v>0</v>
      </c>
      <c r="S37">
        <f>[4]CRP_Outcome_ELV!$D37</f>
        <v>0</v>
      </c>
      <c r="T37">
        <f>[4]CRP_Outcome_ELV!$E37</f>
        <v>0</v>
      </c>
      <c r="V37">
        <f>[5]CRP_Outcome_ELV!$B37</f>
        <v>0</v>
      </c>
      <c r="W37">
        <f>[5]CRP_Outcome_ELV!$C37</f>
        <v>0</v>
      </c>
      <c r="X37">
        <f>[5]CRP_Outcome_ELV!$D37</f>
        <v>0</v>
      </c>
      <c r="Y37">
        <f>[5]CRP_Outcome_ELV!$E37</f>
        <v>0</v>
      </c>
      <c r="AA37">
        <f>[6]CRP_Outcome_ELV!$B37</f>
        <v>0</v>
      </c>
      <c r="AB37">
        <f>[6]CRP_Outcome_ELV!$C37</f>
        <v>0</v>
      </c>
      <c r="AC37">
        <f>[6]CRP_Outcome_ELV!$D37</f>
        <v>0</v>
      </c>
      <c r="AD37">
        <f>[6]CRP_Outcome_ELV!$E37</f>
        <v>0</v>
      </c>
      <c r="AF37">
        <f>[7]CRP_Outcome_ELV!$B37</f>
        <v>0</v>
      </c>
      <c r="AG37">
        <f>[7]CRP_Outcome_ELV!$C37</f>
        <v>0</v>
      </c>
      <c r="AH37">
        <f>[7]CRP_Outcome_ELV!$D37</f>
        <v>0</v>
      </c>
      <c r="AI37">
        <f>[7]CRP_Outcome_ELV!$E37</f>
        <v>0</v>
      </c>
      <c r="AK37">
        <f>[8]CRP_Outcome_ELV!$B37</f>
        <v>0</v>
      </c>
      <c r="AL37">
        <f>[8]CRP_Outcome_ELV!$C37</f>
        <v>0</v>
      </c>
      <c r="AM37">
        <f>[8]CRP_Outcome_ELV!$D37</f>
        <v>0</v>
      </c>
      <c r="AN37">
        <f>[8]CRP_Outcome_ELV!$E37</f>
        <v>0</v>
      </c>
      <c r="AP37">
        <f>[9]CRP_Outcome_ELV!$B37</f>
        <v>0</v>
      </c>
      <c r="AQ37">
        <f>[9]CRP_Outcome_ELV!$C37</f>
        <v>22</v>
      </c>
      <c r="AR37">
        <f>[9]CRP_Outcome_ELV!$D37</f>
        <v>0</v>
      </c>
      <c r="AS37">
        <f>[9]CRP_Outcome_ELV!$E37</f>
        <v>0</v>
      </c>
      <c r="AU37">
        <f>[10]CRP_Outcome_ELV!$B37</f>
        <v>0</v>
      </c>
      <c r="AV37">
        <f>[10]CRP_Outcome_ELV!$C37</f>
        <v>0</v>
      </c>
      <c r="AW37">
        <f>[10]CRP_Outcome_ELV!$D37</f>
        <v>0</v>
      </c>
      <c r="AX37">
        <f>[10]CRP_Outcome_ELV!$E37</f>
        <v>0</v>
      </c>
      <c r="BA37">
        <f t="shared" si="1"/>
        <v>0</v>
      </c>
      <c r="BB37">
        <f t="shared" si="1"/>
        <v>4.2</v>
      </c>
      <c r="BC37">
        <f t="shared" si="1"/>
        <v>0</v>
      </c>
      <c r="BD37">
        <f t="shared" si="1"/>
        <v>0</v>
      </c>
    </row>
    <row r="38" spans="1:56" x14ac:dyDescent="0.35">
      <c r="A38">
        <v>36</v>
      </c>
      <c r="B38">
        <f>[1]CRP_Outcome_ELV!$B38</f>
        <v>0</v>
      </c>
      <c r="C38">
        <f>[1]CRP_Outcome_ELV!$C38</f>
        <v>3</v>
      </c>
      <c r="D38">
        <f>[1]CRP_Outcome_ELV!$D38</f>
        <v>0</v>
      </c>
      <c r="E38">
        <f>[1]CRP_Outcome_ELV!$E38</f>
        <v>0</v>
      </c>
      <c r="G38">
        <f>[2]CRP_Outcome_ELV!$B38</f>
        <v>0</v>
      </c>
      <c r="H38">
        <f>[2]CRP_Outcome_ELV!$C38</f>
        <v>3</v>
      </c>
      <c r="I38">
        <f>[2]CRP_Outcome_ELV!$D38</f>
        <v>0</v>
      </c>
      <c r="J38">
        <f>[2]CRP_Outcome_ELV!$E38</f>
        <v>0</v>
      </c>
      <c r="L38">
        <f>[3]CRP_Outcome_ELV!$B38</f>
        <v>0</v>
      </c>
      <c r="M38">
        <f>[3]CRP_Outcome_ELV!$C38</f>
        <v>19</v>
      </c>
      <c r="N38">
        <f>[3]CRP_Outcome_ELV!$D38</f>
        <v>0</v>
      </c>
      <c r="O38">
        <f>[3]CRP_Outcome_ELV!$E38</f>
        <v>0</v>
      </c>
      <c r="Q38">
        <f>[4]CRP_Outcome_ELV!$B38</f>
        <v>0</v>
      </c>
      <c r="R38">
        <f>[4]CRP_Outcome_ELV!$C38</f>
        <v>0</v>
      </c>
      <c r="S38">
        <f>[4]CRP_Outcome_ELV!$D38</f>
        <v>0</v>
      </c>
      <c r="T38">
        <f>[4]CRP_Outcome_ELV!$E38</f>
        <v>0</v>
      </c>
      <c r="V38">
        <f>[5]CRP_Outcome_ELV!$B38</f>
        <v>0</v>
      </c>
      <c r="W38">
        <f>[5]CRP_Outcome_ELV!$C38</f>
        <v>0</v>
      </c>
      <c r="X38">
        <f>[5]CRP_Outcome_ELV!$D38</f>
        <v>0</v>
      </c>
      <c r="Y38">
        <f>[5]CRP_Outcome_ELV!$E38</f>
        <v>0</v>
      </c>
      <c r="AA38">
        <f>[6]CRP_Outcome_ELV!$B38</f>
        <v>0</v>
      </c>
      <c r="AB38">
        <f>[6]CRP_Outcome_ELV!$C38</f>
        <v>0</v>
      </c>
      <c r="AC38">
        <f>[6]CRP_Outcome_ELV!$D38</f>
        <v>0</v>
      </c>
      <c r="AD38">
        <f>[6]CRP_Outcome_ELV!$E38</f>
        <v>0</v>
      </c>
      <c r="AF38">
        <f>[7]CRP_Outcome_ELV!$B38</f>
        <v>0</v>
      </c>
      <c r="AG38">
        <f>[7]CRP_Outcome_ELV!$C38</f>
        <v>0</v>
      </c>
      <c r="AH38">
        <f>[7]CRP_Outcome_ELV!$D38</f>
        <v>0</v>
      </c>
      <c r="AI38">
        <f>[7]CRP_Outcome_ELV!$E38</f>
        <v>0</v>
      </c>
      <c r="AK38">
        <f>[8]CRP_Outcome_ELV!$B38</f>
        <v>0</v>
      </c>
      <c r="AL38">
        <f>[8]CRP_Outcome_ELV!$C38</f>
        <v>0</v>
      </c>
      <c r="AM38">
        <f>[8]CRP_Outcome_ELV!$D38</f>
        <v>0</v>
      </c>
      <c r="AN38">
        <f>[8]CRP_Outcome_ELV!$E38</f>
        <v>0</v>
      </c>
      <c r="AP38">
        <f>[9]CRP_Outcome_ELV!$B38</f>
        <v>0</v>
      </c>
      <c r="AQ38">
        <f>[9]CRP_Outcome_ELV!$C38</f>
        <v>0</v>
      </c>
      <c r="AR38">
        <f>[9]CRP_Outcome_ELV!$D38</f>
        <v>0</v>
      </c>
      <c r="AS38">
        <f>[9]CRP_Outcome_ELV!$E38</f>
        <v>0</v>
      </c>
      <c r="AU38">
        <f>[10]CRP_Outcome_ELV!$B38</f>
        <v>0</v>
      </c>
      <c r="AV38">
        <f>[10]CRP_Outcome_ELV!$C38</f>
        <v>14</v>
      </c>
      <c r="AW38">
        <f>[10]CRP_Outcome_ELV!$D38</f>
        <v>0</v>
      </c>
      <c r="AX38">
        <f>[10]CRP_Outcome_ELV!$E38</f>
        <v>0</v>
      </c>
      <c r="BA38">
        <f t="shared" si="1"/>
        <v>0</v>
      </c>
      <c r="BB38">
        <f t="shared" si="1"/>
        <v>3.9</v>
      </c>
      <c r="BC38">
        <f t="shared" si="1"/>
        <v>0</v>
      </c>
      <c r="BD38">
        <f t="shared" si="1"/>
        <v>0</v>
      </c>
    </row>
    <row r="40" spans="1:56" x14ac:dyDescent="0.35">
      <c r="A40" t="s">
        <v>9</v>
      </c>
      <c r="B40">
        <f>SUM(B2:B38)</f>
        <v>6</v>
      </c>
      <c r="C40">
        <f t="shared" ref="C40:E40" si="2">SUM(C2:C38)</f>
        <v>42</v>
      </c>
      <c r="D40">
        <f t="shared" si="2"/>
        <v>0</v>
      </c>
      <c r="E40">
        <f t="shared" si="2"/>
        <v>0</v>
      </c>
      <c r="G40">
        <f>SUM(G2:G38)</f>
        <v>8</v>
      </c>
      <c r="H40">
        <f t="shared" ref="H40:J40" si="3">SUM(H2:H38)</f>
        <v>100</v>
      </c>
      <c r="I40">
        <f t="shared" si="3"/>
        <v>0</v>
      </c>
      <c r="J40">
        <f t="shared" si="3"/>
        <v>0</v>
      </c>
      <c r="L40">
        <f>SUM(L2:L38)</f>
        <v>3</v>
      </c>
      <c r="M40">
        <f t="shared" ref="M40:O40" si="4">SUM(M2:M38)</f>
        <v>96</v>
      </c>
      <c r="N40">
        <f t="shared" si="4"/>
        <v>0</v>
      </c>
      <c r="O40">
        <f t="shared" si="4"/>
        <v>0</v>
      </c>
      <c r="Q40">
        <f>SUM(Q2:Q38)</f>
        <v>11</v>
      </c>
      <c r="R40">
        <f t="shared" ref="R40:T40" si="5">SUM(R2:R38)</f>
        <v>30</v>
      </c>
      <c r="S40">
        <f t="shared" si="5"/>
        <v>0</v>
      </c>
      <c r="T40">
        <f t="shared" si="5"/>
        <v>0</v>
      </c>
      <c r="V40">
        <f>SUM(V2:V38)</f>
        <v>0</v>
      </c>
      <c r="W40">
        <f t="shared" ref="W40:Y40" si="6">SUM(W2:W38)</f>
        <v>5</v>
      </c>
      <c r="X40">
        <f t="shared" si="6"/>
        <v>0</v>
      </c>
      <c r="Y40">
        <f t="shared" si="6"/>
        <v>0</v>
      </c>
      <c r="AA40">
        <f>SUM(AA2:AA38)</f>
        <v>19</v>
      </c>
      <c r="AB40">
        <f t="shared" ref="AB40:AD40" si="7">SUM(AB2:AB38)</f>
        <v>56</v>
      </c>
      <c r="AC40">
        <f t="shared" si="7"/>
        <v>0</v>
      </c>
      <c r="AD40">
        <f t="shared" si="7"/>
        <v>0</v>
      </c>
      <c r="AF40">
        <f>SUM(AF2:AF38)</f>
        <v>17</v>
      </c>
      <c r="AG40">
        <f t="shared" ref="AG40:AI40" si="8">SUM(AG2:AG38)</f>
        <v>88</v>
      </c>
      <c r="AH40">
        <f t="shared" si="8"/>
        <v>0</v>
      </c>
      <c r="AI40">
        <f t="shared" si="8"/>
        <v>0</v>
      </c>
      <c r="AK40">
        <f>SUM(AK2:AK38)</f>
        <v>0</v>
      </c>
      <c r="AL40">
        <f t="shared" ref="AL40:AN40" si="9">SUM(AL2:AL38)</f>
        <v>0</v>
      </c>
      <c r="AM40">
        <f t="shared" si="9"/>
        <v>0</v>
      </c>
      <c r="AN40">
        <f t="shared" si="9"/>
        <v>0</v>
      </c>
      <c r="AP40">
        <f>SUM(AP2:AP38)</f>
        <v>4</v>
      </c>
      <c r="AQ40">
        <f t="shared" ref="AQ40:AS40" si="10">SUM(AQ2:AQ38)</f>
        <v>200</v>
      </c>
      <c r="AR40">
        <f t="shared" si="10"/>
        <v>0</v>
      </c>
      <c r="AS40">
        <f t="shared" si="10"/>
        <v>0</v>
      </c>
      <c r="AU40">
        <f>SUM(AU2:AU38)</f>
        <v>19</v>
      </c>
      <c r="AV40">
        <f t="shared" ref="AV40:AX40" si="11">SUM(AV2:AV38)</f>
        <v>211</v>
      </c>
      <c r="AW40">
        <f t="shared" si="11"/>
        <v>0</v>
      </c>
      <c r="AX40">
        <f t="shared" si="11"/>
        <v>0</v>
      </c>
      <c r="BA40">
        <f>SUM(BA2:BA38)</f>
        <v>8.6999999999999993</v>
      </c>
      <c r="BB40">
        <f t="shared" ref="BB40:BD40" si="12">SUM(BB2:BB38)</f>
        <v>82.800000000000026</v>
      </c>
      <c r="BC40">
        <f t="shared" si="12"/>
        <v>0</v>
      </c>
      <c r="BD40">
        <f t="shared" si="12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55E8C-27F9-4D6C-AC50-17913DCF6F43}">
  <dimension ref="A1:BD40"/>
  <sheetViews>
    <sheetView topLeftCell="AG1" workbookViewId="0">
      <selection activeCell="AU2" sqref="AU2:AX38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1" max="51" width="8.7265625" style="5"/>
  </cols>
  <sheetData>
    <row r="1" spans="1:55" x14ac:dyDescent="0.35">
      <c r="A1" t="s">
        <v>19</v>
      </c>
      <c r="B1" t="s">
        <v>34</v>
      </c>
      <c r="C1" s="4" t="s">
        <v>31</v>
      </c>
      <c r="D1" s="4" t="s">
        <v>32</v>
      </c>
      <c r="E1" s="4" t="s">
        <v>33</v>
      </c>
      <c r="F1" s="5">
        <v>1</v>
      </c>
      <c r="G1" t="s">
        <v>34</v>
      </c>
      <c r="H1" t="s">
        <v>31</v>
      </c>
      <c r="I1" t="s">
        <v>32</v>
      </c>
      <c r="J1" t="s">
        <v>33</v>
      </c>
      <c r="K1" s="5">
        <v>2</v>
      </c>
      <c r="L1" t="s">
        <v>34</v>
      </c>
      <c r="M1" t="s">
        <v>31</v>
      </c>
      <c r="N1" t="s">
        <v>32</v>
      </c>
      <c r="O1" t="s">
        <v>33</v>
      </c>
      <c r="P1" s="5">
        <v>3</v>
      </c>
      <c r="Q1" t="s">
        <v>34</v>
      </c>
      <c r="R1" s="4" t="s">
        <v>31</v>
      </c>
      <c r="S1" s="4" t="s">
        <v>32</v>
      </c>
      <c r="T1" s="4" t="s">
        <v>33</v>
      </c>
      <c r="U1" s="5">
        <v>4</v>
      </c>
      <c r="V1" t="s">
        <v>34</v>
      </c>
      <c r="W1" s="4" t="s">
        <v>31</v>
      </c>
      <c r="X1" s="4" t="s">
        <v>32</v>
      </c>
      <c r="Y1" s="4" t="s">
        <v>33</v>
      </c>
      <c r="Z1" s="5">
        <v>5</v>
      </c>
      <c r="AA1" t="s">
        <v>34</v>
      </c>
      <c r="AB1" s="4" t="s">
        <v>31</v>
      </c>
      <c r="AC1" s="4" t="s">
        <v>32</v>
      </c>
      <c r="AD1" s="4" t="s">
        <v>33</v>
      </c>
      <c r="AE1" s="5">
        <v>6</v>
      </c>
      <c r="AF1" t="s">
        <v>34</v>
      </c>
      <c r="AG1" s="4" t="s">
        <v>31</v>
      </c>
      <c r="AH1" s="4" t="s">
        <v>32</v>
      </c>
      <c r="AI1" s="4" t="s">
        <v>33</v>
      </c>
      <c r="AJ1" s="5">
        <v>7</v>
      </c>
      <c r="AK1" t="s">
        <v>34</v>
      </c>
      <c r="AL1" s="4" t="s">
        <v>31</v>
      </c>
      <c r="AM1" s="4" t="s">
        <v>32</v>
      </c>
      <c r="AN1" s="4" t="s">
        <v>33</v>
      </c>
      <c r="AO1" s="5">
        <v>8</v>
      </c>
      <c r="AP1" t="s">
        <v>34</v>
      </c>
      <c r="AQ1" s="4" t="s">
        <v>31</v>
      </c>
      <c r="AR1" s="4" t="s">
        <v>32</v>
      </c>
      <c r="AS1" s="4" t="s">
        <v>33</v>
      </c>
      <c r="AT1" s="5">
        <v>9</v>
      </c>
      <c r="AU1" t="s">
        <v>34</v>
      </c>
      <c r="AV1" s="4" t="s">
        <v>31</v>
      </c>
      <c r="AW1" s="4" t="s">
        <v>32</v>
      </c>
      <c r="AX1" s="4" t="s">
        <v>33</v>
      </c>
      <c r="AY1" s="5">
        <v>10</v>
      </c>
      <c r="AZ1" t="s">
        <v>44</v>
      </c>
      <c r="BA1" t="s">
        <v>131</v>
      </c>
      <c r="BB1" t="s">
        <v>42</v>
      </c>
      <c r="BC1" t="s">
        <v>132</v>
      </c>
    </row>
    <row r="2" spans="1:55" x14ac:dyDescent="0.35">
      <c r="A2">
        <v>0</v>
      </c>
      <c r="B2">
        <f>[1]CRP_Outcome_ELV!$O2</f>
        <v>0</v>
      </c>
      <c r="C2">
        <f>[1]CRP_Outcome_ELV!$BF2</f>
        <v>0</v>
      </c>
      <c r="D2">
        <f>[1]CRP_Outcome_ELV!$BG2</f>
        <v>0</v>
      </c>
      <c r="E2">
        <f>[1]CRP_Outcome_ELV!$BH2</f>
        <v>0</v>
      </c>
      <c r="G2">
        <f>[2]CRP_Outcome_ELV!$O2</f>
        <v>0</v>
      </c>
      <c r="H2">
        <f>[2]CRP_Outcome_ELV!$BF2</f>
        <v>0</v>
      </c>
      <c r="I2">
        <f>[2]CRP_Outcome_ELV!$BG2</f>
        <v>0</v>
      </c>
      <c r="J2">
        <f>[2]CRP_Outcome_ELV!$BH2</f>
        <v>0</v>
      </c>
      <c r="L2">
        <f>[3]CRP_Outcome_ELV!$O2</f>
        <v>0</v>
      </c>
      <c r="M2">
        <f>[3]CRP_Outcome_ELV!$BF2</f>
        <v>0</v>
      </c>
      <c r="N2">
        <f>[3]CRP_Outcome_ELV!$BG2</f>
        <v>0</v>
      </c>
      <c r="O2">
        <f>[3]CRP_Outcome_ELV!$BH2</f>
        <v>0</v>
      </c>
      <c r="Q2">
        <f>[4]CRP_Outcome_ELV!$O2</f>
        <v>0</v>
      </c>
      <c r="R2">
        <f>[4]CRP_Outcome_ELV!$BF2</f>
        <v>0</v>
      </c>
      <c r="S2">
        <f>[4]CRP_Outcome_ELV!$BG2</f>
        <v>0</v>
      </c>
      <c r="T2">
        <f>[4]CRP_Outcome_ELV!$BH2</f>
        <v>0</v>
      </c>
      <c r="V2">
        <f>[5]CRP_Outcome_ELV!$O2</f>
        <v>0</v>
      </c>
      <c r="W2">
        <f>[5]CRP_Outcome_ELV!$BF2</f>
        <v>0</v>
      </c>
      <c r="X2">
        <f>[5]CRP_Outcome_ELV!$BG2</f>
        <v>0</v>
      </c>
      <c r="Y2">
        <f>[5]CRP_Outcome_ELV!$BH2</f>
        <v>0</v>
      </c>
      <c r="AA2">
        <f>[6]CRP_Outcome_ELV!$O2</f>
        <v>0</v>
      </c>
      <c r="AB2">
        <f>[6]CRP_Outcome_ELV!$BF2</f>
        <v>0</v>
      </c>
      <c r="AC2">
        <f>[6]CRP_Outcome_ELV!$BG2</f>
        <v>0</v>
      </c>
      <c r="AD2">
        <f>[6]CRP_Outcome_ELV!$BH2</f>
        <v>0</v>
      </c>
      <c r="AF2">
        <f>[7]CRP_Outcome_ELV!$O2</f>
        <v>0</v>
      </c>
      <c r="AG2">
        <f>[7]CRP_Outcome_ELV!$BF2</f>
        <v>0</v>
      </c>
      <c r="AH2">
        <f>[7]CRP_Outcome_ELV!$BG2</f>
        <v>0</v>
      </c>
      <c r="AI2">
        <f>[7]CRP_Outcome_ELV!$BH2</f>
        <v>0</v>
      </c>
      <c r="AK2">
        <f>[8]CRP_Outcome_ELV!$O2</f>
        <v>0</v>
      </c>
      <c r="AL2">
        <f>[8]CRP_Outcome_ELV!$BF2</f>
        <v>0</v>
      </c>
      <c r="AM2">
        <f>[8]CRP_Outcome_ELV!$BG2</f>
        <v>0</v>
      </c>
      <c r="AN2">
        <f>[8]CRP_Outcome_ELV!$BH2</f>
        <v>0</v>
      </c>
      <c r="AP2">
        <f>[9]CRP_Outcome_ELV!$O2</f>
        <v>0</v>
      </c>
      <c r="AQ2">
        <f>[9]CRP_Outcome_ELV!$BF2</f>
        <v>0</v>
      </c>
      <c r="AR2">
        <f>[9]CRP_Outcome_ELV!$BG2</f>
        <v>0</v>
      </c>
      <c r="AS2">
        <f>[9]CRP_Outcome_ELV!$BH2</f>
        <v>0</v>
      </c>
      <c r="AU2">
        <f>[10]CRP_Outcome_ELV!$O2</f>
        <v>0</v>
      </c>
      <c r="AV2">
        <f>[10]CRP_Outcome_ELV!$BF2</f>
        <v>0</v>
      </c>
      <c r="AW2">
        <f>[10]CRP_Outcome_ELV!$BG2</f>
        <v>0</v>
      </c>
      <c r="AX2">
        <f>[10]CRP_Outcome_ELV!$BH2</f>
        <v>0</v>
      </c>
      <c r="AZ2">
        <f>AVERAGE(AU2,AP2,AK2,AF2,AA2,V2,Q2,L2,G2,B2)</f>
        <v>0</v>
      </c>
      <c r="BA2">
        <f>AVERAGE(AV2,AQ2,AL2,AG2,AB2,W2,R2,M2,H2,C2)</f>
        <v>0</v>
      </c>
      <c r="BB2">
        <f>AVERAGE(AW2,AR2,AM2,AH2,AC2,X2,S2,N2,I2,D2)</f>
        <v>0</v>
      </c>
      <c r="BC2">
        <f>AVERAGE(AX2,AS2,AN2,AI2,AD2,Y2,T2,O2,J2,E2)</f>
        <v>0</v>
      </c>
    </row>
    <row r="3" spans="1:55" x14ac:dyDescent="0.35">
      <c r="A3">
        <v>1</v>
      </c>
      <c r="B3">
        <f>[1]CRP_Outcome_ELV!$O3</f>
        <v>4</v>
      </c>
      <c r="C3">
        <f>[1]CRP_Outcome_ELV!$BF3</f>
        <v>4</v>
      </c>
      <c r="D3">
        <f>[1]CRP_Outcome_ELV!$BG3</f>
        <v>4</v>
      </c>
      <c r="E3">
        <f>[1]CRP_Outcome_ELV!$BH3</f>
        <v>4</v>
      </c>
      <c r="G3">
        <f>[2]CRP_Outcome_ELV!$O3</f>
        <v>4</v>
      </c>
      <c r="H3">
        <f>[2]CRP_Outcome_ELV!$BF3</f>
        <v>4</v>
      </c>
      <c r="I3">
        <f>[2]CRP_Outcome_ELV!$BG3</f>
        <v>4</v>
      </c>
      <c r="J3">
        <f>[2]CRP_Outcome_ELV!$BH3</f>
        <v>4</v>
      </c>
      <c r="L3">
        <f>[3]CRP_Outcome_ELV!$O3</f>
        <v>4</v>
      </c>
      <c r="M3">
        <f>[3]CRP_Outcome_ELV!$BF3</f>
        <v>4</v>
      </c>
      <c r="N3">
        <f>[3]CRP_Outcome_ELV!$BG3</f>
        <v>4</v>
      </c>
      <c r="O3">
        <f>[3]CRP_Outcome_ELV!$BH3</f>
        <v>4</v>
      </c>
      <c r="Q3">
        <f>[4]CRP_Outcome_ELV!$O3</f>
        <v>4</v>
      </c>
      <c r="R3">
        <f>[4]CRP_Outcome_ELV!$BF3</f>
        <v>4</v>
      </c>
      <c r="S3">
        <f>[4]CRP_Outcome_ELV!$BG3</f>
        <v>4</v>
      </c>
      <c r="T3">
        <f>[4]CRP_Outcome_ELV!$BH3</f>
        <v>4</v>
      </c>
      <c r="V3">
        <f>[5]CRP_Outcome_ELV!$O3</f>
        <v>4</v>
      </c>
      <c r="W3">
        <f>[5]CRP_Outcome_ELV!$BF3</f>
        <v>4</v>
      </c>
      <c r="X3">
        <f>[5]CRP_Outcome_ELV!$BG3</f>
        <v>4</v>
      </c>
      <c r="Y3">
        <f>[5]CRP_Outcome_ELV!$BH3</f>
        <v>4</v>
      </c>
      <c r="AA3">
        <f>[6]CRP_Outcome_ELV!$O3</f>
        <v>4</v>
      </c>
      <c r="AB3">
        <f>[6]CRP_Outcome_ELV!$BF3</f>
        <v>4</v>
      </c>
      <c r="AC3">
        <f>[6]CRP_Outcome_ELV!$BG3</f>
        <v>4</v>
      </c>
      <c r="AD3">
        <f>[6]CRP_Outcome_ELV!$BH3</f>
        <v>4</v>
      </c>
      <c r="AF3">
        <f>[7]CRP_Outcome_ELV!$O3</f>
        <v>4</v>
      </c>
      <c r="AG3">
        <f>[7]CRP_Outcome_ELV!$BF3</f>
        <v>4</v>
      </c>
      <c r="AH3">
        <f>[7]CRP_Outcome_ELV!$BG3</f>
        <v>4</v>
      </c>
      <c r="AI3">
        <f>[7]CRP_Outcome_ELV!$BH3</f>
        <v>4</v>
      </c>
      <c r="AK3">
        <f>[8]CRP_Outcome_ELV!$O3</f>
        <v>4</v>
      </c>
      <c r="AL3">
        <f>[8]CRP_Outcome_ELV!$BF3</f>
        <v>4</v>
      </c>
      <c r="AM3">
        <f>[8]CRP_Outcome_ELV!$BG3</f>
        <v>4</v>
      </c>
      <c r="AN3">
        <f>[8]CRP_Outcome_ELV!$BH3</f>
        <v>4</v>
      </c>
      <c r="AP3">
        <f>[9]CRP_Outcome_ELV!$O3</f>
        <v>4</v>
      </c>
      <c r="AQ3">
        <f>[9]CRP_Outcome_ELV!$BF3</f>
        <v>4</v>
      </c>
      <c r="AR3">
        <f>[9]CRP_Outcome_ELV!$BG3</f>
        <v>4</v>
      </c>
      <c r="AS3">
        <f>[9]CRP_Outcome_ELV!$BH3</f>
        <v>4</v>
      </c>
      <c r="AU3">
        <f>[10]CRP_Outcome_ELV!$O3</f>
        <v>4</v>
      </c>
      <c r="AV3">
        <f>[10]CRP_Outcome_ELV!$BF3</f>
        <v>4</v>
      </c>
      <c r="AW3">
        <f>[10]CRP_Outcome_ELV!$BG3</f>
        <v>4</v>
      </c>
      <c r="AX3">
        <f>[10]CRP_Outcome_ELV!$BH3</f>
        <v>4</v>
      </c>
      <c r="AZ3">
        <f t="shared" ref="AZ3:BC38" si="0">AVERAGE(AU3,AP3,AK3,AF3,AA3,V3,Q3,L3,G3,B3)</f>
        <v>4</v>
      </c>
      <c r="BA3">
        <f t="shared" si="0"/>
        <v>4</v>
      </c>
      <c r="BB3">
        <f t="shared" si="0"/>
        <v>4</v>
      </c>
      <c r="BC3">
        <f t="shared" si="0"/>
        <v>4</v>
      </c>
    </row>
    <row r="4" spans="1:55" x14ac:dyDescent="0.35">
      <c r="A4">
        <v>2</v>
      </c>
      <c r="B4">
        <f>[1]CRP_Outcome_ELV!$O4</f>
        <v>4</v>
      </c>
      <c r="C4">
        <f>[1]CRP_Outcome_ELV!$BF4</f>
        <v>4</v>
      </c>
      <c r="D4">
        <f>[1]CRP_Outcome_ELV!$BG4</f>
        <v>4</v>
      </c>
      <c r="E4">
        <f>[1]CRP_Outcome_ELV!$BH4</f>
        <v>4</v>
      </c>
      <c r="G4">
        <f>[2]CRP_Outcome_ELV!$O4</f>
        <v>4</v>
      </c>
      <c r="H4">
        <f>[2]CRP_Outcome_ELV!$BF4</f>
        <v>4</v>
      </c>
      <c r="I4">
        <f>[2]CRP_Outcome_ELV!$BG4</f>
        <v>4</v>
      </c>
      <c r="J4">
        <f>[2]CRP_Outcome_ELV!$BH4</f>
        <v>4</v>
      </c>
      <c r="L4">
        <f>[3]CRP_Outcome_ELV!$O4</f>
        <v>4</v>
      </c>
      <c r="M4">
        <f>[3]CRP_Outcome_ELV!$BF4</f>
        <v>4</v>
      </c>
      <c r="N4">
        <f>[3]CRP_Outcome_ELV!$BG4</f>
        <v>4</v>
      </c>
      <c r="O4">
        <f>[3]CRP_Outcome_ELV!$BH4</f>
        <v>4</v>
      </c>
      <c r="Q4">
        <f>[4]CRP_Outcome_ELV!$O4</f>
        <v>4</v>
      </c>
      <c r="R4">
        <f>[4]CRP_Outcome_ELV!$BF4</f>
        <v>4</v>
      </c>
      <c r="S4">
        <f>[4]CRP_Outcome_ELV!$BG4</f>
        <v>4</v>
      </c>
      <c r="T4">
        <f>[4]CRP_Outcome_ELV!$BH4</f>
        <v>4</v>
      </c>
      <c r="V4">
        <f>[5]CRP_Outcome_ELV!$O4</f>
        <v>4</v>
      </c>
      <c r="W4">
        <f>[5]CRP_Outcome_ELV!$BF4</f>
        <v>4</v>
      </c>
      <c r="X4">
        <f>[5]CRP_Outcome_ELV!$BG4</f>
        <v>4</v>
      </c>
      <c r="Y4">
        <f>[5]CRP_Outcome_ELV!$BH4</f>
        <v>4</v>
      </c>
      <c r="AA4">
        <f>[6]CRP_Outcome_ELV!$O4</f>
        <v>4</v>
      </c>
      <c r="AB4">
        <f>[6]CRP_Outcome_ELV!$BF4</f>
        <v>4</v>
      </c>
      <c r="AC4">
        <f>[6]CRP_Outcome_ELV!$BG4</f>
        <v>4</v>
      </c>
      <c r="AD4">
        <f>[6]CRP_Outcome_ELV!$BH4</f>
        <v>4</v>
      </c>
      <c r="AF4">
        <f>[7]CRP_Outcome_ELV!$O4</f>
        <v>4</v>
      </c>
      <c r="AG4">
        <f>[7]CRP_Outcome_ELV!$BF4</f>
        <v>4</v>
      </c>
      <c r="AH4">
        <f>[7]CRP_Outcome_ELV!$BG4</f>
        <v>4</v>
      </c>
      <c r="AI4">
        <f>[7]CRP_Outcome_ELV!$BH4</f>
        <v>4</v>
      </c>
      <c r="AK4">
        <f>[8]CRP_Outcome_ELV!$O4</f>
        <v>4</v>
      </c>
      <c r="AL4">
        <f>[8]CRP_Outcome_ELV!$BF4</f>
        <v>4</v>
      </c>
      <c r="AM4">
        <f>[8]CRP_Outcome_ELV!$BG4</f>
        <v>4</v>
      </c>
      <c r="AN4">
        <f>[8]CRP_Outcome_ELV!$BH4</f>
        <v>4</v>
      </c>
      <c r="AP4">
        <f>[9]CRP_Outcome_ELV!$O4</f>
        <v>4</v>
      </c>
      <c r="AQ4">
        <f>[9]CRP_Outcome_ELV!$BF4</f>
        <v>4</v>
      </c>
      <c r="AR4">
        <f>[9]CRP_Outcome_ELV!$BG4</f>
        <v>4</v>
      </c>
      <c r="AS4">
        <f>[9]CRP_Outcome_ELV!$BH4</f>
        <v>4</v>
      </c>
      <c r="AU4">
        <f>[10]CRP_Outcome_ELV!$O4</f>
        <v>4</v>
      </c>
      <c r="AV4">
        <f>[10]CRP_Outcome_ELV!$BF4</f>
        <v>4</v>
      </c>
      <c r="AW4">
        <f>[10]CRP_Outcome_ELV!$BG4</f>
        <v>4</v>
      </c>
      <c r="AX4">
        <f>[10]CRP_Outcome_ELV!$BH4</f>
        <v>4</v>
      </c>
      <c r="AZ4">
        <f t="shared" si="0"/>
        <v>4</v>
      </c>
      <c r="BA4">
        <f t="shared" si="0"/>
        <v>4</v>
      </c>
      <c r="BB4">
        <f t="shared" si="0"/>
        <v>4</v>
      </c>
      <c r="BC4">
        <f t="shared" si="0"/>
        <v>4</v>
      </c>
    </row>
    <row r="5" spans="1:55" x14ac:dyDescent="0.35">
      <c r="A5">
        <v>3</v>
      </c>
      <c r="B5">
        <f>[1]CRP_Outcome_ELV!$O5</f>
        <v>4</v>
      </c>
      <c r="C5">
        <f>[1]CRP_Outcome_ELV!$BF5</f>
        <v>4</v>
      </c>
      <c r="D5">
        <f>[1]CRP_Outcome_ELV!$BG5</f>
        <v>4</v>
      </c>
      <c r="E5">
        <f>[1]CRP_Outcome_ELV!$BH5</f>
        <v>4</v>
      </c>
      <c r="G5">
        <f>[2]CRP_Outcome_ELV!$O5</f>
        <v>4</v>
      </c>
      <c r="H5">
        <f>[2]CRP_Outcome_ELV!$BF5</f>
        <v>4</v>
      </c>
      <c r="I5">
        <f>[2]CRP_Outcome_ELV!$BG5</f>
        <v>4</v>
      </c>
      <c r="J5">
        <f>[2]CRP_Outcome_ELV!$BH5</f>
        <v>4</v>
      </c>
      <c r="L5">
        <f>[3]CRP_Outcome_ELV!$O5</f>
        <v>4</v>
      </c>
      <c r="M5">
        <f>[3]CRP_Outcome_ELV!$BF5</f>
        <v>4</v>
      </c>
      <c r="N5">
        <f>[3]CRP_Outcome_ELV!$BG5</f>
        <v>4</v>
      </c>
      <c r="O5">
        <f>[3]CRP_Outcome_ELV!$BH5</f>
        <v>4</v>
      </c>
      <c r="Q5">
        <f>[4]CRP_Outcome_ELV!$O5</f>
        <v>4</v>
      </c>
      <c r="R5">
        <f>[4]CRP_Outcome_ELV!$BF5</f>
        <v>4</v>
      </c>
      <c r="S5">
        <f>[4]CRP_Outcome_ELV!$BG5</f>
        <v>4</v>
      </c>
      <c r="T5">
        <f>[4]CRP_Outcome_ELV!$BH5</f>
        <v>4</v>
      </c>
      <c r="V5">
        <f>[5]CRP_Outcome_ELV!$O5</f>
        <v>4</v>
      </c>
      <c r="W5">
        <f>[5]CRP_Outcome_ELV!$BF5</f>
        <v>4</v>
      </c>
      <c r="X5">
        <f>[5]CRP_Outcome_ELV!$BG5</f>
        <v>4</v>
      </c>
      <c r="Y5">
        <f>[5]CRP_Outcome_ELV!$BH5</f>
        <v>4</v>
      </c>
      <c r="AA5">
        <f>[6]CRP_Outcome_ELV!$O5</f>
        <v>4</v>
      </c>
      <c r="AB5">
        <f>[6]CRP_Outcome_ELV!$BF5</f>
        <v>4</v>
      </c>
      <c r="AC5">
        <f>[6]CRP_Outcome_ELV!$BG5</f>
        <v>4</v>
      </c>
      <c r="AD5">
        <f>[6]CRP_Outcome_ELV!$BH5</f>
        <v>4</v>
      </c>
      <c r="AF5">
        <f>[7]CRP_Outcome_ELV!$O5</f>
        <v>4</v>
      </c>
      <c r="AG5">
        <f>[7]CRP_Outcome_ELV!$BF5</f>
        <v>4</v>
      </c>
      <c r="AH5">
        <f>[7]CRP_Outcome_ELV!$BG5</f>
        <v>4</v>
      </c>
      <c r="AI5">
        <f>[7]CRP_Outcome_ELV!$BH5</f>
        <v>4</v>
      </c>
      <c r="AK5">
        <f>[8]CRP_Outcome_ELV!$O5</f>
        <v>4</v>
      </c>
      <c r="AL5">
        <f>[8]CRP_Outcome_ELV!$BF5</f>
        <v>4</v>
      </c>
      <c r="AM5">
        <f>[8]CRP_Outcome_ELV!$BG5</f>
        <v>4</v>
      </c>
      <c r="AN5">
        <f>[8]CRP_Outcome_ELV!$BH5</f>
        <v>4</v>
      </c>
      <c r="AP5">
        <f>[9]CRP_Outcome_ELV!$O5</f>
        <v>4</v>
      </c>
      <c r="AQ5">
        <f>[9]CRP_Outcome_ELV!$BF5</f>
        <v>4</v>
      </c>
      <c r="AR5">
        <f>[9]CRP_Outcome_ELV!$BG5</f>
        <v>4</v>
      </c>
      <c r="AS5">
        <f>[9]CRP_Outcome_ELV!$BH5</f>
        <v>4</v>
      </c>
      <c r="AU5">
        <f>[10]CRP_Outcome_ELV!$O5</f>
        <v>4</v>
      </c>
      <c r="AV5">
        <f>[10]CRP_Outcome_ELV!$BF5</f>
        <v>4</v>
      </c>
      <c r="AW5">
        <f>[10]CRP_Outcome_ELV!$BG5</f>
        <v>4</v>
      </c>
      <c r="AX5">
        <f>[10]CRP_Outcome_ELV!$BH5</f>
        <v>4</v>
      </c>
      <c r="AZ5">
        <f t="shared" si="0"/>
        <v>4</v>
      </c>
      <c r="BA5">
        <f t="shared" si="0"/>
        <v>4</v>
      </c>
      <c r="BB5">
        <f t="shared" si="0"/>
        <v>4</v>
      </c>
      <c r="BC5">
        <f t="shared" si="0"/>
        <v>4</v>
      </c>
    </row>
    <row r="6" spans="1:55" x14ac:dyDescent="0.35">
      <c r="A6">
        <v>4</v>
      </c>
      <c r="B6">
        <f>[1]CRP_Outcome_ELV!$O6</f>
        <v>4</v>
      </c>
      <c r="C6">
        <f>[1]CRP_Outcome_ELV!$BF6</f>
        <v>4</v>
      </c>
      <c r="D6">
        <f>[1]CRP_Outcome_ELV!$BG6</f>
        <v>4</v>
      </c>
      <c r="E6">
        <f>[1]CRP_Outcome_ELV!$BH6</f>
        <v>4</v>
      </c>
      <c r="G6">
        <f>[2]CRP_Outcome_ELV!$O6</f>
        <v>4</v>
      </c>
      <c r="H6">
        <f>[2]CRP_Outcome_ELV!$BF6</f>
        <v>4</v>
      </c>
      <c r="I6">
        <f>[2]CRP_Outcome_ELV!$BG6</f>
        <v>4</v>
      </c>
      <c r="J6">
        <f>[2]CRP_Outcome_ELV!$BH6</f>
        <v>4</v>
      </c>
      <c r="L6">
        <f>[3]CRP_Outcome_ELV!$O6</f>
        <v>4</v>
      </c>
      <c r="M6">
        <f>[3]CRP_Outcome_ELV!$BF6</f>
        <v>4</v>
      </c>
      <c r="N6">
        <f>[3]CRP_Outcome_ELV!$BG6</f>
        <v>4</v>
      </c>
      <c r="O6">
        <f>[3]CRP_Outcome_ELV!$BH6</f>
        <v>4</v>
      </c>
      <c r="Q6">
        <f>[4]CRP_Outcome_ELV!$O6</f>
        <v>4</v>
      </c>
      <c r="R6">
        <f>[4]CRP_Outcome_ELV!$BF6</f>
        <v>4</v>
      </c>
      <c r="S6">
        <f>[4]CRP_Outcome_ELV!$BG6</f>
        <v>4</v>
      </c>
      <c r="T6">
        <f>[4]CRP_Outcome_ELV!$BH6</f>
        <v>4</v>
      </c>
      <c r="V6">
        <f>[5]CRP_Outcome_ELV!$O6</f>
        <v>4</v>
      </c>
      <c r="W6">
        <f>[5]CRP_Outcome_ELV!$BF6</f>
        <v>4</v>
      </c>
      <c r="X6">
        <f>[5]CRP_Outcome_ELV!$BG6</f>
        <v>4</v>
      </c>
      <c r="Y6">
        <f>[5]CRP_Outcome_ELV!$BH6</f>
        <v>4</v>
      </c>
      <c r="AA6">
        <f>[6]CRP_Outcome_ELV!$O6</f>
        <v>4</v>
      </c>
      <c r="AB6">
        <f>[6]CRP_Outcome_ELV!$BF6</f>
        <v>4</v>
      </c>
      <c r="AC6">
        <f>[6]CRP_Outcome_ELV!$BG6</f>
        <v>4</v>
      </c>
      <c r="AD6">
        <f>[6]CRP_Outcome_ELV!$BH6</f>
        <v>4</v>
      </c>
      <c r="AF6">
        <f>[7]CRP_Outcome_ELV!$O6</f>
        <v>4</v>
      </c>
      <c r="AG6">
        <f>[7]CRP_Outcome_ELV!$BF6</f>
        <v>4</v>
      </c>
      <c r="AH6">
        <f>[7]CRP_Outcome_ELV!$BG6</f>
        <v>4</v>
      </c>
      <c r="AI6">
        <f>[7]CRP_Outcome_ELV!$BH6</f>
        <v>4</v>
      </c>
      <c r="AK6">
        <f>[8]CRP_Outcome_ELV!$O6</f>
        <v>4</v>
      </c>
      <c r="AL6">
        <f>[8]CRP_Outcome_ELV!$BF6</f>
        <v>4</v>
      </c>
      <c r="AM6">
        <f>[8]CRP_Outcome_ELV!$BG6</f>
        <v>4</v>
      </c>
      <c r="AN6">
        <f>[8]CRP_Outcome_ELV!$BH6</f>
        <v>4</v>
      </c>
      <c r="AP6">
        <f>[9]CRP_Outcome_ELV!$O6</f>
        <v>4</v>
      </c>
      <c r="AQ6">
        <f>[9]CRP_Outcome_ELV!$BF6</f>
        <v>4</v>
      </c>
      <c r="AR6">
        <f>[9]CRP_Outcome_ELV!$BG6</f>
        <v>4</v>
      </c>
      <c r="AS6">
        <f>[9]CRP_Outcome_ELV!$BH6</f>
        <v>4</v>
      </c>
      <c r="AU6">
        <f>[10]CRP_Outcome_ELV!$O6</f>
        <v>4</v>
      </c>
      <c r="AV6">
        <f>[10]CRP_Outcome_ELV!$BF6</f>
        <v>4</v>
      </c>
      <c r="AW6">
        <f>[10]CRP_Outcome_ELV!$BG6</f>
        <v>4</v>
      </c>
      <c r="AX6">
        <f>[10]CRP_Outcome_ELV!$BH6</f>
        <v>4</v>
      </c>
      <c r="AZ6">
        <f t="shared" si="0"/>
        <v>4</v>
      </c>
      <c r="BA6">
        <f t="shared" si="0"/>
        <v>4</v>
      </c>
      <c r="BB6">
        <f t="shared" si="0"/>
        <v>4</v>
      </c>
      <c r="BC6">
        <f t="shared" si="0"/>
        <v>4</v>
      </c>
    </row>
    <row r="7" spans="1:55" x14ac:dyDescent="0.35">
      <c r="A7">
        <v>5</v>
      </c>
      <c r="B7">
        <f>[1]CRP_Outcome_ELV!$O7</f>
        <v>8</v>
      </c>
      <c r="C7">
        <f>[1]CRP_Outcome_ELV!$BF7</f>
        <v>4</v>
      </c>
      <c r="D7">
        <f>[1]CRP_Outcome_ELV!$BG7</f>
        <v>4</v>
      </c>
      <c r="E7">
        <f>[1]CRP_Outcome_ELV!$BH7</f>
        <v>4</v>
      </c>
      <c r="G7">
        <f>[2]CRP_Outcome_ELV!$O7</f>
        <v>8</v>
      </c>
      <c r="H7">
        <f>[2]CRP_Outcome_ELV!$BF7</f>
        <v>4</v>
      </c>
      <c r="I7">
        <f>[2]CRP_Outcome_ELV!$BG7</f>
        <v>4</v>
      </c>
      <c r="J7">
        <f>[2]CRP_Outcome_ELV!$BH7</f>
        <v>4</v>
      </c>
      <c r="L7">
        <f>[3]CRP_Outcome_ELV!$O7</f>
        <v>8</v>
      </c>
      <c r="M7">
        <f>[3]CRP_Outcome_ELV!$BF7</f>
        <v>4</v>
      </c>
      <c r="N7">
        <f>[3]CRP_Outcome_ELV!$BG7</f>
        <v>4</v>
      </c>
      <c r="O7">
        <f>[3]CRP_Outcome_ELV!$BH7</f>
        <v>4</v>
      </c>
      <c r="Q7">
        <f>[4]CRP_Outcome_ELV!$O7</f>
        <v>8</v>
      </c>
      <c r="R7">
        <f>[4]CRP_Outcome_ELV!$BF7</f>
        <v>4</v>
      </c>
      <c r="S7">
        <f>[4]CRP_Outcome_ELV!$BG7</f>
        <v>4</v>
      </c>
      <c r="T7">
        <f>[4]CRP_Outcome_ELV!$BH7</f>
        <v>4</v>
      </c>
      <c r="V7">
        <f>[5]CRP_Outcome_ELV!$O7</f>
        <v>8</v>
      </c>
      <c r="W7">
        <f>[5]CRP_Outcome_ELV!$BF7</f>
        <v>4</v>
      </c>
      <c r="X7">
        <f>[5]CRP_Outcome_ELV!$BG7</f>
        <v>4</v>
      </c>
      <c r="Y7">
        <f>[5]CRP_Outcome_ELV!$BH7</f>
        <v>4</v>
      </c>
      <c r="AA7">
        <f>[6]CRP_Outcome_ELV!$O7</f>
        <v>8</v>
      </c>
      <c r="AB7">
        <f>[6]CRP_Outcome_ELV!$BF7</f>
        <v>4</v>
      </c>
      <c r="AC7">
        <f>[6]CRP_Outcome_ELV!$BG7</f>
        <v>4</v>
      </c>
      <c r="AD7">
        <f>[6]CRP_Outcome_ELV!$BH7</f>
        <v>4</v>
      </c>
      <c r="AF7">
        <f>[7]CRP_Outcome_ELV!$O7</f>
        <v>8</v>
      </c>
      <c r="AG7">
        <f>[7]CRP_Outcome_ELV!$BF7</f>
        <v>4</v>
      </c>
      <c r="AH7">
        <f>[7]CRP_Outcome_ELV!$BG7</f>
        <v>4</v>
      </c>
      <c r="AI7">
        <f>[7]CRP_Outcome_ELV!$BH7</f>
        <v>4</v>
      </c>
      <c r="AK7">
        <f>[8]CRP_Outcome_ELV!$O7</f>
        <v>8</v>
      </c>
      <c r="AL7">
        <f>[8]CRP_Outcome_ELV!$BF7</f>
        <v>4</v>
      </c>
      <c r="AM7">
        <f>[8]CRP_Outcome_ELV!$BG7</f>
        <v>4</v>
      </c>
      <c r="AN7">
        <f>[8]CRP_Outcome_ELV!$BH7</f>
        <v>4</v>
      </c>
      <c r="AP7">
        <f>[9]CRP_Outcome_ELV!$O7</f>
        <v>8</v>
      </c>
      <c r="AQ7">
        <f>[9]CRP_Outcome_ELV!$BF7</f>
        <v>4</v>
      </c>
      <c r="AR7">
        <f>[9]CRP_Outcome_ELV!$BG7</f>
        <v>4</v>
      </c>
      <c r="AS7">
        <f>[9]CRP_Outcome_ELV!$BH7</f>
        <v>4</v>
      </c>
      <c r="AU7">
        <f>[10]CRP_Outcome_ELV!$O7</f>
        <v>8</v>
      </c>
      <c r="AV7">
        <f>[10]CRP_Outcome_ELV!$BF7</f>
        <v>4</v>
      </c>
      <c r="AW7">
        <f>[10]CRP_Outcome_ELV!$BG7</f>
        <v>4</v>
      </c>
      <c r="AX7">
        <f>[10]CRP_Outcome_ELV!$BH7</f>
        <v>4</v>
      </c>
      <c r="AZ7">
        <f t="shared" si="0"/>
        <v>8</v>
      </c>
      <c r="BA7">
        <f t="shared" si="0"/>
        <v>4</v>
      </c>
      <c r="BB7">
        <f t="shared" si="0"/>
        <v>4</v>
      </c>
      <c r="BC7">
        <f t="shared" si="0"/>
        <v>4</v>
      </c>
    </row>
    <row r="8" spans="1:55" x14ac:dyDescent="0.35">
      <c r="A8">
        <v>6</v>
      </c>
      <c r="B8">
        <f>[1]CRP_Outcome_ELV!$O8</f>
        <v>8</v>
      </c>
      <c r="C8">
        <f>[1]CRP_Outcome_ELV!$BF8</f>
        <v>0</v>
      </c>
      <c r="D8">
        <f>[1]CRP_Outcome_ELV!$BG8</f>
        <v>3</v>
      </c>
      <c r="E8">
        <f>[1]CRP_Outcome_ELV!$BH8</f>
        <v>0</v>
      </c>
      <c r="G8">
        <f>[2]CRP_Outcome_ELV!$O8</f>
        <v>8</v>
      </c>
      <c r="H8">
        <f>[2]CRP_Outcome_ELV!$BF8</f>
        <v>0</v>
      </c>
      <c r="I8">
        <f>[2]CRP_Outcome_ELV!$BG8</f>
        <v>7</v>
      </c>
      <c r="J8">
        <f>[2]CRP_Outcome_ELV!$BH8</f>
        <v>0</v>
      </c>
      <c r="L8">
        <f>[3]CRP_Outcome_ELV!$O8</f>
        <v>8</v>
      </c>
      <c r="M8">
        <f>[3]CRP_Outcome_ELV!$BF8</f>
        <v>0</v>
      </c>
      <c r="N8">
        <f>[3]CRP_Outcome_ELV!$BG8</f>
        <v>7</v>
      </c>
      <c r="O8">
        <f>[3]CRP_Outcome_ELV!$BH8</f>
        <v>0</v>
      </c>
      <c r="Q8">
        <f>[4]CRP_Outcome_ELV!$O8</f>
        <v>8</v>
      </c>
      <c r="R8">
        <f>[4]CRP_Outcome_ELV!$BF8</f>
        <v>0</v>
      </c>
      <c r="S8">
        <f>[4]CRP_Outcome_ELV!$BG8</f>
        <v>7</v>
      </c>
      <c r="T8">
        <f>[4]CRP_Outcome_ELV!$BH8</f>
        <v>0</v>
      </c>
      <c r="V8">
        <f>[5]CRP_Outcome_ELV!$O8</f>
        <v>8</v>
      </c>
      <c r="W8">
        <f>[5]CRP_Outcome_ELV!$BF8</f>
        <v>0</v>
      </c>
      <c r="X8">
        <f>[5]CRP_Outcome_ELV!$BG8</f>
        <v>4</v>
      </c>
      <c r="Y8">
        <f>[5]CRP_Outcome_ELV!$BH8</f>
        <v>0</v>
      </c>
      <c r="AA8">
        <f>[6]CRP_Outcome_ELV!$O8</f>
        <v>8</v>
      </c>
      <c r="AB8">
        <f>[6]CRP_Outcome_ELV!$BF8</f>
        <v>0</v>
      </c>
      <c r="AC8">
        <f>[6]CRP_Outcome_ELV!$BG8</f>
        <v>9</v>
      </c>
      <c r="AD8">
        <f>[6]CRP_Outcome_ELV!$BH8</f>
        <v>0</v>
      </c>
      <c r="AF8">
        <f>[7]CRP_Outcome_ELV!$O8</f>
        <v>8</v>
      </c>
      <c r="AG8">
        <f>[7]CRP_Outcome_ELV!$BF8</f>
        <v>0</v>
      </c>
      <c r="AH8">
        <f>[7]CRP_Outcome_ELV!$BG8</f>
        <v>9</v>
      </c>
      <c r="AI8">
        <f>[7]CRP_Outcome_ELV!$BH8</f>
        <v>0</v>
      </c>
      <c r="AK8">
        <f>[8]CRP_Outcome_ELV!$O8</f>
        <v>8</v>
      </c>
      <c r="AL8">
        <f>[8]CRP_Outcome_ELV!$BF8</f>
        <v>0</v>
      </c>
      <c r="AM8">
        <f>[8]CRP_Outcome_ELV!$BG8</f>
        <v>4</v>
      </c>
      <c r="AN8">
        <f>[8]CRP_Outcome_ELV!$BH8</f>
        <v>0</v>
      </c>
      <c r="AP8">
        <f>[9]CRP_Outcome_ELV!$O8</f>
        <v>8</v>
      </c>
      <c r="AQ8">
        <f>[9]CRP_Outcome_ELV!$BF8</f>
        <v>0</v>
      </c>
      <c r="AR8">
        <f>[9]CRP_Outcome_ELV!$BG8</f>
        <v>8</v>
      </c>
      <c r="AS8">
        <f>[9]CRP_Outcome_ELV!$BH8</f>
        <v>0</v>
      </c>
      <c r="AU8">
        <f>[10]CRP_Outcome_ELV!$O8</f>
        <v>8</v>
      </c>
      <c r="AV8">
        <f>[10]CRP_Outcome_ELV!$BF8</f>
        <v>0</v>
      </c>
      <c r="AW8">
        <f>[10]CRP_Outcome_ELV!$BG8</f>
        <v>10</v>
      </c>
      <c r="AX8">
        <f>[10]CRP_Outcome_ELV!$BH8</f>
        <v>0</v>
      </c>
      <c r="AZ8">
        <f t="shared" si="0"/>
        <v>8</v>
      </c>
      <c r="BA8">
        <f t="shared" si="0"/>
        <v>0</v>
      </c>
      <c r="BB8">
        <f t="shared" si="0"/>
        <v>6.8</v>
      </c>
      <c r="BC8">
        <f t="shared" si="0"/>
        <v>0</v>
      </c>
    </row>
    <row r="9" spans="1:55" x14ac:dyDescent="0.35">
      <c r="A9">
        <v>7</v>
      </c>
      <c r="B9">
        <f>[1]CRP_Outcome_ELV!$O9</f>
        <v>8</v>
      </c>
      <c r="C9">
        <f>[1]CRP_Outcome_ELV!$BF9</f>
        <v>1</v>
      </c>
      <c r="D9">
        <f>[1]CRP_Outcome_ELV!$BG9</f>
        <v>8</v>
      </c>
      <c r="E9">
        <f>[1]CRP_Outcome_ELV!$BH9</f>
        <v>0</v>
      </c>
      <c r="G9">
        <f>[2]CRP_Outcome_ELV!$O9</f>
        <v>8</v>
      </c>
      <c r="H9">
        <f>[2]CRP_Outcome_ELV!$BF9</f>
        <v>0</v>
      </c>
      <c r="I9">
        <f>[2]CRP_Outcome_ELV!$BG9</f>
        <v>10</v>
      </c>
      <c r="J9">
        <f>[2]CRP_Outcome_ELV!$BH9</f>
        <v>0</v>
      </c>
      <c r="L9">
        <f>[3]CRP_Outcome_ELV!$O9</f>
        <v>8</v>
      </c>
      <c r="M9">
        <f>[3]CRP_Outcome_ELV!$BF9</f>
        <v>0</v>
      </c>
      <c r="N9">
        <f>[3]CRP_Outcome_ELV!$BG9</f>
        <v>9</v>
      </c>
      <c r="O9">
        <f>[3]CRP_Outcome_ELV!$BH9</f>
        <v>0</v>
      </c>
      <c r="Q9">
        <f>[4]CRP_Outcome_ELV!$O9</f>
        <v>8</v>
      </c>
      <c r="R9">
        <f>[4]CRP_Outcome_ELV!$BF9</f>
        <v>1</v>
      </c>
      <c r="S9">
        <f>[4]CRP_Outcome_ELV!$BG9</f>
        <v>9</v>
      </c>
      <c r="T9">
        <f>[4]CRP_Outcome_ELV!$BH9</f>
        <v>0</v>
      </c>
      <c r="V9">
        <f>[5]CRP_Outcome_ELV!$O9</f>
        <v>8</v>
      </c>
      <c r="W9">
        <f>[5]CRP_Outcome_ELV!$BF9</f>
        <v>2</v>
      </c>
      <c r="X9">
        <f>[5]CRP_Outcome_ELV!$BG9</f>
        <v>6</v>
      </c>
      <c r="Y9">
        <f>[5]CRP_Outcome_ELV!$BH9</f>
        <v>0</v>
      </c>
      <c r="AA9">
        <f>[6]CRP_Outcome_ELV!$O9</f>
        <v>8</v>
      </c>
      <c r="AB9">
        <f>[6]CRP_Outcome_ELV!$BF9</f>
        <v>0</v>
      </c>
      <c r="AC9">
        <f>[6]CRP_Outcome_ELV!$BG9</f>
        <v>11</v>
      </c>
      <c r="AD9">
        <f>[6]CRP_Outcome_ELV!$BH9</f>
        <v>0</v>
      </c>
      <c r="AF9">
        <f>[7]CRP_Outcome_ELV!$O9</f>
        <v>8</v>
      </c>
      <c r="AG9">
        <f>[7]CRP_Outcome_ELV!$BF9</f>
        <v>2</v>
      </c>
      <c r="AH9">
        <f>[7]CRP_Outcome_ELV!$BG9</f>
        <v>11</v>
      </c>
      <c r="AI9">
        <f>[7]CRP_Outcome_ELV!$BH9</f>
        <v>0</v>
      </c>
      <c r="AK9">
        <f>[8]CRP_Outcome_ELV!$O9</f>
        <v>8</v>
      </c>
      <c r="AL9">
        <f>[8]CRP_Outcome_ELV!$BF9</f>
        <v>0</v>
      </c>
      <c r="AM9">
        <f>[8]CRP_Outcome_ELV!$BG9</f>
        <v>6</v>
      </c>
      <c r="AN9">
        <f>[8]CRP_Outcome_ELV!$BH9</f>
        <v>1</v>
      </c>
      <c r="AP9">
        <f>[9]CRP_Outcome_ELV!$O9</f>
        <v>8</v>
      </c>
      <c r="AQ9">
        <f>[9]CRP_Outcome_ELV!$BF9</f>
        <v>0</v>
      </c>
      <c r="AR9">
        <f>[9]CRP_Outcome_ELV!$BG9</f>
        <v>10</v>
      </c>
      <c r="AS9">
        <f>[9]CRP_Outcome_ELV!$BH9</f>
        <v>2</v>
      </c>
      <c r="AU9">
        <f>[10]CRP_Outcome_ELV!$O9</f>
        <v>8</v>
      </c>
      <c r="AV9">
        <f>[10]CRP_Outcome_ELV!$BF9</f>
        <v>2</v>
      </c>
      <c r="AW9">
        <f>[10]CRP_Outcome_ELV!$BG9</f>
        <v>14</v>
      </c>
      <c r="AX9">
        <f>[10]CRP_Outcome_ELV!$BH9</f>
        <v>1</v>
      </c>
      <c r="AZ9">
        <f t="shared" si="0"/>
        <v>8</v>
      </c>
      <c r="BA9">
        <f t="shared" si="0"/>
        <v>0.8</v>
      </c>
      <c r="BB9">
        <f t="shared" si="0"/>
        <v>9.4</v>
      </c>
      <c r="BC9">
        <f t="shared" si="0"/>
        <v>0.4</v>
      </c>
    </row>
    <row r="10" spans="1:55" x14ac:dyDescent="0.35">
      <c r="A10">
        <v>8</v>
      </c>
      <c r="B10">
        <f>[1]CRP_Outcome_ELV!$O10</f>
        <v>8</v>
      </c>
      <c r="C10">
        <f>[1]CRP_Outcome_ELV!$BF10</f>
        <v>0</v>
      </c>
      <c r="D10">
        <f>[1]CRP_Outcome_ELV!$BG10</f>
        <v>10</v>
      </c>
      <c r="E10">
        <f>[1]CRP_Outcome_ELV!$BH10</f>
        <v>0</v>
      </c>
      <c r="G10">
        <f>[2]CRP_Outcome_ELV!$O10</f>
        <v>8</v>
      </c>
      <c r="H10">
        <f>[2]CRP_Outcome_ELV!$BF10</f>
        <v>0</v>
      </c>
      <c r="I10">
        <f>[2]CRP_Outcome_ELV!$BG10</f>
        <v>10</v>
      </c>
      <c r="J10">
        <f>[2]CRP_Outcome_ELV!$BH10</f>
        <v>7</v>
      </c>
      <c r="L10">
        <f>[3]CRP_Outcome_ELV!$O10</f>
        <v>8</v>
      </c>
      <c r="M10">
        <f>[3]CRP_Outcome_ELV!$BF10</f>
        <v>0</v>
      </c>
      <c r="N10">
        <f>[3]CRP_Outcome_ELV!$BG10</f>
        <v>9</v>
      </c>
      <c r="O10">
        <f>[3]CRP_Outcome_ELV!$BH10</f>
        <v>7</v>
      </c>
      <c r="Q10">
        <f>[4]CRP_Outcome_ELV!$O10</f>
        <v>8</v>
      </c>
      <c r="R10">
        <f>[4]CRP_Outcome_ELV!$BF10</f>
        <v>0</v>
      </c>
      <c r="S10">
        <f>[4]CRP_Outcome_ELV!$BG10</f>
        <v>9</v>
      </c>
      <c r="T10">
        <f>[4]CRP_Outcome_ELV!$BH10</f>
        <v>10</v>
      </c>
      <c r="V10">
        <f>[5]CRP_Outcome_ELV!$O10</f>
        <v>8</v>
      </c>
      <c r="W10">
        <f>[5]CRP_Outcome_ELV!$BF10</f>
        <v>0</v>
      </c>
      <c r="X10">
        <f>[5]CRP_Outcome_ELV!$BG10</f>
        <v>6</v>
      </c>
      <c r="Y10">
        <f>[5]CRP_Outcome_ELV!$BH10</f>
        <v>2</v>
      </c>
      <c r="AA10">
        <f>[6]CRP_Outcome_ELV!$O10</f>
        <v>8</v>
      </c>
      <c r="AB10">
        <f>[6]CRP_Outcome_ELV!$BF10</f>
        <v>0</v>
      </c>
      <c r="AC10">
        <f>[6]CRP_Outcome_ELV!$BG10</f>
        <v>10</v>
      </c>
      <c r="AD10">
        <f>[6]CRP_Outcome_ELV!$BH10</f>
        <v>15</v>
      </c>
      <c r="AF10">
        <f>[7]CRP_Outcome_ELV!$O10</f>
        <v>8</v>
      </c>
      <c r="AG10">
        <f>[7]CRP_Outcome_ELV!$BF10</f>
        <v>0</v>
      </c>
      <c r="AH10">
        <f>[7]CRP_Outcome_ELV!$BG10</f>
        <v>10</v>
      </c>
      <c r="AI10">
        <f>[7]CRP_Outcome_ELV!$BH10</f>
        <v>15</v>
      </c>
      <c r="AK10">
        <f>[8]CRP_Outcome_ELV!$O10</f>
        <v>8</v>
      </c>
      <c r="AL10">
        <f>[8]CRP_Outcome_ELV!$BF10</f>
        <v>0</v>
      </c>
      <c r="AM10">
        <f>[8]CRP_Outcome_ELV!$BG10</f>
        <v>6</v>
      </c>
      <c r="AN10">
        <f>[8]CRP_Outcome_ELV!$BH10</f>
        <v>3</v>
      </c>
      <c r="AP10">
        <f>[9]CRP_Outcome_ELV!$O10</f>
        <v>8</v>
      </c>
      <c r="AQ10">
        <f>[9]CRP_Outcome_ELV!$BF10</f>
        <v>0</v>
      </c>
      <c r="AR10">
        <f>[9]CRP_Outcome_ELV!$BG10</f>
        <v>10</v>
      </c>
      <c r="AS10">
        <f>[9]CRP_Outcome_ELV!$BH10</f>
        <v>8</v>
      </c>
      <c r="AU10">
        <f>[10]CRP_Outcome_ELV!$O10</f>
        <v>8</v>
      </c>
      <c r="AV10">
        <f>[10]CRP_Outcome_ELV!$BF10</f>
        <v>0</v>
      </c>
      <c r="AW10">
        <f>[10]CRP_Outcome_ELV!$BG10</f>
        <v>10</v>
      </c>
      <c r="AX10">
        <f>[10]CRP_Outcome_ELV!$BH10</f>
        <v>21</v>
      </c>
      <c r="AZ10">
        <f t="shared" si="0"/>
        <v>8</v>
      </c>
      <c r="BA10">
        <f t="shared" si="0"/>
        <v>0</v>
      </c>
      <c r="BB10">
        <f t="shared" si="0"/>
        <v>9</v>
      </c>
      <c r="BC10">
        <f t="shared" si="0"/>
        <v>8.8000000000000007</v>
      </c>
    </row>
    <row r="11" spans="1:55" x14ac:dyDescent="0.35">
      <c r="A11">
        <v>9</v>
      </c>
      <c r="B11">
        <f>[1]CRP_Outcome_ELV!$O11</f>
        <v>8</v>
      </c>
      <c r="C11">
        <f>[1]CRP_Outcome_ELV!$BF11</f>
        <v>0</v>
      </c>
      <c r="D11">
        <f>[1]CRP_Outcome_ELV!$BG11</f>
        <v>10</v>
      </c>
      <c r="E11">
        <f>[1]CRP_Outcome_ELV!$BH11</f>
        <v>13</v>
      </c>
      <c r="G11">
        <f>[2]CRP_Outcome_ELV!$O11</f>
        <v>8</v>
      </c>
      <c r="H11">
        <f>[2]CRP_Outcome_ELV!$BF11</f>
        <v>0</v>
      </c>
      <c r="I11">
        <f>[2]CRP_Outcome_ELV!$BG11</f>
        <v>9</v>
      </c>
      <c r="J11">
        <f>[2]CRP_Outcome_ELV!$BH11</f>
        <v>13</v>
      </c>
      <c r="L11">
        <f>[3]CRP_Outcome_ELV!$O11</f>
        <v>8</v>
      </c>
      <c r="M11">
        <f>[3]CRP_Outcome_ELV!$BF11</f>
        <v>0</v>
      </c>
      <c r="N11">
        <f>[3]CRP_Outcome_ELV!$BG11</f>
        <v>9</v>
      </c>
      <c r="O11">
        <f>[3]CRP_Outcome_ELV!$BH11</f>
        <v>11</v>
      </c>
      <c r="Q11">
        <f>[4]CRP_Outcome_ELV!$O11</f>
        <v>8</v>
      </c>
      <c r="R11">
        <f>[4]CRP_Outcome_ELV!$BF11</f>
        <v>0</v>
      </c>
      <c r="S11">
        <f>[4]CRP_Outcome_ELV!$BG11</f>
        <v>9</v>
      </c>
      <c r="T11">
        <f>[4]CRP_Outcome_ELV!$BH11</f>
        <v>13</v>
      </c>
      <c r="V11">
        <f>[5]CRP_Outcome_ELV!$O11</f>
        <v>8</v>
      </c>
      <c r="W11">
        <f>[5]CRP_Outcome_ELV!$BF11</f>
        <v>0</v>
      </c>
      <c r="X11">
        <f>[5]CRP_Outcome_ELV!$BG11</f>
        <v>6</v>
      </c>
      <c r="Y11">
        <f>[5]CRP_Outcome_ELV!$BH11</f>
        <v>9</v>
      </c>
      <c r="AA11">
        <f>[6]CRP_Outcome_ELV!$O11</f>
        <v>8</v>
      </c>
      <c r="AB11">
        <f>[6]CRP_Outcome_ELV!$BF11</f>
        <v>0</v>
      </c>
      <c r="AC11">
        <f>[6]CRP_Outcome_ELV!$BG11</f>
        <v>9</v>
      </c>
      <c r="AD11">
        <f>[6]CRP_Outcome_ELV!$BH11</f>
        <v>17</v>
      </c>
      <c r="AF11">
        <f>[7]CRP_Outcome_ELV!$O11</f>
        <v>8</v>
      </c>
      <c r="AG11">
        <f>[7]CRP_Outcome_ELV!$BF11</f>
        <v>0</v>
      </c>
      <c r="AH11">
        <f>[7]CRP_Outcome_ELV!$BG11</f>
        <v>9</v>
      </c>
      <c r="AI11">
        <f>[7]CRP_Outcome_ELV!$BH11</f>
        <v>17</v>
      </c>
      <c r="AK11">
        <f>[8]CRP_Outcome_ELV!$O11</f>
        <v>8</v>
      </c>
      <c r="AL11">
        <f>[8]CRP_Outcome_ELV!$BF11</f>
        <v>0</v>
      </c>
      <c r="AM11">
        <f>[8]CRP_Outcome_ELV!$BG11</f>
        <v>6</v>
      </c>
      <c r="AN11">
        <f>[8]CRP_Outcome_ELV!$BH11</f>
        <v>5</v>
      </c>
      <c r="AP11">
        <f>[9]CRP_Outcome_ELV!$O11</f>
        <v>8</v>
      </c>
      <c r="AQ11">
        <f>[9]CRP_Outcome_ELV!$BF11</f>
        <v>0</v>
      </c>
      <c r="AR11">
        <f>[9]CRP_Outcome_ELV!$BG11</f>
        <v>9</v>
      </c>
      <c r="AS11">
        <f>[9]CRP_Outcome_ELV!$BH11</f>
        <v>13</v>
      </c>
      <c r="AU11">
        <f>[10]CRP_Outcome_ELV!$O11</f>
        <v>8</v>
      </c>
      <c r="AV11">
        <f>[10]CRP_Outcome_ELV!$BF11</f>
        <v>0</v>
      </c>
      <c r="AW11">
        <f>[10]CRP_Outcome_ELV!$BG11</f>
        <v>8</v>
      </c>
      <c r="AX11">
        <f>[10]CRP_Outcome_ELV!$BH11</f>
        <v>17</v>
      </c>
      <c r="AZ11">
        <f t="shared" si="0"/>
        <v>8</v>
      </c>
      <c r="BA11">
        <f t="shared" si="0"/>
        <v>0</v>
      </c>
      <c r="BB11">
        <f t="shared" si="0"/>
        <v>8.4</v>
      </c>
      <c r="BC11">
        <f t="shared" si="0"/>
        <v>12.8</v>
      </c>
    </row>
    <row r="12" spans="1:55" x14ac:dyDescent="0.35">
      <c r="A12">
        <v>10</v>
      </c>
      <c r="B12">
        <f>[1]CRP_Outcome_ELV!$O12</f>
        <v>8</v>
      </c>
      <c r="C12">
        <f>[1]CRP_Outcome_ELV!$BF12</f>
        <v>0</v>
      </c>
      <c r="D12">
        <f>[1]CRP_Outcome_ELV!$BG12</f>
        <v>9</v>
      </c>
      <c r="E12">
        <f>[1]CRP_Outcome_ELV!$BH12</f>
        <v>16</v>
      </c>
      <c r="G12">
        <f>[2]CRP_Outcome_ELV!$O12</f>
        <v>8</v>
      </c>
      <c r="H12">
        <f>[2]CRP_Outcome_ELV!$BF12</f>
        <v>12</v>
      </c>
      <c r="I12">
        <f>[2]CRP_Outcome_ELV!$BG12</f>
        <v>7</v>
      </c>
      <c r="J12">
        <f>[2]CRP_Outcome_ELV!$BH12</f>
        <v>13</v>
      </c>
      <c r="L12">
        <f>[3]CRP_Outcome_ELV!$O12</f>
        <v>8</v>
      </c>
      <c r="M12">
        <f>[3]CRP_Outcome_ELV!$BF12</f>
        <v>15</v>
      </c>
      <c r="N12">
        <f>[3]CRP_Outcome_ELV!$BG12</f>
        <v>8</v>
      </c>
      <c r="O12">
        <f>[3]CRP_Outcome_ELV!$BH12</f>
        <v>12</v>
      </c>
      <c r="Q12">
        <f>[4]CRP_Outcome_ELV!$O12</f>
        <v>8</v>
      </c>
      <c r="R12">
        <f>[4]CRP_Outcome_ELV!$BF12</f>
        <v>11</v>
      </c>
      <c r="S12">
        <f>[4]CRP_Outcome_ELV!$BG12</f>
        <v>8</v>
      </c>
      <c r="T12">
        <f>[4]CRP_Outcome_ELV!$BH12</f>
        <v>11</v>
      </c>
      <c r="V12">
        <f>[5]CRP_Outcome_ELV!$O12</f>
        <v>8</v>
      </c>
      <c r="W12">
        <f>[5]CRP_Outcome_ELV!$BF12</f>
        <v>0</v>
      </c>
      <c r="X12">
        <f>[5]CRP_Outcome_ELV!$BG12</f>
        <v>6</v>
      </c>
      <c r="Y12">
        <f>[5]CRP_Outcome_ELV!$BH12</f>
        <v>7</v>
      </c>
      <c r="AA12">
        <f>[6]CRP_Outcome_ELV!$O12</f>
        <v>8</v>
      </c>
      <c r="AB12">
        <f>[6]CRP_Outcome_ELV!$BF12</f>
        <v>17</v>
      </c>
      <c r="AC12">
        <f>[6]CRP_Outcome_ELV!$BG12</f>
        <v>7</v>
      </c>
      <c r="AD12">
        <f>[6]CRP_Outcome_ELV!$BH12</f>
        <v>9</v>
      </c>
      <c r="AF12">
        <f>[7]CRP_Outcome_ELV!$O12</f>
        <v>8</v>
      </c>
      <c r="AG12">
        <f>[7]CRP_Outcome_ELV!$BF12</f>
        <v>20</v>
      </c>
      <c r="AH12">
        <f>[7]CRP_Outcome_ELV!$BG12</f>
        <v>7</v>
      </c>
      <c r="AI12">
        <f>[7]CRP_Outcome_ELV!$BH12</f>
        <v>9</v>
      </c>
      <c r="AK12">
        <f>[8]CRP_Outcome_ELV!$O12</f>
        <v>8</v>
      </c>
      <c r="AL12">
        <f>[8]CRP_Outcome_ELV!$BF12</f>
        <v>1</v>
      </c>
      <c r="AM12">
        <f>[8]CRP_Outcome_ELV!$BG12</f>
        <v>6</v>
      </c>
      <c r="AN12">
        <f>[8]CRP_Outcome_ELV!$BH12</f>
        <v>7</v>
      </c>
      <c r="AP12">
        <f>[9]CRP_Outcome_ELV!$O12</f>
        <v>8</v>
      </c>
      <c r="AQ12">
        <f>[9]CRP_Outcome_ELV!$BF12</f>
        <v>21</v>
      </c>
      <c r="AR12">
        <f>[9]CRP_Outcome_ELV!$BG12</f>
        <v>8</v>
      </c>
      <c r="AS12">
        <f>[9]CRP_Outcome_ELV!$BH12</f>
        <v>12</v>
      </c>
      <c r="AU12">
        <f>[10]CRP_Outcome_ELV!$O12</f>
        <v>8</v>
      </c>
      <c r="AV12">
        <f>[10]CRP_Outcome_ELV!$BF12</f>
        <v>44</v>
      </c>
      <c r="AW12">
        <f>[10]CRP_Outcome_ELV!$BG12</f>
        <v>6</v>
      </c>
      <c r="AX12">
        <f>[10]CRP_Outcome_ELV!$BH12</f>
        <v>5</v>
      </c>
      <c r="AZ12">
        <f t="shared" si="0"/>
        <v>8</v>
      </c>
      <c r="BA12">
        <f t="shared" si="0"/>
        <v>14.1</v>
      </c>
      <c r="BB12">
        <f t="shared" si="0"/>
        <v>7.2</v>
      </c>
      <c r="BC12">
        <f t="shared" si="0"/>
        <v>10.1</v>
      </c>
    </row>
    <row r="13" spans="1:55" x14ac:dyDescent="0.35">
      <c r="A13">
        <v>11</v>
      </c>
      <c r="B13">
        <f>[1]CRP_Outcome_ELV!$O13</f>
        <v>8</v>
      </c>
      <c r="C13">
        <f>[1]CRP_Outcome_ELV!$BF13</f>
        <v>15</v>
      </c>
      <c r="D13">
        <f>[1]CRP_Outcome_ELV!$BG13</f>
        <v>7</v>
      </c>
      <c r="E13">
        <f>[1]CRP_Outcome_ELV!$BH13</f>
        <v>9</v>
      </c>
      <c r="G13">
        <f>[2]CRP_Outcome_ELV!$O13</f>
        <v>8</v>
      </c>
      <c r="H13">
        <f>[2]CRP_Outcome_ELV!$BF13</f>
        <v>26</v>
      </c>
      <c r="I13">
        <f>[2]CRP_Outcome_ELV!$BG13</f>
        <v>7</v>
      </c>
      <c r="J13">
        <f>[2]CRP_Outcome_ELV!$BH13</f>
        <v>7</v>
      </c>
      <c r="L13">
        <f>[3]CRP_Outcome_ELV!$O13</f>
        <v>8</v>
      </c>
      <c r="M13">
        <f>[3]CRP_Outcome_ELV!$BF13</f>
        <v>19</v>
      </c>
      <c r="N13">
        <f>[3]CRP_Outcome_ELV!$BG13</f>
        <v>8</v>
      </c>
      <c r="O13">
        <f>[3]CRP_Outcome_ELV!$BH13</f>
        <v>7</v>
      </c>
      <c r="Q13">
        <f>[4]CRP_Outcome_ELV!$O13</f>
        <v>8</v>
      </c>
      <c r="R13">
        <f>[4]CRP_Outcome_ELV!$BF13</f>
        <v>17</v>
      </c>
      <c r="S13">
        <f>[4]CRP_Outcome_ELV!$BG13</f>
        <v>8</v>
      </c>
      <c r="T13">
        <f>[4]CRP_Outcome_ELV!$BH13</f>
        <v>4</v>
      </c>
      <c r="V13">
        <f>[5]CRP_Outcome_ELV!$O13</f>
        <v>8</v>
      </c>
      <c r="W13">
        <f>[5]CRP_Outcome_ELV!$BF13</f>
        <v>11</v>
      </c>
      <c r="X13">
        <f>[5]CRP_Outcome_ELV!$BG13</f>
        <v>5</v>
      </c>
      <c r="Y13">
        <f>[5]CRP_Outcome_ELV!$BH13</f>
        <v>3</v>
      </c>
      <c r="AA13">
        <f>[6]CRP_Outcome_ELV!$O13</f>
        <v>8</v>
      </c>
      <c r="AB13">
        <f>[6]CRP_Outcome_ELV!$BF13</f>
        <v>20</v>
      </c>
      <c r="AC13">
        <f>[6]CRP_Outcome_ELV!$BG13</f>
        <v>9</v>
      </c>
      <c r="AD13">
        <f>[6]CRP_Outcome_ELV!$BH13</f>
        <v>4</v>
      </c>
      <c r="AF13">
        <f>[7]CRP_Outcome_ELV!$O13</f>
        <v>8</v>
      </c>
      <c r="AG13">
        <f>[7]CRP_Outcome_ELV!$BF13</f>
        <v>24</v>
      </c>
      <c r="AH13">
        <f>[7]CRP_Outcome_ELV!$BG13</f>
        <v>9</v>
      </c>
      <c r="AI13">
        <f>[7]CRP_Outcome_ELV!$BH13</f>
        <v>4</v>
      </c>
      <c r="AK13">
        <f>[8]CRP_Outcome_ELV!$O13</f>
        <v>8</v>
      </c>
      <c r="AL13">
        <f>[8]CRP_Outcome_ELV!$BF13</f>
        <v>4</v>
      </c>
      <c r="AM13">
        <f>[8]CRP_Outcome_ELV!$BG13</f>
        <v>5</v>
      </c>
      <c r="AN13">
        <f>[8]CRP_Outcome_ELV!$BH13</f>
        <v>3</v>
      </c>
      <c r="AP13">
        <f>[9]CRP_Outcome_ELV!$O13</f>
        <v>8</v>
      </c>
      <c r="AQ13">
        <f>[9]CRP_Outcome_ELV!$BF13</f>
        <v>22</v>
      </c>
      <c r="AR13">
        <f>[9]CRP_Outcome_ELV!$BG13</f>
        <v>8</v>
      </c>
      <c r="AS13">
        <f>[9]CRP_Outcome_ELV!$BH13</f>
        <v>5</v>
      </c>
      <c r="AU13">
        <f>[10]CRP_Outcome_ELV!$O13</f>
        <v>8</v>
      </c>
      <c r="AV13">
        <f>[10]CRP_Outcome_ELV!$BF13</f>
        <v>27</v>
      </c>
      <c r="AW13">
        <f>[10]CRP_Outcome_ELV!$BG13</f>
        <v>7</v>
      </c>
      <c r="AX13">
        <f>[10]CRP_Outcome_ELV!$BH13</f>
        <v>1</v>
      </c>
      <c r="AZ13">
        <f t="shared" si="0"/>
        <v>8</v>
      </c>
      <c r="BA13">
        <f t="shared" si="0"/>
        <v>18.5</v>
      </c>
      <c r="BB13">
        <f t="shared" si="0"/>
        <v>7.3</v>
      </c>
      <c r="BC13">
        <f t="shared" si="0"/>
        <v>4.7</v>
      </c>
    </row>
    <row r="14" spans="1:55" x14ac:dyDescent="0.35">
      <c r="A14">
        <v>12</v>
      </c>
      <c r="B14">
        <f>[1]CRP_Outcome_ELV!$O14</f>
        <v>8</v>
      </c>
      <c r="C14">
        <f>[1]CRP_Outcome_ELV!$BF14</f>
        <v>22</v>
      </c>
      <c r="D14">
        <f>[1]CRP_Outcome_ELV!$BG14</f>
        <v>7</v>
      </c>
      <c r="E14">
        <f>[1]CRP_Outcome_ELV!$BH14</f>
        <v>4</v>
      </c>
      <c r="G14">
        <f>[2]CRP_Outcome_ELV!$O14</f>
        <v>8</v>
      </c>
      <c r="H14">
        <f>[2]CRP_Outcome_ELV!$BF14</f>
        <v>11</v>
      </c>
      <c r="I14">
        <f>[2]CRP_Outcome_ELV!$BG14</f>
        <v>9</v>
      </c>
      <c r="J14">
        <f>[2]CRP_Outcome_ELV!$BH14</f>
        <v>0</v>
      </c>
      <c r="L14">
        <f>[3]CRP_Outcome_ELV!$O14</f>
        <v>8</v>
      </c>
      <c r="M14">
        <f>[3]CRP_Outcome_ELV!$BF14</f>
        <v>10</v>
      </c>
      <c r="N14">
        <f>[3]CRP_Outcome_ELV!$BG14</f>
        <v>8</v>
      </c>
      <c r="O14">
        <f>[3]CRP_Outcome_ELV!$BH14</f>
        <v>1</v>
      </c>
      <c r="Q14">
        <f>[4]CRP_Outcome_ELV!$O14</f>
        <v>8</v>
      </c>
      <c r="R14">
        <f>[4]CRP_Outcome_ELV!$BF14</f>
        <v>18</v>
      </c>
      <c r="S14">
        <f>[4]CRP_Outcome_ELV!$BG14</f>
        <v>8</v>
      </c>
      <c r="T14">
        <f>[4]CRP_Outcome_ELV!$BH14</f>
        <v>0</v>
      </c>
      <c r="V14">
        <f>[5]CRP_Outcome_ELV!$O14</f>
        <v>8</v>
      </c>
      <c r="W14">
        <f>[5]CRP_Outcome_ELV!$BF14</f>
        <v>8</v>
      </c>
      <c r="X14">
        <f>[5]CRP_Outcome_ELV!$BG14</f>
        <v>6</v>
      </c>
      <c r="Y14">
        <f>[5]CRP_Outcome_ELV!$BH14</f>
        <v>1</v>
      </c>
      <c r="AA14">
        <f>[6]CRP_Outcome_ELV!$O14</f>
        <v>8</v>
      </c>
      <c r="AB14">
        <f>[6]CRP_Outcome_ELV!$BF14</f>
        <v>6</v>
      </c>
      <c r="AC14">
        <f>[6]CRP_Outcome_ELV!$BG14</f>
        <v>10</v>
      </c>
      <c r="AD14">
        <f>[6]CRP_Outcome_ELV!$BH14</f>
        <v>0</v>
      </c>
      <c r="AF14">
        <f>[7]CRP_Outcome_ELV!$O14</f>
        <v>8</v>
      </c>
      <c r="AG14">
        <f>[7]CRP_Outcome_ELV!$BF14</f>
        <v>7</v>
      </c>
      <c r="AH14">
        <f>[7]CRP_Outcome_ELV!$BG14</f>
        <v>8</v>
      </c>
      <c r="AI14">
        <f>[7]CRP_Outcome_ELV!$BH14</f>
        <v>0</v>
      </c>
      <c r="AK14">
        <f>[8]CRP_Outcome_ELV!$O14</f>
        <v>8</v>
      </c>
      <c r="AL14">
        <f>[8]CRP_Outcome_ELV!$BF14</f>
        <v>6</v>
      </c>
      <c r="AM14">
        <f>[8]CRP_Outcome_ELV!$BG14</f>
        <v>6</v>
      </c>
      <c r="AN14">
        <f>[8]CRP_Outcome_ELV!$BH14</f>
        <v>2</v>
      </c>
      <c r="AP14">
        <f>[9]CRP_Outcome_ELV!$O14</f>
        <v>8</v>
      </c>
      <c r="AQ14">
        <f>[9]CRP_Outcome_ELV!$BF14</f>
        <v>0</v>
      </c>
      <c r="AR14">
        <f>[9]CRP_Outcome_ELV!$BG14</f>
        <v>9</v>
      </c>
      <c r="AS14">
        <f>[9]CRP_Outcome_ELV!$BH14</f>
        <v>1</v>
      </c>
      <c r="AU14">
        <f>[10]CRP_Outcome_ELV!$O14</f>
        <v>8</v>
      </c>
      <c r="AV14">
        <f>[10]CRP_Outcome_ELV!$BF14</f>
        <v>0</v>
      </c>
      <c r="AW14">
        <f>[10]CRP_Outcome_ELV!$BG14</f>
        <v>10</v>
      </c>
      <c r="AX14">
        <f>[10]CRP_Outcome_ELV!$BH14</f>
        <v>0</v>
      </c>
      <c r="AZ14">
        <f t="shared" si="0"/>
        <v>8</v>
      </c>
      <c r="BA14">
        <f t="shared" si="0"/>
        <v>8.8000000000000007</v>
      </c>
      <c r="BB14">
        <f t="shared" si="0"/>
        <v>8.1</v>
      </c>
      <c r="BC14">
        <f t="shared" si="0"/>
        <v>0.9</v>
      </c>
    </row>
    <row r="15" spans="1:55" x14ac:dyDescent="0.35">
      <c r="A15">
        <v>13</v>
      </c>
      <c r="B15">
        <f>[1]CRP_Outcome_ELV!$O15</f>
        <v>8</v>
      </c>
      <c r="C15">
        <f>[1]CRP_Outcome_ELV!$BF15</f>
        <v>8</v>
      </c>
      <c r="D15">
        <f>[1]CRP_Outcome_ELV!$BG15</f>
        <v>9</v>
      </c>
      <c r="E15">
        <f>[1]CRP_Outcome_ELV!$BH15</f>
        <v>0</v>
      </c>
      <c r="G15">
        <f>[2]CRP_Outcome_ELV!$O15</f>
        <v>8</v>
      </c>
      <c r="H15">
        <f>[2]CRP_Outcome_ELV!$BF15</f>
        <v>0</v>
      </c>
      <c r="I15">
        <f>[2]CRP_Outcome_ELV!$BG15</f>
        <v>9</v>
      </c>
      <c r="J15">
        <f>[2]CRP_Outcome_ELV!$BH15</f>
        <v>0</v>
      </c>
      <c r="L15">
        <f>[3]CRP_Outcome_ELV!$O15</f>
        <v>8</v>
      </c>
      <c r="M15">
        <f>[3]CRP_Outcome_ELV!$BF15</f>
        <v>0</v>
      </c>
      <c r="N15">
        <f>[3]CRP_Outcome_ELV!$BG15</f>
        <v>9</v>
      </c>
      <c r="O15">
        <f>[3]CRP_Outcome_ELV!$BH15</f>
        <v>2</v>
      </c>
      <c r="Q15">
        <f>[4]CRP_Outcome_ELV!$O15</f>
        <v>8</v>
      </c>
      <c r="R15">
        <f>[4]CRP_Outcome_ELV!$BF15</f>
        <v>0</v>
      </c>
      <c r="S15">
        <f>[4]CRP_Outcome_ELV!$BG15</f>
        <v>9</v>
      </c>
      <c r="T15">
        <f>[4]CRP_Outcome_ELV!$BH15</f>
        <v>14</v>
      </c>
      <c r="V15">
        <f>[5]CRP_Outcome_ELV!$O15</f>
        <v>8</v>
      </c>
      <c r="W15">
        <f>[5]CRP_Outcome_ELV!$BF15</f>
        <v>0</v>
      </c>
      <c r="X15">
        <f>[5]CRP_Outcome_ELV!$BG15</f>
        <v>6</v>
      </c>
      <c r="Y15">
        <f>[5]CRP_Outcome_ELV!$BH15</f>
        <v>0</v>
      </c>
      <c r="AA15">
        <f>[6]CRP_Outcome_ELV!$O15</f>
        <v>8</v>
      </c>
      <c r="AB15">
        <f>[6]CRP_Outcome_ELV!$BF15</f>
        <v>0</v>
      </c>
      <c r="AC15">
        <f>[6]CRP_Outcome_ELV!$BG15</f>
        <v>10</v>
      </c>
      <c r="AD15">
        <f>[6]CRP_Outcome_ELV!$BH15</f>
        <v>10</v>
      </c>
      <c r="AF15">
        <f>[7]CRP_Outcome_ELV!$O15</f>
        <v>8</v>
      </c>
      <c r="AG15">
        <f>[7]CRP_Outcome_ELV!$BF15</f>
        <v>0</v>
      </c>
      <c r="AH15">
        <f>[7]CRP_Outcome_ELV!$BG15</f>
        <v>11</v>
      </c>
      <c r="AI15">
        <f>[7]CRP_Outcome_ELV!$BH15</f>
        <v>8</v>
      </c>
      <c r="AK15">
        <f>[8]CRP_Outcome_ELV!$O15</f>
        <v>8</v>
      </c>
      <c r="AL15">
        <f>[8]CRP_Outcome_ELV!$BF15</f>
        <v>0</v>
      </c>
      <c r="AM15">
        <f>[8]CRP_Outcome_ELV!$BG15</f>
        <v>6</v>
      </c>
      <c r="AN15">
        <f>[8]CRP_Outcome_ELV!$BH15</f>
        <v>0</v>
      </c>
      <c r="AP15">
        <f>[9]CRP_Outcome_ELV!$O15</f>
        <v>8</v>
      </c>
      <c r="AQ15">
        <f>[9]CRP_Outcome_ELV!$BF15</f>
        <v>0</v>
      </c>
      <c r="AR15">
        <f>[9]CRP_Outcome_ELV!$BG15</f>
        <v>10</v>
      </c>
      <c r="AS15">
        <f>[9]CRP_Outcome_ELV!$BH15</f>
        <v>3</v>
      </c>
      <c r="AU15">
        <f>[10]CRP_Outcome_ELV!$O15</f>
        <v>8</v>
      </c>
      <c r="AV15">
        <f>[10]CRP_Outcome_ELV!$BF15</f>
        <v>0</v>
      </c>
      <c r="AW15">
        <f>[10]CRP_Outcome_ELV!$BG15</f>
        <v>10</v>
      </c>
      <c r="AX15">
        <f>[10]CRP_Outcome_ELV!$BH15</f>
        <v>0</v>
      </c>
      <c r="AZ15">
        <f t="shared" si="0"/>
        <v>8</v>
      </c>
      <c r="BA15">
        <f t="shared" si="0"/>
        <v>0.8</v>
      </c>
      <c r="BB15">
        <f t="shared" si="0"/>
        <v>8.9</v>
      </c>
      <c r="BC15">
        <f t="shared" si="0"/>
        <v>3.7</v>
      </c>
    </row>
    <row r="16" spans="1:55" x14ac:dyDescent="0.35">
      <c r="A16">
        <v>14</v>
      </c>
      <c r="B16">
        <f>[1]CRP_Outcome_ELV!$O16</f>
        <v>8</v>
      </c>
      <c r="C16">
        <f>[1]CRP_Outcome_ELV!$BF16</f>
        <v>0</v>
      </c>
      <c r="D16">
        <f>[1]CRP_Outcome_ELV!$BG16</f>
        <v>9</v>
      </c>
      <c r="E16">
        <f>[1]CRP_Outcome_ELV!$BH16</f>
        <v>5</v>
      </c>
      <c r="G16">
        <f>[2]CRP_Outcome_ELV!$O16</f>
        <v>8</v>
      </c>
      <c r="H16">
        <f>[2]CRP_Outcome_ELV!$BF16</f>
        <v>0</v>
      </c>
      <c r="I16">
        <f>[2]CRP_Outcome_ELV!$BG16</f>
        <v>10</v>
      </c>
      <c r="J16">
        <f>[2]CRP_Outcome_ELV!$BH16</f>
        <v>9</v>
      </c>
      <c r="L16">
        <f>[3]CRP_Outcome_ELV!$O16</f>
        <v>8</v>
      </c>
      <c r="M16">
        <f>[3]CRP_Outcome_ELV!$BF16</f>
        <v>0</v>
      </c>
      <c r="N16">
        <f>[3]CRP_Outcome_ELV!$BG16</f>
        <v>9</v>
      </c>
      <c r="O16">
        <f>[3]CRP_Outcome_ELV!$BH16</f>
        <v>7</v>
      </c>
      <c r="Q16">
        <f>[4]CRP_Outcome_ELV!$O16</f>
        <v>8</v>
      </c>
      <c r="R16">
        <f>[4]CRP_Outcome_ELV!$BF16</f>
        <v>0</v>
      </c>
      <c r="S16">
        <f>[4]CRP_Outcome_ELV!$BG16</f>
        <v>9</v>
      </c>
      <c r="T16">
        <f>[4]CRP_Outcome_ELV!$BH16</f>
        <v>15</v>
      </c>
      <c r="V16">
        <f>[5]CRP_Outcome_ELV!$O16</f>
        <v>8</v>
      </c>
      <c r="W16">
        <f>[5]CRP_Outcome_ELV!$BF16</f>
        <v>0</v>
      </c>
      <c r="X16">
        <f>[5]CRP_Outcome_ELV!$BG16</f>
        <v>6</v>
      </c>
      <c r="Y16">
        <f>[5]CRP_Outcome_ELV!$BH16</f>
        <v>8</v>
      </c>
      <c r="AA16">
        <f>[6]CRP_Outcome_ELV!$O16</f>
        <v>8</v>
      </c>
      <c r="AB16">
        <f>[6]CRP_Outcome_ELV!$BF16</f>
        <v>0</v>
      </c>
      <c r="AC16">
        <f>[6]CRP_Outcome_ELV!$BG16</f>
        <v>10</v>
      </c>
      <c r="AD16">
        <f>[6]CRP_Outcome_ELV!$BH16</f>
        <v>16</v>
      </c>
      <c r="AF16">
        <f>[7]CRP_Outcome_ELV!$O16</f>
        <v>8</v>
      </c>
      <c r="AG16">
        <f>[7]CRP_Outcome_ELV!$BF16</f>
        <v>0</v>
      </c>
      <c r="AH16">
        <f>[7]CRP_Outcome_ELV!$BG16</f>
        <v>10</v>
      </c>
      <c r="AI16">
        <f>[7]CRP_Outcome_ELV!$BH16</f>
        <v>12</v>
      </c>
      <c r="AK16">
        <f>[8]CRP_Outcome_ELV!$O16</f>
        <v>8</v>
      </c>
      <c r="AL16">
        <f>[8]CRP_Outcome_ELV!$BF16</f>
        <v>0</v>
      </c>
      <c r="AM16">
        <f>[8]CRP_Outcome_ELV!$BG16</f>
        <v>6</v>
      </c>
      <c r="AN16">
        <f>[8]CRP_Outcome_ELV!$BH16</f>
        <v>4</v>
      </c>
      <c r="AP16">
        <f>[9]CRP_Outcome_ELV!$O16</f>
        <v>8</v>
      </c>
      <c r="AQ16">
        <f>[9]CRP_Outcome_ELV!$BF16</f>
        <v>15</v>
      </c>
      <c r="AR16">
        <f>[9]CRP_Outcome_ELV!$BG16</f>
        <v>10</v>
      </c>
      <c r="AS16">
        <f>[9]CRP_Outcome_ELV!$BH16</f>
        <v>10</v>
      </c>
      <c r="AU16">
        <f>[10]CRP_Outcome_ELV!$O16</f>
        <v>8</v>
      </c>
      <c r="AV16">
        <f>[10]CRP_Outcome_ELV!$BF16</f>
        <v>0</v>
      </c>
      <c r="AW16">
        <f>[10]CRP_Outcome_ELV!$BG16</f>
        <v>10</v>
      </c>
      <c r="AX16">
        <f>[10]CRP_Outcome_ELV!$BH16</f>
        <v>17</v>
      </c>
      <c r="AZ16">
        <f t="shared" si="0"/>
        <v>8</v>
      </c>
      <c r="BA16">
        <f t="shared" si="0"/>
        <v>1.5</v>
      </c>
      <c r="BB16">
        <f t="shared" si="0"/>
        <v>8.9</v>
      </c>
      <c r="BC16">
        <f t="shared" si="0"/>
        <v>10.3</v>
      </c>
    </row>
    <row r="17" spans="1:55" x14ac:dyDescent="0.35">
      <c r="A17">
        <v>15</v>
      </c>
      <c r="B17">
        <f>[1]CRP_Outcome_ELV!$O17</f>
        <v>8</v>
      </c>
      <c r="C17">
        <f>[1]CRP_Outcome_ELV!$BF17</f>
        <v>0</v>
      </c>
      <c r="D17">
        <f>[1]CRP_Outcome_ELV!$BG17</f>
        <v>10</v>
      </c>
      <c r="E17">
        <f>[1]CRP_Outcome_ELV!$BH17</f>
        <v>14</v>
      </c>
      <c r="G17">
        <f>[2]CRP_Outcome_ELV!$O17</f>
        <v>8</v>
      </c>
      <c r="H17">
        <f>[2]CRP_Outcome_ELV!$BF17</f>
        <v>0</v>
      </c>
      <c r="I17">
        <f>[2]CRP_Outcome_ELV!$BG17</f>
        <v>9</v>
      </c>
      <c r="J17">
        <f>[2]CRP_Outcome_ELV!$BH17</f>
        <v>13</v>
      </c>
      <c r="L17">
        <f>[3]CRP_Outcome_ELV!$O17</f>
        <v>8</v>
      </c>
      <c r="M17">
        <f>[3]CRP_Outcome_ELV!$BF17</f>
        <v>0</v>
      </c>
      <c r="N17">
        <f>[3]CRP_Outcome_ELV!$BG17</f>
        <v>9</v>
      </c>
      <c r="O17">
        <f>[3]CRP_Outcome_ELV!$BH17</f>
        <v>13</v>
      </c>
      <c r="Q17">
        <f>[4]CRP_Outcome_ELV!$O17</f>
        <v>8</v>
      </c>
      <c r="R17">
        <f>[4]CRP_Outcome_ELV!$BF17</f>
        <v>11</v>
      </c>
      <c r="S17">
        <f>[4]CRP_Outcome_ELV!$BG17</f>
        <v>9</v>
      </c>
      <c r="T17">
        <f>[4]CRP_Outcome_ELV!$BH17</f>
        <v>5</v>
      </c>
      <c r="V17">
        <f>[5]CRP_Outcome_ELV!$O17</f>
        <v>8</v>
      </c>
      <c r="W17">
        <f>[5]CRP_Outcome_ELV!$BF17</f>
        <v>0</v>
      </c>
      <c r="X17">
        <f>[5]CRP_Outcome_ELV!$BG17</f>
        <v>6</v>
      </c>
      <c r="Y17">
        <f>[5]CRP_Outcome_ELV!$BH17</f>
        <v>8</v>
      </c>
      <c r="AA17">
        <f>[6]CRP_Outcome_ELV!$O17</f>
        <v>8</v>
      </c>
      <c r="AB17">
        <f>[6]CRP_Outcome_ELV!$BF17</f>
        <v>5</v>
      </c>
      <c r="AC17">
        <f>[6]CRP_Outcome_ELV!$BG17</f>
        <v>9</v>
      </c>
      <c r="AD17">
        <f>[6]CRP_Outcome_ELV!$BH17</f>
        <v>13</v>
      </c>
      <c r="AF17">
        <f>[7]CRP_Outcome_ELV!$O17</f>
        <v>8</v>
      </c>
      <c r="AG17">
        <f>[7]CRP_Outcome_ELV!$BF17</f>
        <v>6</v>
      </c>
      <c r="AH17">
        <f>[7]CRP_Outcome_ELV!$BG17</f>
        <v>9</v>
      </c>
      <c r="AI17">
        <f>[7]CRP_Outcome_ELV!$BH17</f>
        <v>18</v>
      </c>
      <c r="AK17">
        <f>[8]CRP_Outcome_ELV!$O17</f>
        <v>8</v>
      </c>
      <c r="AL17">
        <f>[8]CRP_Outcome_ELV!$BF17</f>
        <v>0</v>
      </c>
      <c r="AM17">
        <f>[8]CRP_Outcome_ELV!$BG17</f>
        <v>6</v>
      </c>
      <c r="AN17">
        <f>[8]CRP_Outcome_ELV!$BH17</f>
        <v>8</v>
      </c>
      <c r="AP17">
        <f>[9]CRP_Outcome_ELV!$O17</f>
        <v>8</v>
      </c>
      <c r="AQ17">
        <f>[9]CRP_Outcome_ELV!$BF17</f>
        <v>0</v>
      </c>
      <c r="AR17">
        <f>[9]CRP_Outcome_ELV!$BG17</f>
        <v>9</v>
      </c>
      <c r="AS17">
        <f>[9]CRP_Outcome_ELV!$BH17</f>
        <v>15</v>
      </c>
      <c r="AU17">
        <f>[10]CRP_Outcome_ELV!$O17</f>
        <v>8</v>
      </c>
      <c r="AV17">
        <f>[10]CRP_Outcome_ELV!$BF17</f>
        <v>0</v>
      </c>
      <c r="AW17">
        <f>[10]CRP_Outcome_ELV!$BG17</f>
        <v>8</v>
      </c>
      <c r="AX17">
        <f>[10]CRP_Outcome_ELV!$BH17</f>
        <v>13</v>
      </c>
      <c r="AZ17">
        <f t="shared" si="0"/>
        <v>8</v>
      </c>
      <c r="BA17">
        <f t="shared" si="0"/>
        <v>2.2000000000000002</v>
      </c>
      <c r="BB17">
        <f t="shared" si="0"/>
        <v>8.4</v>
      </c>
      <c r="BC17">
        <f t="shared" si="0"/>
        <v>12</v>
      </c>
    </row>
    <row r="18" spans="1:55" x14ac:dyDescent="0.35">
      <c r="A18">
        <v>16</v>
      </c>
      <c r="B18">
        <f>[1]CRP_Outcome_ELV!$O18</f>
        <v>8</v>
      </c>
      <c r="C18">
        <f>[1]CRP_Outcome_ELV!$BF18</f>
        <v>0</v>
      </c>
      <c r="D18">
        <f>[1]CRP_Outcome_ELV!$BG18</f>
        <v>9</v>
      </c>
      <c r="E18">
        <f>[1]CRP_Outcome_ELV!$BH18</f>
        <v>12</v>
      </c>
      <c r="G18">
        <f>[2]CRP_Outcome_ELV!$O18</f>
        <v>8</v>
      </c>
      <c r="H18">
        <f>[2]CRP_Outcome_ELV!$BF18</f>
        <v>10</v>
      </c>
      <c r="I18">
        <f>[2]CRP_Outcome_ELV!$BG18</f>
        <v>8</v>
      </c>
      <c r="J18">
        <f>[2]CRP_Outcome_ELV!$BH18</f>
        <v>15</v>
      </c>
      <c r="L18">
        <f>[3]CRP_Outcome_ELV!$O18</f>
        <v>8</v>
      </c>
      <c r="M18">
        <f>[3]CRP_Outcome_ELV!$BF18</f>
        <v>11</v>
      </c>
      <c r="N18">
        <f>[3]CRP_Outcome_ELV!$BG18</f>
        <v>8</v>
      </c>
      <c r="O18">
        <f>[3]CRP_Outcome_ELV!$BH18</f>
        <v>12</v>
      </c>
      <c r="Q18">
        <f>[4]CRP_Outcome_ELV!$O18</f>
        <v>8</v>
      </c>
      <c r="R18">
        <f>[4]CRP_Outcome_ELV!$BF18</f>
        <v>19</v>
      </c>
      <c r="S18">
        <f>[4]CRP_Outcome_ELV!$BG18</f>
        <v>8</v>
      </c>
      <c r="T18">
        <f>[4]CRP_Outcome_ELV!$BH18</f>
        <v>6</v>
      </c>
      <c r="V18">
        <f>[5]CRP_Outcome_ELV!$O18</f>
        <v>8</v>
      </c>
      <c r="W18">
        <f>[5]CRP_Outcome_ELV!$BF18</f>
        <v>7</v>
      </c>
      <c r="X18">
        <f>[5]CRP_Outcome_ELV!$BG18</f>
        <v>5</v>
      </c>
      <c r="Y18">
        <f>[5]CRP_Outcome_ELV!$BH18</f>
        <v>5</v>
      </c>
      <c r="AA18">
        <f>[6]CRP_Outcome_ELV!$O18</f>
        <v>8</v>
      </c>
      <c r="AB18">
        <f>[6]CRP_Outcome_ELV!$BF18</f>
        <v>20</v>
      </c>
      <c r="AC18">
        <f>[6]CRP_Outcome_ELV!$BG18</f>
        <v>9</v>
      </c>
      <c r="AD18">
        <f>[6]CRP_Outcome_ELV!$BH18</f>
        <v>7</v>
      </c>
      <c r="AF18">
        <f>[7]CRP_Outcome_ELV!$O18</f>
        <v>8</v>
      </c>
      <c r="AG18">
        <f>[7]CRP_Outcome_ELV!$BF18</f>
        <v>18</v>
      </c>
      <c r="AH18">
        <f>[7]CRP_Outcome_ELV!$BG18</f>
        <v>9</v>
      </c>
      <c r="AI18">
        <f>[7]CRP_Outcome_ELV!$BH18</f>
        <v>8</v>
      </c>
      <c r="AK18">
        <f>[8]CRP_Outcome_ELV!$O18</f>
        <v>8</v>
      </c>
      <c r="AL18">
        <f>[8]CRP_Outcome_ELV!$BF18</f>
        <v>0</v>
      </c>
      <c r="AM18">
        <f>[8]CRP_Outcome_ELV!$BG18</f>
        <v>5</v>
      </c>
      <c r="AN18">
        <f>[8]CRP_Outcome_ELV!$BH18</f>
        <v>5</v>
      </c>
      <c r="AP18">
        <f>[9]CRP_Outcome_ELV!$O18</f>
        <v>8</v>
      </c>
      <c r="AQ18">
        <f>[9]CRP_Outcome_ELV!$BF18</f>
        <v>17</v>
      </c>
      <c r="AR18">
        <f>[9]CRP_Outcome_ELV!$BG18</f>
        <v>9</v>
      </c>
      <c r="AS18">
        <f>[9]CRP_Outcome_ELV!$BH18</f>
        <v>12</v>
      </c>
      <c r="AU18">
        <f>[10]CRP_Outcome_ELV!$O18</f>
        <v>8</v>
      </c>
      <c r="AV18">
        <f>[10]CRP_Outcome_ELV!$BF18</f>
        <v>7</v>
      </c>
      <c r="AW18">
        <f>[10]CRP_Outcome_ELV!$BG18</f>
        <v>7</v>
      </c>
      <c r="AX18">
        <f>[10]CRP_Outcome_ELV!$BH18</f>
        <v>8</v>
      </c>
      <c r="AZ18">
        <f t="shared" si="0"/>
        <v>8</v>
      </c>
      <c r="BA18">
        <f t="shared" si="0"/>
        <v>10.9</v>
      </c>
      <c r="BB18">
        <f t="shared" si="0"/>
        <v>7.7</v>
      </c>
      <c r="BC18">
        <f t="shared" si="0"/>
        <v>9</v>
      </c>
    </row>
    <row r="19" spans="1:55" x14ac:dyDescent="0.35">
      <c r="A19">
        <v>17</v>
      </c>
      <c r="B19">
        <f>[1]CRP_Outcome_ELV!$O19</f>
        <v>8</v>
      </c>
      <c r="C19">
        <f>[1]CRP_Outcome_ELV!$BF19</f>
        <v>19</v>
      </c>
      <c r="D19">
        <f>[1]CRP_Outcome_ELV!$BG19</f>
        <v>8</v>
      </c>
      <c r="E19">
        <f>[1]CRP_Outcome_ELV!$BH19</f>
        <v>11</v>
      </c>
      <c r="G19">
        <f>[2]CRP_Outcome_ELV!$O19</f>
        <v>8</v>
      </c>
      <c r="H19">
        <f>[2]CRP_Outcome_ELV!$BF19</f>
        <v>34</v>
      </c>
      <c r="I19">
        <f>[2]CRP_Outcome_ELV!$BG19</f>
        <v>8</v>
      </c>
      <c r="J19">
        <f>[2]CRP_Outcome_ELV!$BH19</f>
        <v>6</v>
      </c>
      <c r="L19">
        <f>[3]CRP_Outcome_ELV!$O19</f>
        <v>8</v>
      </c>
      <c r="M19">
        <f>[3]CRP_Outcome_ELV!$BF19</f>
        <v>36</v>
      </c>
      <c r="N19">
        <f>[3]CRP_Outcome_ELV!$BG19</f>
        <v>8</v>
      </c>
      <c r="O19">
        <f>[3]CRP_Outcome_ELV!$BH19</f>
        <v>6</v>
      </c>
      <c r="Q19">
        <f>[4]CRP_Outcome_ELV!$O19</f>
        <v>8</v>
      </c>
      <c r="R19">
        <f>[4]CRP_Outcome_ELV!$BF19</f>
        <v>7</v>
      </c>
      <c r="S19">
        <f>[4]CRP_Outcome_ELV!$BG19</f>
        <v>8</v>
      </c>
      <c r="T19">
        <f>[4]CRP_Outcome_ELV!$BH19</f>
        <v>0</v>
      </c>
      <c r="V19">
        <f>[5]CRP_Outcome_ELV!$O19</f>
        <v>8</v>
      </c>
      <c r="W19">
        <f>[5]CRP_Outcome_ELV!$BF19</f>
        <v>11</v>
      </c>
      <c r="X19">
        <f>[5]CRP_Outcome_ELV!$BG19</f>
        <v>6</v>
      </c>
      <c r="Y19">
        <f>[5]CRP_Outcome_ELV!$BH19</f>
        <v>2</v>
      </c>
      <c r="AA19">
        <f>[6]CRP_Outcome_ELV!$O19</f>
        <v>8</v>
      </c>
      <c r="AB19">
        <f>[6]CRP_Outcome_ELV!$BF19</f>
        <v>16</v>
      </c>
      <c r="AC19">
        <f>[6]CRP_Outcome_ELV!$BG19</f>
        <v>9</v>
      </c>
      <c r="AD19">
        <f>[6]CRP_Outcome_ELV!$BH19</f>
        <v>0</v>
      </c>
      <c r="AF19">
        <f>[7]CRP_Outcome_ELV!$O19</f>
        <v>8</v>
      </c>
      <c r="AG19">
        <f>[7]CRP_Outcome_ELV!$BF19</f>
        <v>27</v>
      </c>
      <c r="AH19">
        <f>[7]CRP_Outcome_ELV!$BG19</f>
        <v>8</v>
      </c>
      <c r="AI19">
        <f>[7]CRP_Outcome_ELV!$BH19</f>
        <v>0</v>
      </c>
      <c r="AK19">
        <f>[8]CRP_Outcome_ELV!$O19</f>
        <v>8</v>
      </c>
      <c r="AL19">
        <f>[8]CRP_Outcome_ELV!$BF19</f>
        <v>9</v>
      </c>
      <c r="AM19">
        <f>[8]CRP_Outcome_ELV!$BG19</f>
        <v>6</v>
      </c>
      <c r="AN19">
        <f>[8]CRP_Outcome_ELV!$BH19</f>
        <v>4</v>
      </c>
      <c r="AP19">
        <f>[9]CRP_Outcome_ELV!$O19</f>
        <v>8</v>
      </c>
      <c r="AQ19">
        <f>[9]CRP_Outcome_ELV!$BF19</f>
        <v>23</v>
      </c>
      <c r="AR19">
        <f>[9]CRP_Outcome_ELV!$BG19</f>
        <v>9</v>
      </c>
      <c r="AS19">
        <f>[9]CRP_Outcome_ELV!$BH19</f>
        <v>5</v>
      </c>
      <c r="AU19">
        <f>[10]CRP_Outcome_ELV!$O19</f>
        <v>8</v>
      </c>
      <c r="AV19">
        <f>[10]CRP_Outcome_ELV!$BF19</f>
        <v>5</v>
      </c>
      <c r="AW19">
        <f>[10]CRP_Outcome_ELV!$BG19</f>
        <v>8</v>
      </c>
      <c r="AX19">
        <f>[10]CRP_Outcome_ELV!$BH19</f>
        <v>2</v>
      </c>
      <c r="AZ19">
        <f t="shared" si="0"/>
        <v>8</v>
      </c>
      <c r="BA19">
        <f t="shared" si="0"/>
        <v>18.7</v>
      </c>
      <c r="BB19">
        <f t="shared" si="0"/>
        <v>7.8</v>
      </c>
      <c r="BC19">
        <f t="shared" si="0"/>
        <v>3.6</v>
      </c>
    </row>
    <row r="20" spans="1:55" x14ac:dyDescent="0.35">
      <c r="A20">
        <v>18</v>
      </c>
      <c r="B20">
        <f>[1]CRP_Outcome_ELV!$O20</f>
        <v>8</v>
      </c>
      <c r="C20">
        <f>[1]CRP_Outcome_ELV!$BF20</f>
        <v>18</v>
      </c>
      <c r="D20">
        <f>[1]CRP_Outcome_ELV!$BG20</f>
        <v>8</v>
      </c>
      <c r="E20">
        <f>[1]CRP_Outcome_ELV!$BH20</f>
        <v>2</v>
      </c>
      <c r="G20">
        <f>[2]CRP_Outcome_ELV!$O20</f>
        <v>8</v>
      </c>
      <c r="H20">
        <f>[2]CRP_Outcome_ELV!$BF20</f>
        <v>15</v>
      </c>
      <c r="I20">
        <f>[2]CRP_Outcome_ELV!$BG20</f>
        <v>8</v>
      </c>
      <c r="J20">
        <f>[2]CRP_Outcome_ELV!$BH20</f>
        <v>0</v>
      </c>
      <c r="L20">
        <f>[3]CRP_Outcome_ELV!$O20</f>
        <v>8</v>
      </c>
      <c r="M20">
        <f>[3]CRP_Outcome_ELV!$BF20</f>
        <v>0</v>
      </c>
      <c r="N20">
        <f>[3]CRP_Outcome_ELV!$BG20</f>
        <v>9</v>
      </c>
      <c r="O20">
        <f>[3]CRP_Outcome_ELV!$BH20</f>
        <v>2</v>
      </c>
      <c r="Q20">
        <f>[4]CRP_Outcome_ELV!$O20</f>
        <v>8</v>
      </c>
      <c r="R20">
        <f>[4]CRP_Outcome_ELV!$BF20</f>
        <v>2</v>
      </c>
      <c r="S20">
        <f>[4]CRP_Outcome_ELV!$BG20</f>
        <v>9</v>
      </c>
      <c r="T20">
        <f>[4]CRP_Outcome_ELV!$BH20</f>
        <v>8</v>
      </c>
      <c r="V20">
        <f>[5]CRP_Outcome_ELV!$O20</f>
        <v>8</v>
      </c>
      <c r="W20">
        <f>[5]CRP_Outcome_ELV!$BF20</f>
        <v>4</v>
      </c>
      <c r="X20">
        <f>[5]CRP_Outcome_ELV!$BG20</f>
        <v>6</v>
      </c>
      <c r="Y20">
        <f>[5]CRP_Outcome_ELV!$BH20</f>
        <v>0</v>
      </c>
      <c r="AA20">
        <f>[6]CRP_Outcome_ELV!$O20</f>
        <v>8</v>
      </c>
      <c r="AB20">
        <f>[6]CRP_Outcome_ELV!$BF20</f>
        <v>2</v>
      </c>
      <c r="AC20">
        <f>[6]CRP_Outcome_ELV!$BG20</f>
        <v>9</v>
      </c>
      <c r="AD20">
        <f>[6]CRP_Outcome_ELV!$BH20</f>
        <v>5</v>
      </c>
      <c r="AF20">
        <f>[7]CRP_Outcome_ELV!$O20</f>
        <v>8</v>
      </c>
      <c r="AG20">
        <f>[7]CRP_Outcome_ELV!$BF20</f>
        <v>4</v>
      </c>
      <c r="AH20">
        <f>[7]CRP_Outcome_ELV!$BG20</f>
        <v>10</v>
      </c>
      <c r="AI20">
        <f>[7]CRP_Outcome_ELV!$BH20</f>
        <v>8</v>
      </c>
      <c r="AK20">
        <f>[8]CRP_Outcome_ELV!$O20</f>
        <v>8</v>
      </c>
      <c r="AL20">
        <f>[8]CRP_Outcome_ELV!$BF20</f>
        <v>4</v>
      </c>
      <c r="AM20">
        <f>[8]CRP_Outcome_ELV!$BG20</f>
        <v>6</v>
      </c>
      <c r="AN20">
        <f>[8]CRP_Outcome_ELV!$BH20</f>
        <v>0</v>
      </c>
      <c r="AP20">
        <f>[9]CRP_Outcome_ELV!$O20</f>
        <v>8</v>
      </c>
      <c r="AQ20">
        <f>[9]CRP_Outcome_ELV!$BF20</f>
        <v>0</v>
      </c>
      <c r="AR20">
        <f>[9]CRP_Outcome_ELV!$BG20</f>
        <v>9</v>
      </c>
      <c r="AS20">
        <f>[9]CRP_Outcome_ELV!$BH20</f>
        <v>3</v>
      </c>
      <c r="AU20">
        <f>[10]CRP_Outcome_ELV!$O20</f>
        <v>8</v>
      </c>
      <c r="AV20">
        <f>[10]CRP_Outcome_ELV!$BF20</f>
        <v>15</v>
      </c>
      <c r="AW20">
        <f>[10]CRP_Outcome_ELV!$BG20</f>
        <v>9</v>
      </c>
      <c r="AX20">
        <f>[10]CRP_Outcome_ELV!$BH20</f>
        <v>0</v>
      </c>
      <c r="AZ20">
        <f t="shared" si="0"/>
        <v>8</v>
      </c>
      <c r="BA20">
        <f t="shared" si="0"/>
        <v>6.4</v>
      </c>
      <c r="BB20">
        <f t="shared" si="0"/>
        <v>8.3000000000000007</v>
      </c>
      <c r="BC20">
        <f t="shared" si="0"/>
        <v>2.8</v>
      </c>
    </row>
    <row r="21" spans="1:55" x14ac:dyDescent="0.35">
      <c r="A21">
        <v>19</v>
      </c>
      <c r="B21">
        <f>[1]CRP_Outcome_ELV!$O21</f>
        <v>8</v>
      </c>
      <c r="C21">
        <f>[1]CRP_Outcome_ELV!$BF21</f>
        <v>11</v>
      </c>
      <c r="D21">
        <f>[1]CRP_Outcome_ELV!$BG21</f>
        <v>8</v>
      </c>
      <c r="E21">
        <f>[1]CRP_Outcome_ELV!$BH21</f>
        <v>0</v>
      </c>
      <c r="G21">
        <f>[2]CRP_Outcome_ELV!$O21</f>
        <v>8</v>
      </c>
      <c r="H21">
        <f>[2]CRP_Outcome_ELV!$BF21</f>
        <v>0</v>
      </c>
      <c r="I21">
        <f>[2]CRP_Outcome_ELV!$BG21</f>
        <v>9</v>
      </c>
      <c r="J21">
        <f>[2]CRP_Outcome_ELV!$BH21</f>
        <v>4</v>
      </c>
      <c r="L21">
        <f>[3]CRP_Outcome_ELV!$O21</f>
        <v>8</v>
      </c>
      <c r="M21">
        <f>[3]CRP_Outcome_ELV!$BF21</f>
        <v>0</v>
      </c>
      <c r="N21">
        <f>[3]CRP_Outcome_ELV!$BG21</f>
        <v>9</v>
      </c>
      <c r="O21">
        <f>[3]CRP_Outcome_ELV!$BH21</f>
        <v>2</v>
      </c>
      <c r="Q21">
        <f>[4]CRP_Outcome_ELV!$O21</f>
        <v>8</v>
      </c>
      <c r="R21">
        <f>[4]CRP_Outcome_ELV!$BF21</f>
        <v>0</v>
      </c>
      <c r="S21">
        <f>[4]CRP_Outcome_ELV!$BG21</f>
        <v>9</v>
      </c>
      <c r="T21">
        <f>[4]CRP_Outcome_ELV!$BH21</f>
        <v>15</v>
      </c>
      <c r="V21">
        <f>[5]CRP_Outcome_ELV!$O21</f>
        <v>8</v>
      </c>
      <c r="W21">
        <f>[5]CRP_Outcome_ELV!$BF21</f>
        <v>0</v>
      </c>
      <c r="X21">
        <f>[5]CRP_Outcome_ELV!$BG21</f>
        <v>6</v>
      </c>
      <c r="Y21">
        <f>[5]CRP_Outcome_ELV!$BH21</f>
        <v>4</v>
      </c>
      <c r="AA21">
        <f>[6]CRP_Outcome_ELV!$O21</f>
        <v>8</v>
      </c>
      <c r="AB21">
        <f>[6]CRP_Outcome_ELV!$BF21</f>
        <v>0</v>
      </c>
      <c r="AC21">
        <f>[6]CRP_Outcome_ELV!$BG21</f>
        <v>10</v>
      </c>
      <c r="AD21">
        <f>[6]CRP_Outcome_ELV!$BH21</f>
        <v>14</v>
      </c>
      <c r="AF21">
        <f>[7]CRP_Outcome_ELV!$O21</f>
        <v>8</v>
      </c>
      <c r="AG21">
        <f>[7]CRP_Outcome_ELV!$BF21</f>
        <v>0</v>
      </c>
      <c r="AH21">
        <f>[7]CRP_Outcome_ELV!$BG21</f>
        <v>10</v>
      </c>
      <c r="AI21">
        <f>[7]CRP_Outcome_ELV!$BH21</f>
        <v>8</v>
      </c>
      <c r="AK21">
        <f>[8]CRP_Outcome_ELV!$O21</f>
        <v>8</v>
      </c>
      <c r="AL21">
        <f>[8]CRP_Outcome_ELV!$BF21</f>
        <v>1</v>
      </c>
      <c r="AM21">
        <f>[8]CRP_Outcome_ELV!$BG21</f>
        <v>6</v>
      </c>
      <c r="AN21">
        <f>[8]CRP_Outcome_ELV!$BH21</f>
        <v>1</v>
      </c>
      <c r="AP21">
        <f>[9]CRP_Outcome_ELV!$O21</f>
        <v>8</v>
      </c>
      <c r="AQ21">
        <f>[9]CRP_Outcome_ELV!$BF21</f>
        <v>9</v>
      </c>
      <c r="AR21">
        <f>[9]CRP_Outcome_ELV!$BG21</f>
        <v>9</v>
      </c>
      <c r="AS21">
        <f>[9]CRP_Outcome_ELV!$BH21</f>
        <v>6</v>
      </c>
      <c r="AU21">
        <f>[10]CRP_Outcome_ELV!$O21</f>
        <v>8</v>
      </c>
      <c r="AV21">
        <f>[10]CRP_Outcome_ELV!$BF21</f>
        <v>0</v>
      </c>
      <c r="AW21">
        <f>[10]CRP_Outcome_ELV!$BG21</f>
        <v>10</v>
      </c>
      <c r="AX21">
        <f>[10]CRP_Outcome_ELV!$BH21</f>
        <v>1</v>
      </c>
      <c r="AZ21">
        <f t="shared" si="0"/>
        <v>8</v>
      </c>
      <c r="BA21">
        <f t="shared" si="0"/>
        <v>2.1</v>
      </c>
      <c r="BB21">
        <f t="shared" si="0"/>
        <v>8.6</v>
      </c>
      <c r="BC21">
        <f t="shared" si="0"/>
        <v>5.5</v>
      </c>
    </row>
    <row r="22" spans="1:55" x14ac:dyDescent="0.35">
      <c r="A22">
        <v>20</v>
      </c>
      <c r="B22">
        <f>[1]CRP_Outcome_ELV!$O22</f>
        <v>8</v>
      </c>
      <c r="C22">
        <f>[1]CRP_Outcome_ELV!$BF22</f>
        <v>0</v>
      </c>
      <c r="D22">
        <f>[1]CRP_Outcome_ELV!$BG22</f>
        <v>9</v>
      </c>
      <c r="E22">
        <f>[1]CRP_Outcome_ELV!$BH22</f>
        <v>9</v>
      </c>
      <c r="G22">
        <f>[2]CRP_Outcome_ELV!$O22</f>
        <v>8</v>
      </c>
      <c r="H22">
        <f>[2]CRP_Outcome_ELV!$BF22</f>
        <v>0</v>
      </c>
      <c r="I22">
        <f>[2]CRP_Outcome_ELV!$BG22</f>
        <v>9</v>
      </c>
      <c r="J22">
        <f>[2]CRP_Outcome_ELV!$BH22</f>
        <v>7</v>
      </c>
      <c r="L22">
        <f>[3]CRP_Outcome_ELV!$O22</f>
        <v>8</v>
      </c>
      <c r="M22">
        <f>[3]CRP_Outcome_ELV!$BF22</f>
        <v>0</v>
      </c>
      <c r="N22">
        <f>[3]CRP_Outcome_ELV!$BG22</f>
        <v>9</v>
      </c>
      <c r="O22">
        <f>[3]CRP_Outcome_ELV!$BH22</f>
        <v>9</v>
      </c>
      <c r="Q22">
        <f>[4]CRP_Outcome_ELV!$O22</f>
        <v>8</v>
      </c>
      <c r="R22">
        <f>[4]CRP_Outcome_ELV!$BF22</f>
        <v>4</v>
      </c>
      <c r="S22">
        <f>[4]CRP_Outcome_ELV!$BG22</f>
        <v>9</v>
      </c>
      <c r="T22">
        <f>[4]CRP_Outcome_ELV!$BH22</f>
        <v>9</v>
      </c>
      <c r="V22">
        <f>[5]CRP_Outcome_ELV!$O22</f>
        <v>8</v>
      </c>
      <c r="W22">
        <f>[5]CRP_Outcome_ELV!$BF22</f>
        <v>0</v>
      </c>
      <c r="X22">
        <f>[5]CRP_Outcome_ELV!$BG22</f>
        <v>6</v>
      </c>
      <c r="Y22">
        <f>[5]CRP_Outcome_ELV!$BH22</f>
        <v>9</v>
      </c>
      <c r="AA22">
        <f>[6]CRP_Outcome_ELV!$O22</f>
        <v>8</v>
      </c>
      <c r="AB22">
        <f>[6]CRP_Outcome_ELV!$BF22</f>
        <v>0</v>
      </c>
      <c r="AC22">
        <f>[6]CRP_Outcome_ELV!$BG22</f>
        <v>9</v>
      </c>
      <c r="AD22">
        <f>[6]CRP_Outcome_ELV!$BH22</f>
        <v>13</v>
      </c>
      <c r="AF22">
        <f>[7]CRP_Outcome_ELV!$O22</f>
        <v>8</v>
      </c>
      <c r="AG22">
        <f>[7]CRP_Outcome_ELV!$BF22</f>
        <v>5</v>
      </c>
      <c r="AH22">
        <f>[7]CRP_Outcome_ELV!$BG22</f>
        <v>9</v>
      </c>
      <c r="AI22">
        <f>[7]CRP_Outcome_ELV!$BH22</f>
        <v>16</v>
      </c>
      <c r="AK22">
        <f>[8]CRP_Outcome_ELV!$O22</f>
        <v>8</v>
      </c>
      <c r="AL22">
        <f>[8]CRP_Outcome_ELV!$BF22</f>
        <v>0</v>
      </c>
      <c r="AM22">
        <f>[8]CRP_Outcome_ELV!$BG22</f>
        <v>6</v>
      </c>
      <c r="AN22">
        <f>[8]CRP_Outcome_ELV!$BH22</f>
        <v>7</v>
      </c>
      <c r="AP22">
        <f>[9]CRP_Outcome_ELV!$O22</f>
        <v>8</v>
      </c>
      <c r="AQ22">
        <f>[9]CRP_Outcome_ELV!$BF22</f>
        <v>14</v>
      </c>
      <c r="AR22">
        <f>[9]CRP_Outcome_ELV!$BG22</f>
        <v>9</v>
      </c>
      <c r="AS22">
        <f>[9]CRP_Outcome_ELV!$BH22</f>
        <v>9</v>
      </c>
      <c r="AU22">
        <f>[10]CRP_Outcome_ELV!$O22</f>
        <v>8</v>
      </c>
      <c r="AV22">
        <f>[10]CRP_Outcome_ELV!$BF22</f>
        <v>0</v>
      </c>
      <c r="AW22">
        <f>[10]CRP_Outcome_ELV!$BG22</f>
        <v>9</v>
      </c>
      <c r="AX22">
        <f>[10]CRP_Outcome_ELV!$BH22</f>
        <v>12</v>
      </c>
      <c r="AZ22">
        <f t="shared" si="0"/>
        <v>8</v>
      </c>
      <c r="BA22">
        <f t="shared" si="0"/>
        <v>2.2999999999999998</v>
      </c>
      <c r="BB22">
        <f t="shared" si="0"/>
        <v>8.4</v>
      </c>
      <c r="BC22">
        <f t="shared" si="0"/>
        <v>10</v>
      </c>
    </row>
    <row r="23" spans="1:55" x14ac:dyDescent="0.35">
      <c r="A23">
        <v>21</v>
      </c>
      <c r="B23">
        <f>[1]CRP_Outcome_ELV!$O23</f>
        <v>8</v>
      </c>
      <c r="C23">
        <f>[1]CRP_Outcome_ELV!$BF23</f>
        <v>0</v>
      </c>
      <c r="D23">
        <f>[1]CRP_Outcome_ELV!$BG23</f>
        <v>9</v>
      </c>
      <c r="E23">
        <f>[1]CRP_Outcome_ELV!$BH23</f>
        <v>10</v>
      </c>
      <c r="G23">
        <f>[2]CRP_Outcome_ELV!$O23</f>
        <v>8</v>
      </c>
      <c r="H23">
        <f>[2]CRP_Outcome_ELV!$BF23</f>
        <v>0</v>
      </c>
      <c r="I23">
        <f>[2]CRP_Outcome_ELV!$BG23</f>
        <v>9</v>
      </c>
      <c r="J23">
        <f>[2]CRP_Outcome_ELV!$BH23</f>
        <v>13</v>
      </c>
      <c r="L23">
        <f>[3]CRP_Outcome_ELV!$O23</f>
        <v>8</v>
      </c>
      <c r="M23">
        <f>[3]CRP_Outcome_ELV!$BF23</f>
        <v>0</v>
      </c>
      <c r="N23">
        <f>[3]CRP_Outcome_ELV!$BG23</f>
        <v>9</v>
      </c>
      <c r="O23">
        <f>[3]CRP_Outcome_ELV!$BH23</f>
        <v>13</v>
      </c>
      <c r="Q23">
        <f>[4]CRP_Outcome_ELV!$O23</f>
        <v>8</v>
      </c>
      <c r="R23">
        <f>[4]CRP_Outcome_ELV!$BF23</f>
        <v>20</v>
      </c>
      <c r="S23">
        <f>[4]CRP_Outcome_ELV!$BG23</f>
        <v>9</v>
      </c>
      <c r="T23">
        <f>[4]CRP_Outcome_ELV!$BH23</f>
        <v>8</v>
      </c>
      <c r="V23">
        <f>[5]CRP_Outcome_ELV!$O23</f>
        <v>8</v>
      </c>
      <c r="W23">
        <f>[5]CRP_Outcome_ELV!$BF23</f>
        <v>0</v>
      </c>
      <c r="X23">
        <f>[5]CRP_Outcome_ELV!$BG23</f>
        <v>5</v>
      </c>
      <c r="Y23">
        <f>[5]CRP_Outcome_ELV!$BH23</f>
        <v>6</v>
      </c>
      <c r="AA23">
        <f>[6]CRP_Outcome_ELV!$O23</f>
        <v>8</v>
      </c>
      <c r="AB23">
        <f>[6]CRP_Outcome_ELV!$BF23</f>
        <v>14</v>
      </c>
      <c r="AC23">
        <f>[6]CRP_Outcome_ELV!$BG23</f>
        <v>9</v>
      </c>
      <c r="AD23">
        <f>[6]CRP_Outcome_ELV!$BH23</f>
        <v>12</v>
      </c>
      <c r="AF23">
        <f>[7]CRP_Outcome_ELV!$O23</f>
        <v>8</v>
      </c>
      <c r="AG23">
        <f>[7]CRP_Outcome_ELV!$BF23</f>
        <v>9</v>
      </c>
      <c r="AH23">
        <f>[7]CRP_Outcome_ELV!$BG23</f>
        <v>10</v>
      </c>
      <c r="AI23">
        <f>[7]CRP_Outcome_ELV!$BH23</f>
        <v>12</v>
      </c>
      <c r="AK23">
        <f>[8]CRP_Outcome_ELV!$O23</f>
        <v>8</v>
      </c>
      <c r="AL23">
        <f>[8]CRP_Outcome_ELV!$BF23</f>
        <v>0</v>
      </c>
      <c r="AM23">
        <f>[8]CRP_Outcome_ELV!$BG23</f>
        <v>5</v>
      </c>
      <c r="AN23">
        <f>[8]CRP_Outcome_ELV!$BH23</f>
        <v>6</v>
      </c>
      <c r="AP23">
        <f>[9]CRP_Outcome_ELV!$O23</f>
        <v>8</v>
      </c>
      <c r="AQ23">
        <f>[9]CRP_Outcome_ELV!$BF23</f>
        <v>1</v>
      </c>
      <c r="AR23">
        <f>[9]CRP_Outcome_ELV!$BG23</f>
        <v>9</v>
      </c>
      <c r="AS23">
        <f>[9]CRP_Outcome_ELV!$BH23</f>
        <v>12</v>
      </c>
      <c r="AU23">
        <f>[10]CRP_Outcome_ELV!$O23</f>
        <v>8</v>
      </c>
      <c r="AV23">
        <f>[10]CRP_Outcome_ELV!$BF23</f>
        <v>0</v>
      </c>
      <c r="AW23">
        <f>[10]CRP_Outcome_ELV!$BG23</f>
        <v>8</v>
      </c>
      <c r="AX23">
        <f>[10]CRP_Outcome_ELV!$BH23</f>
        <v>14</v>
      </c>
      <c r="AZ23">
        <f t="shared" si="0"/>
        <v>8</v>
      </c>
      <c r="BA23">
        <f t="shared" si="0"/>
        <v>4.4000000000000004</v>
      </c>
      <c r="BB23">
        <f t="shared" si="0"/>
        <v>8.1999999999999993</v>
      </c>
      <c r="BC23">
        <f t="shared" si="0"/>
        <v>10.6</v>
      </c>
    </row>
    <row r="24" spans="1:55" x14ac:dyDescent="0.35">
      <c r="A24">
        <v>22</v>
      </c>
      <c r="B24">
        <f>[1]CRP_Outcome_ELV!$O24</f>
        <v>8</v>
      </c>
      <c r="C24">
        <f>[1]CRP_Outcome_ELV!$BF24</f>
        <v>4</v>
      </c>
      <c r="D24">
        <f>[1]CRP_Outcome_ELV!$BG24</f>
        <v>9</v>
      </c>
      <c r="E24">
        <f>[1]CRP_Outcome_ELV!$BH24</f>
        <v>14</v>
      </c>
      <c r="G24">
        <f>[2]CRP_Outcome_ELV!$O24</f>
        <v>8</v>
      </c>
      <c r="H24">
        <f>[2]CRP_Outcome_ELV!$BF24</f>
        <v>7</v>
      </c>
      <c r="I24">
        <f>[2]CRP_Outcome_ELV!$BG24</f>
        <v>9</v>
      </c>
      <c r="J24">
        <f>[2]CRP_Outcome_ELV!$BH24</f>
        <v>12</v>
      </c>
      <c r="L24">
        <f>[3]CRP_Outcome_ELV!$O24</f>
        <v>8</v>
      </c>
      <c r="M24">
        <f>[3]CRP_Outcome_ELV!$BF24</f>
        <v>32</v>
      </c>
      <c r="N24">
        <f>[3]CRP_Outcome_ELV!$BG24</f>
        <v>8</v>
      </c>
      <c r="O24">
        <f>[3]CRP_Outcome_ELV!$BH24</f>
        <v>11</v>
      </c>
      <c r="Q24">
        <f>[4]CRP_Outcome_ELV!$O24</f>
        <v>8</v>
      </c>
      <c r="R24">
        <f>[4]CRP_Outcome_ELV!$BF24</f>
        <v>12</v>
      </c>
      <c r="S24">
        <f>[4]CRP_Outcome_ELV!$BG24</f>
        <v>8</v>
      </c>
      <c r="T24">
        <f>[4]CRP_Outcome_ELV!$BH24</f>
        <v>1</v>
      </c>
      <c r="V24">
        <f>[5]CRP_Outcome_ELV!$O24</f>
        <v>8</v>
      </c>
      <c r="W24">
        <f>[5]CRP_Outcome_ELV!$BF24</f>
        <v>12</v>
      </c>
      <c r="X24">
        <f>[5]CRP_Outcome_ELV!$BG24</f>
        <v>6</v>
      </c>
      <c r="Y24">
        <f>[5]CRP_Outcome_ELV!$BH24</f>
        <v>4</v>
      </c>
      <c r="AA24">
        <f>[6]CRP_Outcome_ELV!$O24</f>
        <v>8</v>
      </c>
      <c r="AB24">
        <f>[6]CRP_Outcome_ELV!$BF24</f>
        <v>17</v>
      </c>
      <c r="AC24">
        <f>[6]CRP_Outcome_ELV!$BG24</f>
        <v>9</v>
      </c>
      <c r="AD24">
        <f>[6]CRP_Outcome_ELV!$BH24</f>
        <v>0</v>
      </c>
      <c r="AF24">
        <f>[7]CRP_Outcome_ELV!$O24</f>
        <v>8</v>
      </c>
      <c r="AG24">
        <f>[7]CRP_Outcome_ELV!$BF24</f>
        <v>25</v>
      </c>
      <c r="AH24">
        <f>[7]CRP_Outcome_ELV!$BG24</f>
        <v>9</v>
      </c>
      <c r="AI24">
        <f>[7]CRP_Outcome_ELV!$BH24</f>
        <v>0</v>
      </c>
      <c r="AK24">
        <f>[8]CRP_Outcome_ELV!$O24</f>
        <v>8</v>
      </c>
      <c r="AL24">
        <f>[8]CRP_Outcome_ELV!$BF24</f>
        <v>4</v>
      </c>
      <c r="AM24">
        <f>[8]CRP_Outcome_ELV!$BG24</f>
        <v>6</v>
      </c>
      <c r="AN24">
        <f>[8]CRP_Outcome_ELV!$BH24</f>
        <v>6</v>
      </c>
      <c r="AP24">
        <f>[9]CRP_Outcome_ELV!$O24</f>
        <v>8</v>
      </c>
      <c r="AQ24">
        <f>[9]CRP_Outcome_ELV!$BF24</f>
        <v>10</v>
      </c>
      <c r="AR24">
        <f>[9]CRP_Outcome_ELV!$BG24</f>
        <v>9</v>
      </c>
      <c r="AS24">
        <f>[9]CRP_Outcome_ELV!$BH24</f>
        <v>9</v>
      </c>
      <c r="AU24">
        <f>[10]CRP_Outcome_ELV!$O24</f>
        <v>8</v>
      </c>
      <c r="AV24">
        <f>[10]CRP_Outcome_ELV!$BF24</f>
        <v>16</v>
      </c>
      <c r="AW24">
        <f>[10]CRP_Outcome_ELV!$BG24</f>
        <v>8</v>
      </c>
      <c r="AX24">
        <f>[10]CRP_Outcome_ELV!$BH24</f>
        <v>7</v>
      </c>
      <c r="AZ24">
        <f t="shared" si="0"/>
        <v>8</v>
      </c>
      <c r="BA24">
        <f t="shared" si="0"/>
        <v>13.9</v>
      </c>
      <c r="BB24">
        <f t="shared" si="0"/>
        <v>8.1</v>
      </c>
      <c r="BC24">
        <f t="shared" si="0"/>
        <v>6.4</v>
      </c>
    </row>
    <row r="25" spans="1:55" x14ac:dyDescent="0.35">
      <c r="A25">
        <v>23</v>
      </c>
      <c r="B25">
        <f>[1]CRP_Outcome_ELV!$O25</f>
        <v>8</v>
      </c>
      <c r="C25">
        <f>[1]CRP_Outcome_ELV!$BF25</f>
        <v>12</v>
      </c>
      <c r="D25">
        <f>[1]CRP_Outcome_ELV!$BG25</f>
        <v>9</v>
      </c>
      <c r="E25">
        <f>[1]CRP_Outcome_ELV!$BH25</f>
        <v>8</v>
      </c>
      <c r="G25">
        <f>[2]CRP_Outcome_ELV!$O25</f>
        <v>8</v>
      </c>
      <c r="H25">
        <f>[2]CRP_Outcome_ELV!$BF25</f>
        <v>37</v>
      </c>
      <c r="I25">
        <f>[2]CRP_Outcome_ELV!$BG25</f>
        <v>8</v>
      </c>
      <c r="J25">
        <f>[2]CRP_Outcome_ELV!$BH25</f>
        <v>5</v>
      </c>
      <c r="L25">
        <f>[3]CRP_Outcome_ELV!$O25</f>
        <v>8</v>
      </c>
      <c r="M25">
        <f>[3]CRP_Outcome_ELV!$BF25</f>
        <v>14</v>
      </c>
      <c r="N25">
        <f>[3]CRP_Outcome_ELV!$BG25</f>
        <v>8</v>
      </c>
      <c r="O25">
        <f>[3]CRP_Outcome_ELV!$BH25</f>
        <v>6</v>
      </c>
      <c r="Q25">
        <f>[4]CRP_Outcome_ELV!$O25</f>
        <v>8</v>
      </c>
      <c r="R25">
        <f>[4]CRP_Outcome_ELV!$BF25</f>
        <v>6</v>
      </c>
      <c r="S25">
        <f>[4]CRP_Outcome_ELV!$BG25</f>
        <v>8</v>
      </c>
      <c r="T25">
        <f>[4]CRP_Outcome_ELV!$BH25</f>
        <v>5</v>
      </c>
      <c r="V25">
        <f>[5]CRP_Outcome_ELV!$O25</f>
        <v>8</v>
      </c>
      <c r="W25">
        <f>[5]CRP_Outcome_ELV!$BF25</f>
        <v>8</v>
      </c>
      <c r="X25">
        <f>[5]CRP_Outcome_ELV!$BG25</f>
        <v>6</v>
      </c>
      <c r="Y25">
        <f>[5]CRP_Outcome_ELV!$BH25</f>
        <v>0</v>
      </c>
      <c r="AA25">
        <f>[6]CRP_Outcome_ELV!$O25</f>
        <v>8</v>
      </c>
      <c r="AB25">
        <f>[6]CRP_Outcome_ELV!$BF25</f>
        <v>12</v>
      </c>
      <c r="AC25">
        <f>[6]CRP_Outcome_ELV!$BG25</f>
        <v>9</v>
      </c>
      <c r="AD25">
        <f>[6]CRP_Outcome_ELV!$BH25</f>
        <v>1</v>
      </c>
      <c r="AF25">
        <f>[7]CRP_Outcome_ELV!$O25</f>
        <v>8</v>
      </c>
      <c r="AG25">
        <f>[7]CRP_Outcome_ELV!$BF25</f>
        <v>14</v>
      </c>
      <c r="AH25">
        <f>[7]CRP_Outcome_ELV!$BG25</f>
        <v>9</v>
      </c>
      <c r="AI25">
        <f>[7]CRP_Outcome_ELV!$BH25</f>
        <v>8</v>
      </c>
      <c r="AK25">
        <f>[8]CRP_Outcome_ELV!$O25</f>
        <v>8</v>
      </c>
      <c r="AL25">
        <f>[8]CRP_Outcome_ELV!$BF25</f>
        <v>5</v>
      </c>
      <c r="AM25">
        <f>[8]CRP_Outcome_ELV!$BG25</f>
        <v>6</v>
      </c>
      <c r="AN25">
        <f>[8]CRP_Outcome_ELV!$BH25</f>
        <v>0</v>
      </c>
      <c r="AP25">
        <f>[9]CRP_Outcome_ELV!$O25</f>
        <v>8</v>
      </c>
      <c r="AQ25">
        <f>[9]CRP_Outcome_ELV!$BF25</f>
        <v>12</v>
      </c>
      <c r="AR25">
        <f>[9]CRP_Outcome_ELV!$BG25</f>
        <v>9</v>
      </c>
      <c r="AS25">
        <f>[9]CRP_Outcome_ELV!$BH25</f>
        <v>5</v>
      </c>
      <c r="AU25">
        <f>[10]CRP_Outcome_ELV!$O25</f>
        <v>8</v>
      </c>
      <c r="AV25">
        <f>[10]CRP_Outcome_ELV!$BF25</f>
        <v>28</v>
      </c>
      <c r="AW25">
        <f>[10]CRP_Outcome_ELV!$BG25</f>
        <v>8</v>
      </c>
      <c r="AX25">
        <f>[10]CRP_Outcome_ELV!$BH25</f>
        <v>0</v>
      </c>
      <c r="AZ25">
        <f t="shared" si="0"/>
        <v>8</v>
      </c>
      <c r="BA25">
        <f t="shared" si="0"/>
        <v>14.8</v>
      </c>
      <c r="BB25">
        <f t="shared" si="0"/>
        <v>8</v>
      </c>
      <c r="BC25">
        <f t="shared" si="0"/>
        <v>3.8</v>
      </c>
    </row>
    <row r="26" spans="1:55" x14ac:dyDescent="0.35">
      <c r="A26">
        <v>24</v>
      </c>
      <c r="B26">
        <f>[1]CRP_Outcome_ELV!$O26</f>
        <v>8</v>
      </c>
      <c r="C26">
        <f>[1]CRP_Outcome_ELV!$BF26</f>
        <v>21</v>
      </c>
      <c r="D26">
        <f>[1]CRP_Outcome_ELV!$BG26</f>
        <v>8</v>
      </c>
      <c r="E26">
        <f>[1]CRP_Outcome_ELV!$BH26</f>
        <v>1</v>
      </c>
      <c r="G26">
        <f>[2]CRP_Outcome_ELV!$O26</f>
        <v>8</v>
      </c>
      <c r="H26">
        <f>[2]CRP_Outcome_ELV!$BF26</f>
        <v>6</v>
      </c>
      <c r="I26">
        <f>[2]CRP_Outcome_ELV!$BG26</f>
        <v>8</v>
      </c>
      <c r="J26">
        <f>[2]CRP_Outcome_ELV!$BH26</f>
        <v>4</v>
      </c>
      <c r="L26">
        <f>[3]CRP_Outcome_ELV!$O26</f>
        <v>8</v>
      </c>
      <c r="M26">
        <f>[3]CRP_Outcome_ELV!$BF26</f>
        <v>0</v>
      </c>
      <c r="N26">
        <f>[3]CRP_Outcome_ELV!$BG26</f>
        <v>9</v>
      </c>
      <c r="O26">
        <f>[3]CRP_Outcome_ELV!$BH26</f>
        <v>1</v>
      </c>
      <c r="Q26">
        <f>[4]CRP_Outcome_ELV!$O26</f>
        <v>8</v>
      </c>
      <c r="R26">
        <f>[4]CRP_Outcome_ELV!$BF26</f>
        <v>0</v>
      </c>
      <c r="S26">
        <f>[4]CRP_Outcome_ELV!$BG26</f>
        <v>9</v>
      </c>
      <c r="T26">
        <f>[4]CRP_Outcome_ELV!$BH26</f>
        <v>12</v>
      </c>
      <c r="V26">
        <f>[5]CRP_Outcome_ELV!$O26</f>
        <v>8</v>
      </c>
      <c r="W26">
        <f>[5]CRP_Outcome_ELV!$BF26</f>
        <v>1</v>
      </c>
      <c r="X26">
        <f>[5]CRP_Outcome_ELV!$BG26</f>
        <v>7</v>
      </c>
      <c r="Y26">
        <f>[5]CRP_Outcome_ELV!$BH26</f>
        <v>1</v>
      </c>
      <c r="AA26">
        <f>[6]CRP_Outcome_ELV!$O26</f>
        <v>8</v>
      </c>
      <c r="AB26">
        <f>[6]CRP_Outcome_ELV!$BF26</f>
        <v>0</v>
      </c>
      <c r="AC26">
        <f>[6]CRP_Outcome_ELV!$BG26</f>
        <v>10</v>
      </c>
      <c r="AD26">
        <f>[6]CRP_Outcome_ELV!$BH26</f>
        <v>12</v>
      </c>
      <c r="AF26">
        <f>[7]CRP_Outcome_ELV!$O26</f>
        <v>8</v>
      </c>
      <c r="AG26">
        <f>[7]CRP_Outcome_ELV!$BF26</f>
        <v>0</v>
      </c>
      <c r="AH26">
        <f>[7]CRP_Outcome_ELV!$BG26</f>
        <v>9</v>
      </c>
      <c r="AI26">
        <f>[7]CRP_Outcome_ELV!$BH26</f>
        <v>4</v>
      </c>
      <c r="AK26">
        <f>[8]CRP_Outcome_ELV!$O26</f>
        <v>8</v>
      </c>
      <c r="AL26">
        <f>[8]CRP_Outcome_ELV!$BF26</f>
        <v>5</v>
      </c>
      <c r="AM26">
        <f>[8]CRP_Outcome_ELV!$BG26</f>
        <v>6</v>
      </c>
      <c r="AN26">
        <f>[8]CRP_Outcome_ELV!$BH26</f>
        <v>0</v>
      </c>
      <c r="AP26">
        <f>[9]CRP_Outcome_ELV!$O26</f>
        <v>8</v>
      </c>
      <c r="AQ26">
        <f>[9]CRP_Outcome_ELV!$BF26</f>
        <v>4</v>
      </c>
      <c r="AR26">
        <f>[9]CRP_Outcome_ELV!$BG26</f>
        <v>9</v>
      </c>
      <c r="AS26">
        <f>[9]CRP_Outcome_ELV!$BH26</f>
        <v>5</v>
      </c>
      <c r="AU26">
        <f>[10]CRP_Outcome_ELV!$O26</f>
        <v>8</v>
      </c>
      <c r="AV26">
        <f>[10]CRP_Outcome_ELV!$BF26</f>
        <v>2</v>
      </c>
      <c r="AW26">
        <f>[10]CRP_Outcome_ELV!$BG26</f>
        <v>9</v>
      </c>
      <c r="AX26">
        <f>[10]CRP_Outcome_ELV!$BH26</f>
        <v>0</v>
      </c>
      <c r="AZ26">
        <f t="shared" si="0"/>
        <v>8</v>
      </c>
      <c r="BA26">
        <f t="shared" si="0"/>
        <v>3.9</v>
      </c>
      <c r="BB26">
        <f t="shared" si="0"/>
        <v>8.4</v>
      </c>
      <c r="BC26">
        <f t="shared" si="0"/>
        <v>4</v>
      </c>
    </row>
    <row r="27" spans="1:55" x14ac:dyDescent="0.35">
      <c r="A27">
        <v>25</v>
      </c>
      <c r="B27">
        <f>[1]CRP_Outcome_ELV!$O27</f>
        <v>8</v>
      </c>
      <c r="C27">
        <f>[1]CRP_Outcome_ELV!$BF27</f>
        <v>7</v>
      </c>
      <c r="D27">
        <f>[1]CRP_Outcome_ELV!$BG27</f>
        <v>8</v>
      </c>
      <c r="E27">
        <f>[1]CRP_Outcome_ELV!$BH27</f>
        <v>8</v>
      </c>
      <c r="G27">
        <f>[2]CRP_Outcome_ELV!$O27</f>
        <v>8</v>
      </c>
      <c r="H27">
        <f>[2]CRP_Outcome_ELV!$BF27</f>
        <v>0</v>
      </c>
      <c r="I27">
        <f>[2]CRP_Outcome_ELV!$BG27</f>
        <v>9</v>
      </c>
      <c r="J27">
        <f>[2]CRP_Outcome_ELV!$BH27</f>
        <v>3</v>
      </c>
      <c r="L27">
        <f>[3]CRP_Outcome_ELV!$O27</f>
        <v>8</v>
      </c>
      <c r="M27">
        <f>[3]CRP_Outcome_ELV!$BF27</f>
        <v>9</v>
      </c>
      <c r="N27">
        <f>[3]CRP_Outcome_ELV!$BG27</f>
        <v>9</v>
      </c>
      <c r="O27">
        <f>[3]CRP_Outcome_ELV!$BH27</f>
        <v>3</v>
      </c>
      <c r="Q27">
        <f>[4]CRP_Outcome_ELV!$O27</f>
        <v>8</v>
      </c>
      <c r="R27">
        <f>[4]CRP_Outcome_ELV!$BF27</f>
        <v>0</v>
      </c>
      <c r="S27">
        <f>[4]CRP_Outcome_ELV!$BG27</f>
        <v>9</v>
      </c>
      <c r="T27">
        <f>[4]CRP_Outcome_ELV!$BH27</f>
        <v>9</v>
      </c>
      <c r="V27">
        <f>[5]CRP_Outcome_ELV!$O27</f>
        <v>8</v>
      </c>
      <c r="W27">
        <f>[5]CRP_Outcome_ELV!$BF27</f>
        <v>0</v>
      </c>
      <c r="X27">
        <f>[5]CRP_Outcome_ELV!$BG27</f>
        <v>5</v>
      </c>
      <c r="Y27">
        <f>[5]CRP_Outcome_ELV!$BH27</f>
        <v>9</v>
      </c>
      <c r="AA27">
        <f>[6]CRP_Outcome_ELV!$O27</f>
        <v>8</v>
      </c>
      <c r="AB27">
        <f>[6]CRP_Outcome_ELV!$BF27</f>
        <v>0</v>
      </c>
      <c r="AC27">
        <f>[6]CRP_Outcome_ELV!$BG27</f>
        <v>9</v>
      </c>
      <c r="AD27">
        <f>[6]CRP_Outcome_ELV!$BH27</f>
        <v>13</v>
      </c>
      <c r="AF27">
        <f>[7]CRP_Outcome_ELV!$O27</f>
        <v>8</v>
      </c>
      <c r="AG27">
        <f>[7]CRP_Outcome_ELV!$BF27</f>
        <v>2</v>
      </c>
      <c r="AH27">
        <f>[7]CRP_Outcome_ELV!$BG27</f>
        <v>9</v>
      </c>
      <c r="AI27">
        <f>[7]CRP_Outcome_ELV!$BH27</f>
        <v>14</v>
      </c>
      <c r="AK27">
        <f>[8]CRP_Outcome_ELV!$O27</f>
        <v>8</v>
      </c>
      <c r="AL27">
        <f>[8]CRP_Outcome_ELV!$BF27</f>
        <v>0</v>
      </c>
      <c r="AM27">
        <f>[8]CRP_Outcome_ELV!$BG27</f>
        <v>6</v>
      </c>
      <c r="AN27">
        <f>[8]CRP_Outcome_ELV!$BH27</f>
        <v>5</v>
      </c>
      <c r="AP27">
        <f>[9]CRP_Outcome_ELV!$O27</f>
        <v>8</v>
      </c>
      <c r="AQ27">
        <f>[9]CRP_Outcome_ELV!$BF27</f>
        <v>12</v>
      </c>
      <c r="AR27">
        <f>[9]CRP_Outcome_ELV!$BG27</f>
        <v>9</v>
      </c>
      <c r="AS27">
        <f>[9]CRP_Outcome_ELV!$BH27</f>
        <v>6</v>
      </c>
      <c r="AU27">
        <f>[10]CRP_Outcome_ELV!$O27</f>
        <v>8</v>
      </c>
      <c r="AV27">
        <f>[10]CRP_Outcome_ELV!$BF27</f>
        <v>0</v>
      </c>
      <c r="AW27">
        <f>[10]CRP_Outcome_ELV!$BG27</f>
        <v>9</v>
      </c>
      <c r="AX27">
        <f>[10]CRP_Outcome_ELV!$BH27</f>
        <v>4</v>
      </c>
      <c r="AZ27">
        <f t="shared" si="0"/>
        <v>8</v>
      </c>
      <c r="BA27">
        <f t="shared" si="0"/>
        <v>3</v>
      </c>
      <c r="BB27">
        <f t="shared" si="0"/>
        <v>8.1999999999999993</v>
      </c>
      <c r="BC27">
        <f t="shared" si="0"/>
        <v>7.4</v>
      </c>
    </row>
    <row r="28" spans="1:55" x14ac:dyDescent="0.35">
      <c r="A28">
        <v>26</v>
      </c>
      <c r="B28">
        <f>[1]CRP_Outcome_ELV!$O28</f>
        <v>8</v>
      </c>
      <c r="C28">
        <f>[1]CRP_Outcome_ELV!$BF28</f>
        <v>0</v>
      </c>
      <c r="D28">
        <f>[1]CRP_Outcome_ELV!$BG28</f>
        <v>9</v>
      </c>
      <c r="E28">
        <f>[1]CRP_Outcome_ELV!$BH28</f>
        <v>7</v>
      </c>
      <c r="G28">
        <f>[2]CRP_Outcome_ELV!$O28</f>
        <v>8</v>
      </c>
      <c r="H28">
        <f>[2]CRP_Outcome_ELV!$BF28</f>
        <v>0</v>
      </c>
      <c r="I28">
        <f>[2]CRP_Outcome_ELV!$BG28</f>
        <v>9</v>
      </c>
      <c r="J28">
        <f>[2]CRP_Outcome_ELV!$BH28</f>
        <v>7</v>
      </c>
      <c r="L28">
        <f>[3]CRP_Outcome_ELV!$O28</f>
        <v>8</v>
      </c>
      <c r="M28">
        <f>[3]CRP_Outcome_ELV!$BF28</f>
        <v>0</v>
      </c>
      <c r="N28">
        <f>[3]CRP_Outcome_ELV!$BG28</f>
        <v>9</v>
      </c>
      <c r="O28">
        <f>[3]CRP_Outcome_ELV!$BH28</f>
        <v>10</v>
      </c>
      <c r="Q28">
        <f>[4]CRP_Outcome_ELV!$O28</f>
        <v>8</v>
      </c>
      <c r="R28">
        <f>[4]CRP_Outcome_ELV!$BF28</f>
        <v>13</v>
      </c>
      <c r="S28">
        <f>[4]CRP_Outcome_ELV!$BG28</f>
        <v>9</v>
      </c>
      <c r="T28">
        <f>[4]CRP_Outcome_ELV!$BH28</f>
        <v>11</v>
      </c>
      <c r="V28">
        <f>[5]CRP_Outcome_ELV!$O28</f>
        <v>8</v>
      </c>
      <c r="W28">
        <f>[5]CRP_Outcome_ELV!$BF28</f>
        <v>0</v>
      </c>
      <c r="X28">
        <f>[5]CRP_Outcome_ELV!$BG28</f>
        <v>5</v>
      </c>
      <c r="Y28">
        <f>[5]CRP_Outcome_ELV!$BH28</f>
        <v>9</v>
      </c>
      <c r="AA28">
        <f>[6]CRP_Outcome_ELV!$O28</f>
        <v>8</v>
      </c>
      <c r="AB28">
        <f>[6]CRP_Outcome_ELV!$BF28</f>
        <v>6</v>
      </c>
      <c r="AC28">
        <f>[6]CRP_Outcome_ELV!$BG28</f>
        <v>9</v>
      </c>
      <c r="AD28">
        <f>[6]CRP_Outcome_ELV!$BH28</f>
        <v>17</v>
      </c>
      <c r="AF28">
        <f>[7]CRP_Outcome_ELV!$O28</f>
        <v>8</v>
      </c>
      <c r="AG28">
        <f>[7]CRP_Outcome_ELV!$BF28</f>
        <v>1</v>
      </c>
      <c r="AH28">
        <f>[7]CRP_Outcome_ELV!$BG28</f>
        <v>10</v>
      </c>
      <c r="AI28">
        <f>[7]CRP_Outcome_ELV!$BH28</f>
        <v>15</v>
      </c>
      <c r="AK28">
        <f>[8]CRP_Outcome_ELV!$O28</f>
        <v>8</v>
      </c>
      <c r="AL28">
        <f>[8]CRP_Outcome_ELV!$BF28</f>
        <v>0</v>
      </c>
      <c r="AM28">
        <f>[8]CRP_Outcome_ELV!$BG28</f>
        <v>5</v>
      </c>
      <c r="AN28">
        <f>[8]CRP_Outcome_ELV!$BH28</f>
        <v>6</v>
      </c>
      <c r="AP28">
        <f>[9]CRP_Outcome_ELV!$O28</f>
        <v>8</v>
      </c>
      <c r="AQ28">
        <f>[9]CRP_Outcome_ELV!$BF28</f>
        <v>0</v>
      </c>
      <c r="AR28">
        <f>[9]CRP_Outcome_ELV!$BG28</f>
        <v>9</v>
      </c>
      <c r="AS28">
        <f>[9]CRP_Outcome_ELV!$BH28</f>
        <v>10</v>
      </c>
      <c r="AU28">
        <f>[10]CRP_Outcome_ELV!$O28</f>
        <v>8</v>
      </c>
      <c r="AV28">
        <f>[10]CRP_Outcome_ELV!$BF28</f>
        <v>0</v>
      </c>
      <c r="AW28">
        <f>[10]CRP_Outcome_ELV!$BG28</f>
        <v>9</v>
      </c>
      <c r="AX28">
        <f>[10]CRP_Outcome_ELV!$BH28</f>
        <v>12</v>
      </c>
      <c r="AZ28">
        <f t="shared" si="0"/>
        <v>8</v>
      </c>
      <c r="BA28">
        <f t="shared" si="0"/>
        <v>2</v>
      </c>
      <c r="BB28">
        <f t="shared" si="0"/>
        <v>8.3000000000000007</v>
      </c>
      <c r="BC28">
        <f t="shared" si="0"/>
        <v>10.4</v>
      </c>
    </row>
    <row r="29" spans="1:55" x14ac:dyDescent="0.35">
      <c r="A29">
        <v>27</v>
      </c>
      <c r="B29">
        <f>[1]CRP_Outcome_ELV!$O29</f>
        <v>8</v>
      </c>
      <c r="C29">
        <f>[1]CRP_Outcome_ELV!$BF29</f>
        <v>2</v>
      </c>
      <c r="D29">
        <f>[1]CRP_Outcome_ELV!$BG29</f>
        <v>9</v>
      </c>
      <c r="E29">
        <f>[1]CRP_Outcome_ELV!$BH29</f>
        <v>10</v>
      </c>
      <c r="G29">
        <f>[2]CRP_Outcome_ELV!$O29</f>
        <v>8</v>
      </c>
      <c r="H29">
        <f>[2]CRP_Outcome_ELV!$BF29</f>
        <v>0</v>
      </c>
      <c r="I29">
        <f>[2]CRP_Outcome_ELV!$BG29</f>
        <v>9</v>
      </c>
      <c r="J29">
        <f>[2]CRP_Outcome_ELV!$BH29</f>
        <v>13</v>
      </c>
      <c r="L29">
        <f>[3]CRP_Outcome_ELV!$O29</f>
        <v>8</v>
      </c>
      <c r="M29">
        <f>[3]CRP_Outcome_ELV!$BF29</f>
        <v>0</v>
      </c>
      <c r="N29">
        <f>[3]CRP_Outcome_ELV!$BG29</f>
        <v>9</v>
      </c>
      <c r="O29">
        <f>[3]CRP_Outcome_ELV!$BH29</f>
        <v>12</v>
      </c>
      <c r="Q29">
        <f>[4]CRP_Outcome_ELV!$O29</f>
        <v>8</v>
      </c>
      <c r="R29">
        <f>[4]CRP_Outcome_ELV!$BF29</f>
        <v>12</v>
      </c>
      <c r="S29">
        <f>[4]CRP_Outcome_ELV!$BG29</f>
        <v>9</v>
      </c>
      <c r="T29">
        <f>[4]CRP_Outcome_ELV!$BH29</f>
        <v>3</v>
      </c>
      <c r="V29">
        <f>[5]CRP_Outcome_ELV!$O29</f>
        <v>8</v>
      </c>
      <c r="W29">
        <f>[5]CRP_Outcome_ELV!$BF29</f>
        <v>8</v>
      </c>
      <c r="X29">
        <f>[5]CRP_Outcome_ELV!$BG29</f>
        <v>6</v>
      </c>
      <c r="Y29">
        <f>[5]CRP_Outcome_ELV!$BH29</f>
        <v>2</v>
      </c>
      <c r="AA29">
        <f>[6]CRP_Outcome_ELV!$O29</f>
        <v>8</v>
      </c>
      <c r="AB29">
        <f>[6]CRP_Outcome_ELV!$BF29</f>
        <v>13</v>
      </c>
      <c r="AC29">
        <f>[6]CRP_Outcome_ELV!$BG29</f>
        <v>9</v>
      </c>
      <c r="AD29">
        <f>[6]CRP_Outcome_ELV!$BH29</f>
        <v>1</v>
      </c>
      <c r="AF29">
        <f>[7]CRP_Outcome_ELV!$O29</f>
        <v>8</v>
      </c>
      <c r="AG29">
        <f>[7]CRP_Outcome_ELV!$BF29</f>
        <v>20</v>
      </c>
      <c r="AH29">
        <f>[7]CRP_Outcome_ELV!$BG29</f>
        <v>9</v>
      </c>
      <c r="AI29">
        <f>[7]CRP_Outcome_ELV!$BH29</f>
        <v>1</v>
      </c>
      <c r="AK29">
        <f>[8]CRP_Outcome_ELV!$O29</f>
        <v>8</v>
      </c>
      <c r="AL29">
        <f>[8]CRP_Outcome_ELV!$BF29</f>
        <v>0</v>
      </c>
      <c r="AM29">
        <f>[8]CRP_Outcome_ELV!$BG29</f>
        <v>6</v>
      </c>
      <c r="AN29">
        <f>[8]CRP_Outcome_ELV!$BH29</f>
        <v>8</v>
      </c>
      <c r="AP29">
        <f>[9]CRP_Outcome_ELV!$O29</f>
        <v>8</v>
      </c>
      <c r="AQ29">
        <f>[9]CRP_Outcome_ELV!$BF29</f>
        <v>0</v>
      </c>
      <c r="AR29">
        <f>[9]CRP_Outcome_ELV!$BG29</f>
        <v>9</v>
      </c>
      <c r="AS29">
        <f>[9]CRP_Outcome_ELV!$BH29</f>
        <v>10</v>
      </c>
      <c r="AU29">
        <f>[10]CRP_Outcome_ELV!$O29</f>
        <v>8</v>
      </c>
      <c r="AV29">
        <f>[10]CRP_Outcome_ELV!$BF29</f>
        <v>0</v>
      </c>
      <c r="AW29">
        <f>[10]CRP_Outcome_ELV!$BG29</f>
        <v>9</v>
      </c>
      <c r="AX29">
        <f>[10]CRP_Outcome_ELV!$BH29</f>
        <v>12</v>
      </c>
      <c r="AZ29">
        <f t="shared" si="0"/>
        <v>8</v>
      </c>
      <c r="BA29">
        <f t="shared" si="0"/>
        <v>5.5</v>
      </c>
      <c r="BB29">
        <f t="shared" si="0"/>
        <v>8.4</v>
      </c>
      <c r="BC29">
        <f t="shared" si="0"/>
        <v>7.2</v>
      </c>
    </row>
    <row r="30" spans="1:55" x14ac:dyDescent="0.35">
      <c r="A30">
        <v>28</v>
      </c>
      <c r="B30">
        <f>[1]CRP_Outcome_ELV!$O30</f>
        <v>8</v>
      </c>
      <c r="C30">
        <f>[1]CRP_Outcome_ELV!$BF30</f>
        <v>6</v>
      </c>
      <c r="D30">
        <f>[1]CRP_Outcome_ELV!$BG30</f>
        <v>9</v>
      </c>
      <c r="E30">
        <f>[1]CRP_Outcome_ELV!$BH30</f>
        <v>11</v>
      </c>
      <c r="G30">
        <f>[2]CRP_Outcome_ELV!$O30</f>
        <v>8</v>
      </c>
      <c r="H30">
        <f>[2]CRP_Outcome_ELV!$BF30</f>
        <v>15</v>
      </c>
      <c r="I30">
        <f>[2]CRP_Outcome_ELV!$BG30</f>
        <v>9</v>
      </c>
      <c r="J30">
        <f>[2]CRP_Outcome_ELV!$BH30</f>
        <v>9</v>
      </c>
      <c r="L30">
        <f>[3]CRP_Outcome_ELV!$O30</f>
        <v>8</v>
      </c>
      <c r="M30">
        <f>[3]CRP_Outcome_ELV!$BF30</f>
        <v>25</v>
      </c>
      <c r="N30">
        <f>[3]CRP_Outcome_ELV!$BG30</f>
        <v>8</v>
      </c>
      <c r="O30">
        <f>[3]CRP_Outcome_ELV!$BH30</f>
        <v>11</v>
      </c>
      <c r="Q30">
        <f>[4]CRP_Outcome_ELV!$O30</f>
        <v>8</v>
      </c>
      <c r="R30">
        <f>[4]CRP_Outcome_ELV!$BF30</f>
        <v>14</v>
      </c>
      <c r="S30">
        <f>[4]CRP_Outcome_ELV!$BG30</f>
        <v>8</v>
      </c>
      <c r="T30">
        <f>[4]CRP_Outcome_ELV!$BH30</f>
        <v>4</v>
      </c>
      <c r="V30">
        <f>[5]CRP_Outcome_ELV!$O30</f>
        <v>8</v>
      </c>
      <c r="W30">
        <f>[5]CRP_Outcome_ELV!$BF30</f>
        <v>13</v>
      </c>
      <c r="X30">
        <f>[5]CRP_Outcome_ELV!$BG30</f>
        <v>6</v>
      </c>
      <c r="Y30">
        <f>[5]CRP_Outcome_ELV!$BH30</f>
        <v>0</v>
      </c>
      <c r="AA30">
        <f>[6]CRP_Outcome_ELV!$O30</f>
        <v>8</v>
      </c>
      <c r="AB30">
        <f>[6]CRP_Outcome_ELV!$BF30</f>
        <v>23</v>
      </c>
      <c r="AC30">
        <f>[6]CRP_Outcome_ELV!$BG30</f>
        <v>9</v>
      </c>
      <c r="AD30">
        <f>[6]CRP_Outcome_ELV!$BH30</f>
        <v>0</v>
      </c>
      <c r="AF30">
        <f>[7]CRP_Outcome_ELV!$O30</f>
        <v>8</v>
      </c>
      <c r="AG30">
        <f>[7]CRP_Outcome_ELV!$BF30</f>
        <v>24</v>
      </c>
      <c r="AH30">
        <f>[7]CRP_Outcome_ELV!$BG30</f>
        <v>9</v>
      </c>
      <c r="AI30">
        <f>[7]CRP_Outcome_ELV!$BH30</f>
        <v>10</v>
      </c>
      <c r="AK30">
        <f>[8]CRP_Outcome_ELV!$O30</f>
        <v>8</v>
      </c>
      <c r="AL30">
        <f>[8]CRP_Outcome_ELV!$BF30</f>
        <v>4</v>
      </c>
      <c r="AM30">
        <f>[8]CRP_Outcome_ELV!$BG30</f>
        <v>6</v>
      </c>
      <c r="AN30">
        <f>[8]CRP_Outcome_ELV!$BH30</f>
        <v>1</v>
      </c>
      <c r="AP30">
        <f>[9]CRP_Outcome_ELV!$O30</f>
        <v>8</v>
      </c>
      <c r="AQ30">
        <f>[9]CRP_Outcome_ELV!$BF30</f>
        <v>27</v>
      </c>
      <c r="AR30">
        <f>[9]CRP_Outcome_ELV!$BG30</f>
        <v>9</v>
      </c>
      <c r="AS30">
        <f>[9]CRP_Outcome_ELV!$BH30</f>
        <v>8</v>
      </c>
      <c r="AU30">
        <f>[10]CRP_Outcome_ELV!$O30</f>
        <v>8</v>
      </c>
      <c r="AV30">
        <f>[10]CRP_Outcome_ELV!$BF30</f>
        <v>17</v>
      </c>
      <c r="AW30">
        <f>[10]CRP_Outcome_ELV!$BG30</f>
        <v>8</v>
      </c>
      <c r="AX30">
        <f>[10]CRP_Outcome_ELV!$BH30</f>
        <v>6</v>
      </c>
      <c r="AZ30">
        <f t="shared" si="0"/>
        <v>8</v>
      </c>
      <c r="BA30">
        <f t="shared" si="0"/>
        <v>16.8</v>
      </c>
      <c r="BB30">
        <f t="shared" si="0"/>
        <v>8.1</v>
      </c>
      <c r="BC30">
        <f t="shared" si="0"/>
        <v>6</v>
      </c>
    </row>
    <row r="31" spans="1:55" x14ac:dyDescent="0.35">
      <c r="A31">
        <v>29</v>
      </c>
      <c r="B31">
        <f>[1]CRP_Outcome_ELV!$O31</f>
        <v>8</v>
      </c>
      <c r="C31">
        <f>[1]CRP_Outcome_ELV!$BF31</f>
        <v>13</v>
      </c>
      <c r="D31">
        <f>[1]CRP_Outcome_ELV!$BG31</f>
        <v>9</v>
      </c>
      <c r="E31">
        <f>[1]CRP_Outcome_ELV!$BH31</f>
        <v>4</v>
      </c>
      <c r="G31">
        <f>[2]CRP_Outcome_ELV!$O31</f>
        <v>8</v>
      </c>
      <c r="H31">
        <f>[2]CRP_Outcome_ELV!$BF31</f>
        <v>30</v>
      </c>
      <c r="I31">
        <f>[2]CRP_Outcome_ELV!$BG31</f>
        <v>8</v>
      </c>
      <c r="J31">
        <f>[2]CRP_Outcome_ELV!$BH31</f>
        <v>7</v>
      </c>
      <c r="L31">
        <f>[3]CRP_Outcome_ELV!$O31</f>
        <v>8</v>
      </c>
      <c r="M31">
        <f>[3]CRP_Outcome_ELV!$BF31</f>
        <v>10</v>
      </c>
      <c r="N31">
        <f>[3]CRP_Outcome_ELV!$BG31</f>
        <v>8</v>
      </c>
      <c r="O31">
        <f>[3]CRP_Outcome_ELV!$BH31</f>
        <v>5</v>
      </c>
      <c r="Q31">
        <f>[4]CRP_Outcome_ELV!$O31</f>
        <v>8</v>
      </c>
      <c r="R31">
        <f>[4]CRP_Outcome_ELV!$BF31</f>
        <v>0</v>
      </c>
      <c r="S31">
        <f>[4]CRP_Outcome_ELV!$BG31</f>
        <v>8</v>
      </c>
      <c r="T31">
        <f>[4]CRP_Outcome_ELV!$BH31</f>
        <v>11</v>
      </c>
      <c r="V31">
        <f>[5]CRP_Outcome_ELV!$O31</f>
        <v>8</v>
      </c>
      <c r="W31">
        <f>[5]CRP_Outcome_ELV!$BF31</f>
        <v>0</v>
      </c>
      <c r="X31">
        <f>[5]CRP_Outcome_ELV!$BG31</f>
        <v>6</v>
      </c>
      <c r="Y31">
        <f>[5]CRP_Outcome_ELV!$BH31</f>
        <v>0</v>
      </c>
      <c r="AA31">
        <f>[6]CRP_Outcome_ELV!$O31</f>
        <v>8</v>
      </c>
      <c r="AB31">
        <f>[6]CRP_Outcome_ELV!$BF31</f>
        <v>0</v>
      </c>
      <c r="AC31">
        <f>[6]CRP_Outcome_ELV!$BG31</f>
        <v>10</v>
      </c>
      <c r="AD31">
        <f>[6]CRP_Outcome_ELV!$BH31</f>
        <v>12</v>
      </c>
      <c r="AF31">
        <f>[7]CRP_Outcome_ELV!$O31</f>
        <v>8</v>
      </c>
      <c r="AG31">
        <f>[7]CRP_Outcome_ELV!$BF31</f>
        <v>0</v>
      </c>
      <c r="AH31">
        <f>[7]CRP_Outcome_ELV!$BG31</f>
        <v>9</v>
      </c>
      <c r="AI31">
        <f>[7]CRP_Outcome_ELV!$BH31</f>
        <v>4</v>
      </c>
      <c r="AK31">
        <f>[8]CRP_Outcome_ELV!$O31</f>
        <v>8</v>
      </c>
      <c r="AL31">
        <f>[8]CRP_Outcome_ELV!$BF31</f>
        <v>9</v>
      </c>
      <c r="AM31">
        <f>[8]CRP_Outcome_ELV!$BG31</f>
        <v>6</v>
      </c>
      <c r="AN31">
        <f>[8]CRP_Outcome_ELV!$BH31</f>
        <v>0</v>
      </c>
      <c r="AP31">
        <f>[9]CRP_Outcome_ELV!$O31</f>
        <v>8</v>
      </c>
      <c r="AQ31">
        <f>[9]CRP_Outcome_ELV!$BF31</f>
        <v>4</v>
      </c>
      <c r="AR31">
        <f>[9]CRP_Outcome_ELV!$BG31</f>
        <v>9</v>
      </c>
      <c r="AS31">
        <f>[9]CRP_Outcome_ELV!$BH31</f>
        <v>6</v>
      </c>
      <c r="AU31">
        <f>[10]CRP_Outcome_ELV!$O31</f>
        <v>8</v>
      </c>
      <c r="AV31">
        <f>[10]CRP_Outcome_ELV!$BF31</f>
        <v>15</v>
      </c>
      <c r="AW31">
        <f>[10]CRP_Outcome_ELV!$BG31</f>
        <v>8</v>
      </c>
      <c r="AX31">
        <f>[10]CRP_Outcome_ELV!$BH31</f>
        <v>2</v>
      </c>
      <c r="AZ31">
        <f t="shared" si="0"/>
        <v>8</v>
      </c>
      <c r="BA31">
        <f t="shared" si="0"/>
        <v>8.1</v>
      </c>
      <c r="BB31">
        <f t="shared" si="0"/>
        <v>8.1</v>
      </c>
      <c r="BC31">
        <f t="shared" si="0"/>
        <v>5.0999999999999996</v>
      </c>
    </row>
    <row r="32" spans="1:55" x14ac:dyDescent="0.35">
      <c r="A32">
        <v>30</v>
      </c>
      <c r="B32">
        <f>[1]CRP_Outcome_ELV!$O32</f>
        <v>8</v>
      </c>
      <c r="C32">
        <f>[1]CRP_Outcome_ELV!$BF32</f>
        <v>15</v>
      </c>
      <c r="D32">
        <f>[1]CRP_Outcome_ELV!$BG32</f>
        <v>8</v>
      </c>
      <c r="E32">
        <f>[1]CRP_Outcome_ELV!$BH32</f>
        <v>8</v>
      </c>
      <c r="G32">
        <f>[2]CRP_Outcome_ELV!$O32</f>
        <v>8</v>
      </c>
      <c r="H32">
        <f>[2]CRP_Outcome_ELV!$BF32</f>
        <v>0</v>
      </c>
      <c r="I32">
        <f>[2]CRP_Outcome_ELV!$BG32</f>
        <v>8</v>
      </c>
      <c r="J32">
        <f>[2]CRP_Outcome_ELV!$BH32</f>
        <v>5</v>
      </c>
      <c r="L32">
        <f>[3]CRP_Outcome_ELV!$O32</f>
        <v>8</v>
      </c>
      <c r="M32">
        <f>[3]CRP_Outcome_ELV!$BF32</f>
        <v>13</v>
      </c>
      <c r="N32">
        <f>[3]CRP_Outcome_ELV!$BG32</f>
        <v>9</v>
      </c>
      <c r="O32">
        <f>[3]CRP_Outcome_ELV!$BH32</f>
        <v>1</v>
      </c>
      <c r="Q32">
        <f>[4]CRP_Outcome_ELV!$O32</f>
        <v>8</v>
      </c>
      <c r="R32">
        <f>[4]CRP_Outcome_ELV!$BF32</f>
        <v>0</v>
      </c>
      <c r="S32">
        <f>[4]CRP_Outcome_ELV!$BG32</f>
        <v>9</v>
      </c>
      <c r="T32">
        <f>[4]CRP_Outcome_ELV!$BH32</f>
        <v>7</v>
      </c>
      <c r="V32">
        <f>[5]CRP_Outcome_ELV!$O32</f>
        <v>8</v>
      </c>
      <c r="W32">
        <f>[5]CRP_Outcome_ELV!$BF32</f>
        <v>0</v>
      </c>
      <c r="X32">
        <f>[5]CRP_Outcome_ELV!$BG32</f>
        <v>6</v>
      </c>
      <c r="Y32">
        <f>[5]CRP_Outcome_ELV!$BH32</f>
        <v>8</v>
      </c>
      <c r="AA32">
        <f>[6]CRP_Outcome_ELV!$O32</f>
        <v>8</v>
      </c>
      <c r="AB32">
        <f>[6]CRP_Outcome_ELV!$BF32</f>
        <v>0</v>
      </c>
      <c r="AC32">
        <f>[6]CRP_Outcome_ELV!$BG32</f>
        <v>9</v>
      </c>
      <c r="AD32">
        <f>[6]CRP_Outcome_ELV!$BH32</f>
        <v>13</v>
      </c>
      <c r="AF32">
        <f>[7]CRP_Outcome_ELV!$O32</f>
        <v>8</v>
      </c>
      <c r="AG32">
        <f>[7]CRP_Outcome_ELV!$BF32</f>
        <v>6</v>
      </c>
      <c r="AH32">
        <f>[7]CRP_Outcome_ELV!$BG32</f>
        <v>9</v>
      </c>
      <c r="AI32">
        <f>[7]CRP_Outcome_ELV!$BH32</f>
        <v>11</v>
      </c>
      <c r="AK32">
        <f>[8]CRP_Outcome_ELV!$O32</f>
        <v>8</v>
      </c>
      <c r="AL32">
        <f>[8]CRP_Outcome_ELV!$BF32</f>
        <v>0</v>
      </c>
      <c r="AM32">
        <f>[8]CRP_Outcome_ELV!$BG32</f>
        <v>6</v>
      </c>
      <c r="AN32">
        <f>[8]CRP_Outcome_ELV!$BH32</f>
        <v>3</v>
      </c>
      <c r="AP32">
        <f>[9]CRP_Outcome_ELV!$O32</f>
        <v>8</v>
      </c>
      <c r="AQ32">
        <f>[9]CRP_Outcome_ELV!$BF32</f>
        <v>0</v>
      </c>
      <c r="AR32">
        <f>[9]CRP_Outcome_ELV!$BG32</f>
        <v>9</v>
      </c>
      <c r="AS32">
        <f>[9]CRP_Outcome_ELV!$BH32</f>
        <v>5</v>
      </c>
      <c r="AU32">
        <f>[10]CRP_Outcome_ELV!$O32</f>
        <v>8</v>
      </c>
      <c r="AV32">
        <f>[10]CRP_Outcome_ELV!$BF32</f>
        <v>0</v>
      </c>
      <c r="AW32">
        <f>[10]CRP_Outcome_ELV!$BG32</f>
        <v>9</v>
      </c>
      <c r="AX32">
        <f>[10]CRP_Outcome_ELV!$BH32</f>
        <v>0</v>
      </c>
      <c r="AZ32">
        <f t="shared" si="0"/>
        <v>8</v>
      </c>
      <c r="BA32">
        <f t="shared" si="0"/>
        <v>3.4</v>
      </c>
      <c r="BB32">
        <f t="shared" si="0"/>
        <v>8.1999999999999993</v>
      </c>
      <c r="BC32">
        <f t="shared" si="0"/>
        <v>6.1</v>
      </c>
    </row>
    <row r="33" spans="1:56" x14ac:dyDescent="0.35">
      <c r="A33">
        <v>31</v>
      </c>
      <c r="B33">
        <f>[1]CRP_Outcome_ELV!$O33</f>
        <v>8</v>
      </c>
      <c r="C33">
        <f>[1]CRP_Outcome_ELV!$BF33</f>
        <v>0</v>
      </c>
      <c r="D33">
        <f>[1]CRP_Outcome_ELV!$BG33</f>
        <v>8</v>
      </c>
      <c r="E33">
        <f>[1]CRP_Outcome_ELV!$BH33</f>
        <v>7</v>
      </c>
      <c r="G33">
        <f>[2]CRP_Outcome_ELV!$O33</f>
        <v>8</v>
      </c>
      <c r="H33">
        <f>[2]CRP_Outcome_ELV!$BF33</f>
        <v>0</v>
      </c>
      <c r="I33">
        <f>[2]CRP_Outcome_ELV!$BG33</f>
        <v>9</v>
      </c>
      <c r="J33">
        <f>[2]CRP_Outcome_ELV!$BH33</f>
        <v>3</v>
      </c>
      <c r="L33">
        <f>[3]CRP_Outcome_ELV!$O33</f>
        <v>8</v>
      </c>
      <c r="M33">
        <f>[3]CRP_Outcome_ELV!$BF33</f>
        <v>0</v>
      </c>
      <c r="N33">
        <f>[3]CRP_Outcome_ELV!$BG33</f>
        <v>9</v>
      </c>
      <c r="O33">
        <f>[3]CRP_Outcome_ELV!$BH33</f>
        <v>4</v>
      </c>
      <c r="Q33">
        <f>[4]CRP_Outcome_ELV!$O33</f>
        <v>8</v>
      </c>
      <c r="R33">
        <f>[4]CRP_Outcome_ELV!$BF33</f>
        <v>8</v>
      </c>
      <c r="S33">
        <f>[4]CRP_Outcome_ELV!$BG33</f>
        <v>9</v>
      </c>
      <c r="T33">
        <f>[4]CRP_Outcome_ELV!$BH33</f>
        <v>10</v>
      </c>
      <c r="V33">
        <f>[5]CRP_Outcome_ELV!$O33</f>
        <v>8</v>
      </c>
      <c r="W33">
        <f>[5]CRP_Outcome_ELV!$BF33</f>
        <v>0</v>
      </c>
      <c r="X33">
        <f>[5]CRP_Outcome_ELV!$BG33</f>
        <v>5</v>
      </c>
      <c r="Y33">
        <f>[5]CRP_Outcome_ELV!$BH33</f>
        <v>10</v>
      </c>
      <c r="AA33">
        <f>[6]CRP_Outcome_ELV!$O33</f>
        <v>8</v>
      </c>
      <c r="AB33">
        <f>[6]CRP_Outcome_ELV!$BF33</f>
        <v>6</v>
      </c>
      <c r="AC33">
        <f>[6]CRP_Outcome_ELV!$BG33</f>
        <v>9</v>
      </c>
      <c r="AD33">
        <f>[6]CRP_Outcome_ELV!$BH33</f>
        <v>17</v>
      </c>
      <c r="AF33">
        <f>[7]CRP_Outcome_ELV!$O33</f>
        <v>8</v>
      </c>
      <c r="AG33">
        <f>[7]CRP_Outcome_ELV!$BF33</f>
        <v>1</v>
      </c>
      <c r="AH33">
        <f>[7]CRP_Outcome_ELV!$BG33</f>
        <v>10</v>
      </c>
      <c r="AI33">
        <f>[7]CRP_Outcome_ELV!$BH33</f>
        <v>14</v>
      </c>
      <c r="AK33">
        <f>[8]CRP_Outcome_ELV!$O33</f>
        <v>8</v>
      </c>
      <c r="AL33">
        <f>[8]CRP_Outcome_ELV!$BF33</f>
        <v>0</v>
      </c>
      <c r="AM33">
        <f>[8]CRP_Outcome_ELV!$BG33</f>
        <v>7</v>
      </c>
      <c r="AN33">
        <f>[8]CRP_Outcome_ELV!$BH33</f>
        <v>5</v>
      </c>
      <c r="AP33">
        <f>[9]CRP_Outcome_ELV!$O33</f>
        <v>8</v>
      </c>
      <c r="AQ33">
        <f>[9]CRP_Outcome_ELV!$BF33</f>
        <v>31</v>
      </c>
      <c r="AR33">
        <f>[9]CRP_Outcome_ELV!$BG33</f>
        <v>9</v>
      </c>
      <c r="AS33">
        <f>[9]CRP_Outcome_ELV!$BH33</f>
        <v>7</v>
      </c>
      <c r="AU33">
        <f>[10]CRP_Outcome_ELV!$O33</f>
        <v>8</v>
      </c>
      <c r="AV33">
        <f>[10]CRP_Outcome_ELV!$BF33</f>
        <v>0</v>
      </c>
      <c r="AW33">
        <f>[10]CRP_Outcome_ELV!$BG33</f>
        <v>9</v>
      </c>
      <c r="AX33">
        <f>[10]CRP_Outcome_ELV!$BH33</f>
        <v>4</v>
      </c>
      <c r="AZ33">
        <f t="shared" si="0"/>
        <v>8</v>
      </c>
      <c r="BA33">
        <f t="shared" si="0"/>
        <v>4.5999999999999996</v>
      </c>
      <c r="BB33">
        <f t="shared" si="0"/>
        <v>8.4</v>
      </c>
      <c r="BC33">
        <f t="shared" si="0"/>
        <v>8.1</v>
      </c>
    </row>
    <row r="34" spans="1:56" x14ac:dyDescent="0.35">
      <c r="A34">
        <v>32</v>
      </c>
      <c r="B34">
        <f>[1]CRP_Outcome_ELV!$O34</f>
        <v>8</v>
      </c>
      <c r="C34">
        <f>[1]CRP_Outcome_ELV!$BF34</f>
        <v>4</v>
      </c>
      <c r="D34">
        <f>[1]CRP_Outcome_ELV!$BG34</f>
        <v>9</v>
      </c>
      <c r="E34">
        <f>[1]CRP_Outcome_ELV!$BH34</f>
        <v>6</v>
      </c>
      <c r="G34">
        <f>[2]CRP_Outcome_ELV!$O34</f>
        <v>8</v>
      </c>
      <c r="H34">
        <f>[2]CRP_Outcome_ELV!$BF34</f>
        <v>0</v>
      </c>
      <c r="I34">
        <f>[2]CRP_Outcome_ELV!$BG34</f>
        <v>9</v>
      </c>
      <c r="J34">
        <f>[2]CRP_Outcome_ELV!$BH34</f>
        <v>7</v>
      </c>
      <c r="L34">
        <f>[3]CRP_Outcome_ELV!$O34</f>
        <v>8</v>
      </c>
      <c r="M34">
        <f>[3]CRP_Outcome_ELV!$BF34</f>
        <v>0</v>
      </c>
      <c r="N34">
        <f>[3]CRP_Outcome_ELV!$BG34</f>
        <v>9</v>
      </c>
      <c r="O34">
        <f>[3]CRP_Outcome_ELV!$BH34</f>
        <v>10</v>
      </c>
      <c r="Q34">
        <f>[4]CRP_Outcome_ELV!$O34</f>
        <v>8</v>
      </c>
      <c r="R34">
        <f>[4]CRP_Outcome_ELV!$BF34</f>
        <v>7</v>
      </c>
      <c r="S34">
        <f>[4]CRP_Outcome_ELV!$BG34</f>
        <v>9</v>
      </c>
      <c r="T34">
        <f>[4]CRP_Outcome_ELV!$BH34</f>
        <v>7</v>
      </c>
      <c r="V34">
        <f>[5]CRP_Outcome_ELV!$O34</f>
        <v>8</v>
      </c>
      <c r="W34">
        <f>[5]CRP_Outcome_ELV!$BF34</f>
        <v>4</v>
      </c>
      <c r="X34">
        <f>[5]CRP_Outcome_ELV!$BG34</f>
        <v>6</v>
      </c>
      <c r="Y34">
        <f>[5]CRP_Outcome_ELV!$BH34</f>
        <v>5</v>
      </c>
      <c r="AA34">
        <f>[6]CRP_Outcome_ELV!$O34</f>
        <v>8</v>
      </c>
      <c r="AB34">
        <f>[6]CRP_Outcome_ELV!$BF34</f>
        <v>14</v>
      </c>
      <c r="AC34">
        <f>[6]CRP_Outcome_ELV!$BG34</f>
        <v>9</v>
      </c>
      <c r="AD34">
        <f>[6]CRP_Outcome_ELV!$BH34</f>
        <v>2</v>
      </c>
      <c r="AF34">
        <f>[7]CRP_Outcome_ELV!$O34</f>
        <v>8</v>
      </c>
      <c r="AG34">
        <f>[7]CRP_Outcome_ELV!$BF34</f>
        <v>14</v>
      </c>
      <c r="AH34">
        <f>[7]CRP_Outcome_ELV!$BG34</f>
        <v>9</v>
      </c>
      <c r="AI34">
        <f>[7]CRP_Outcome_ELV!$BH34</f>
        <v>2</v>
      </c>
      <c r="AK34">
        <f>[8]CRP_Outcome_ELV!$O34</f>
        <v>8</v>
      </c>
      <c r="AL34">
        <f>[8]CRP_Outcome_ELV!$BF34</f>
        <v>0</v>
      </c>
      <c r="AM34">
        <f>[8]CRP_Outcome_ELV!$BG34</f>
        <v>5</v>
      </c>
      <c r="AN34">
        <f>[8]CRP_Outcome_ELV!$BH34</f>
        <v>9</v>
      </c>
      <c r="AP34">
        <f>[9]CRP_Outcome_ELV!$O34</f>
        <v>8</v>
      </c>
      <c r="AQ34">
        <f>[9]CRP_Outcome_ELV!$BF34</f>
        <v>0</v>
      </c>
      <c r="AR34">
        <f>[9]CRP_Outcome_ELV!$BG34</f>
        <v>9</v>
      </c>
      <c r="AS34">
        <f>[9]CRP_Outcome_ELV!$BH34</f>
        <v>10</v>
      </c>
      <c r="AU34">
        <f>[10]CRP_Outcome_ELV!$O34</f>
        <v>8</v>
      </c>
      <c r="AV34">
        <f>[10]CRP_Outcome_ELV!$BF34</f>
        <v>0</v>
      </c>
      <c r="AW34">
        <f>[10]CRP_Outcome_ELV!$BG34</f>
        <v>9</v>
      </c>
      <c r="AX34">
        <f>[10]CRP_Outcome_ELV!$BH34</f>
        <v>12</v>
      </c>
      <c r="AZ34">
        <f t="shared" si="0"/>
        <v>8</v>
      </c>
      <c r="BA34">
        <f t="shared" si="0"/>
        <v>4.3</v>
      </c>
      <c r="BB34">
        <f t="shared" si="0"/>
        <v>8.3000000000000007</v>
      </c>
      <c r="BC34">
        <f t="shared" si="0"/>
        <v>7</v>
      </c>
    </row>
    <row r="35" spans="1:56" x14ac:dyDescent="0.35">
      <c r="A35">
        <v>33</v>
      </c>
      <c r="B35">
        <f>[1]CRP_Outcome_ELV!$O35</f>
        <v>8</v>
      </c>
      <c r="C35">
        <f>[1]CRP_Outcome_ELV!$BF35</f>
        <v>4</v>
      </c>
      <c r="D35">
        <f>[1]CRP_Outcome_ELV!$BG35</f>
        <v>9</v>
      </c>
      <c r="E35">
        <f>[1]CRP_Outcome_ELV!$BH35</f>
        <v>10</v>
      </c>
      <c r="G35">
        <f>[2]CRP_Outcome_ELV!$O35</f>
        <v>8</v>
      </c>
      <c r="H35">
        <f>[2]CRP_Outcome_ELV!$BF35</f>
        <v>0</v>
      </c>
      <c r="I35">
        <f>[2]CRP_Outcome_ELV!$BG35</f>
        <v>9</v>
      </c>
      <c r="J35">
        <f>[2]CRP_Outcome_ELV!$BH35</f>
        <v>11</v>
      </c>
      <c r="L35">
        <f>[3]CRP_Outcome_ELV!$O35</f>
        <v>8</v>
      </c>
      <c r="M35">
        <f>[3]CRP_Outcome_ELV!$BF35</f>
        <v>0</v>
      </c>
      <c r="N35">
        <f>[3]CRP_Outcome_ELV!$BG35</f>
        <v>9</v>
      </c>
      <c r="O35">
        <f>[3]CRP_Outcome_ELV!$BH35</f>
        <v>13</v>
      </c>
      <c r="Q35">
        <f>[4]CRP_Outcome_ELV!$O35</f>
        <v>8</v>
      </c>
      <c r="R35">
        <f>[4]CRP_Outcome_ELV!$BF35</f>
        <v>15</v>
      </c>
      <c r="S35">
        <f>[4]CRP_Outcome_ELV!$BG35</f>
        <v>9</v>
      </c>
      <c r="T35">
        <f>[4]CRP_Outcome_ELV!$BH35</f>
        <v>4</v>
      </c>
      <c r="V35">
        <f>[5]CRP_Outcome_ELV!$O35</f>
        <v>8</v>
      </c>
      <c r="W35">
        <f>[5]CRP_Outcome_ELV!$BF35</f>
        <v>16</v>
      </c>
      <c r="X35">
        <f>[5]CRP_Outcome_ELV!$BG35</f>
        <v>6</v>
      </c>
      <c r="Y35">
        <f>[5]CRP_Outcome_ELV!$BH35</f>
        <v>0</v>
      </c>
      <c r="AA35">
        <f>[6]CRP_Outcome_ELV!$O35</f>
        <v>8</v>
      </c>
      <c r="AB35">
        <f>[6]CRP_Outcome_ELV!$BF35</f>
        <v>22</v>
      </c>
      <c r="AC35">
        <f>[6]CRP_Outcome_ELV!$BG35</f>
        <v>9</v>
      </c>
      <c r="AD35">
        <f>[6]CRP_Outcome_ELV!$BH35</f>
        <v>0</v>
      </c>
      <c r="AF35">
        <f>[7]CRP_Outcome_ELV!$O35</f>
        <v>8</v>
      </c>
      <c r="AG35">
        <f>[7]CRP_Outcome_ELV!$BF35</f>
        <v>22</v>
      </c>
      <c r="AH35">
        <f>[7]CRP_Outcome_ELV!$BG35</f>
        <v>9</v>
      </c>
      <c r="AI35">
        <f>[7]CRP_Outcome_ELV!$BH35</f>
        <v>12</v>
      </c>
      <c r="AK35">
        <f>[8]CRP_Outcome_ELV!$O35</f>
        <v>8</v>
      </c>
      <c r="AL35">
        <f>[8]CRP_Outcome_ELV!$BF35</f>
        <v>0</v>
      </c>
      <c r="AM35">
        <f>[8]CRP_Outcome_ELV!$BG35</f>
        <v>5</v>
      </c>
      <c r="AN35">
        <f>[8]CRP_Outcome_ELV!$BH35</f>
        <v>7</v>
      </c>
      <c r="AP35">
        <f>[9]CRP_Outcome_ELV!$O35</f>
        <v>8</v>
      </c>
      <c r="AQ35">
        <f>[9]CRP_Outcome_ELV!$BF35</f>
        <v>0</v>
      </c>
      <c r="AR35">
        <f>[9]CRP_Outcome_ELV!$BG35</f>
        <v>9</v>
      </c>
      <c r="AS35">
        <f>[9]CRP_Outcome_ELV!$BH35</f>
        <v>9</v>
      </c>
      <c r="AU35">
        <f>[10]CRP_Outcome_ELV!$O35</f>
        <v>8</v>
      </c>
      <c r="AV35">
        <f>[10]CRP_Outcome_ELV!$BF35</f>
        <v>0</v>
      </c>
      <c r="AW35">
        <f>[10]CRP_Outcome_ELV!$BG35</f>
        <v>9</v>
      </c>
      <c r="AX35">
        <f>[10]CRP_Outcome_ELV!$BH35</f>
        <v>10</v>
      </c>
      <c r="AZ35">
        <f t="shared" si="0"/>
        <v>8</v>
      </c>
      <c r="BA35">
        <f t="shared" si="0"/>
        <v>7.9</v>
      </c>
      <c r="BB35">
        <f t="shared" si="0"/>
        <v>8.3000000000000007</v>
      </c>
      <c r="BC35">
        <f t="shared" si="0"/>
        <v>7.6</v>
      </c>
    </row>
    <row r="36" spans="1:56" x14ac:dyDescent="0.35">
      <c r="A36">
        <v>34</v>
      </c>
      <c r="B36">
        <f>[1]CRP_Outcome_ELV!$O36</f>
        <v>8</v>
      </c>
      <c r="C36">
        <f>[1]CRP_Outcome_ELV!$BF36</f>
        <v>5</v>
      </c>
      <c r="D36">
        <f>[1]CRP_Outcome_ELV!$BG36</f>
        <v>9</v>
      </c>
      <c r="E36">
        <f>[1]CRP_Outcome_ELV!$BH36</f>
        <v>7</v>
      </c>
      <c r="G36">
        <f>[2]CRP_Outcome_ELV!$O36</f>
        <v>8</v>
      </c>
      <c r="H36">
        <f>[2]CRP_Outcome_ELV!$BF36</f>
        <v>24</v>
      </c>
      <c r="I36">
        <f>[2]CRP_Outcome_ELV!$BG36</f>
        <v>9</v>
      </c>
      <c r="J36">
        <f>[2]CRP_Outcome_ELV!$BH36</f>
        <v>10</v>
      </c>
      <c r="L36">
        <f>[3]CRP_Outcome_ELV!$O36</f>
        <v>8</v>
      </c>
      <c r="M36">
        <f>[3]CRP_Outcome_ELV!$BF36</f>
        <v>20</v>
      </c>
      <c r="N36">
        <f>[3]CRP_Outcome_ELV!$BG36</f>
        <v>8</v>
      </c>
      <c r="O36">
        <f>[3]CRP_Outcome_ELV!$BH36</f>
        <v>10</v>
      </c>
      <c r="Q36">
        <f>[4]CRP_Outcome_ELV!$O36</f>
        <v>8</v>
      </c>
      <c r="R36">
        <f>[4]CRP_Outcome_ELV!$BF36</f>
        <v>6</v>
      </c>
      <c r="S36">
        <f>[4]CRP_Outcome_ELV!$BG36</f>
        <v>8</v>
      </c>
      <c r="T36">
        <f>[4]CRP_Outcome_ELV!$BH36</f>
        <v>10</v>
      </c>
      <c r="V36">
        <f>[5]CRP_Outcome_ELV!$O36</f>
        <v>8</v>
      </c>
      <c r="W36">
        <f>[5]CRP_Outcome_ELV!$BF36</f>
        <v>4</v>
      </c>
      <c r="X36">
        <f>[5]CRP_Outcome_ELV!$BG36</f>
        <v>6</v>
      </c>
      <c r="Y36">
        <f>[5]CRP_Outcome_ELV!$BH36</f>
        <v>0</v>
      </c>
      <c r="AA36">
        <f>[6]CRP_Outcome_ELV!$O36</f>
        <v>8</v>
      </c>
      <c r="AB36">
        <f>[6]CRP_Outcome_ELV!$BF36</f>
        <v>0</v>
      </c>
      <c r="AC36">
        <f>[6]CRP_Outcome_ELV!$BG36</f>
        <v>10</v>
      </c>
      <c r="AD36">
        <f>[6]CRP_Outcome_ELV!$BH36</f>
        <v>11</v>
      </c>
      <c r="AF36">
        <f>[7]CRP_Outcome_ELV!$O36</f>
        <v>8</v>
      </c>
      <c r="AG36">
        <f>[7]CRP_Outcome_ELV!$BF36</f>
        <v>0</v>
      </c>
      <c r="AH36">
        <f>[7]CRP_Outcome_ELV!$BG36</f>
        <v>9</v>
      </c>
      <c r="AI36">
        <f>[7]CRP_Outcome_ELV!$BH36</f>
        <v>4</v>
      </c>
      <c r="AK36">
        <f>[8]CRP_Outcome_ELV!$O36</f>
        <v>8</v>
      </c>
      <c r="AL36">
        <f>[8]CRP_Outcome_ELV!$BF36</f>
        <v>11</v>
      </c>
      <c r="AM36">
        <f>[8]CRP_Outcome_ELV!$BG36</f>
        <v>6</v>
      </c>
      <c r="AN36">
        <f>[8]CRP_Outcome_ELV!$BH36</f>
        <v>0</v>
      </c>
      <c r="AP36">
        <f>[9]CRP_Outcome_ELV!$O36</f>
        <v>8</v>
      </c>
      <c r="AQ36">
        <f>[9]CRP_Outcome_ELV!$BF36</f>
        <v>30</v>
      </c>
      <c r="AR36">
        <f>[9]CRP_Outcome_ELV!$BG36</f>
        <v>9</v>
      </c>
      <c r="AS36">
        <f>[9]CRP_Outcome_ELV!$BH36</f>
        <v>8</v>
      </c>
      <c r="AU36">
        <f>[10]CRP_Outcome_ELV!$O36</f>
        <v>8</v>
      </c>
      <c r="AV36">
        <f>[10]CRP_Outcome_ELV!$BF36</f>
        <v>25</v>
      </c>
      <c r="AW36">
        <f>[10]CRP_Outcome_ELV!$BG36</f>
        <v>8</v>
      </c>
      <c r="AX36">
        <f>[10]CRP_Outcome_ELV!$BH36</f>
        <v>7</v>
      </c>
      <c r="AZ36">
        <f t="shared" si="0"/>
        <v>8</v>
      </c>
      <c r="BA36">
        <f t="shared" si="0"/>
        <v>12.5</v>
      </c>
      <c r="BB36">
        <f t="shared" si="0"/>
        <v>8.1999999999999993</v>
      </c>
      <c r="BC36">
        <f t="shared" si="0"/>
        <v>6.7</v>
      </c>
    </row>
    <row r="37" spans="1:56" x14ac:dyDescent="0.35">
      <c r="A37">
        <v>35</v>
      </c>
      <c r="B37">
        <f>[1]CRP_Outcome_ELV!$O37</f>
        <v>8</v>
      </c>
      <c r="C37">
        <f>[1]CRP_Outcome_ELV!$BF37</f>
        <v>15</v>
      </c>
      <c r="D37">
        <f>[1]CRP_Outcome_ELV!$BG37</f>
        <v>9</v>
      </c>
      <c r="E37">
        <f>[1]CRP_Outcome_ELV!$BH37</f>
        <v>8</v>
      </c>
      <c r="G37">
        <f>[2]CRP_Outcome_ELV!$O37</f>
        <v>8</v>
      </c>
      <c r="H37">
        <f>[2]CRP_Outcome_ELV!$BF37</f>
        <v>15</v>
      </c>
      <c r="I37">
        <f>[2]CRP_Outcome_ELV!$BG37</f>
        <v>8</v>
      </c>
      <c r="J37">
        <f>[2]CRP_Outcome_ELV!$BH37</f>
        <v>8</v>
      </c>
      <c r="L37">
        <f>[3]CRP_Outcome_ELV!$O37</f>
        <v>8</v>
      </c>
      <c r="M37">
        <f>[3]CRP_Outcome_ELV!$BF37</f>
        <v>31</v>
      </c>
      <c r="N37">
        <f>[3]CRP_Outcome_ELV!$BG37</f>
        <v>8</v>
      </c>
      <c r="O37">
        <f>[3]CRP_Outcome_ELV!$BH37</f>
        <v>5</v>
      </c>
      <c r="Q37">
        <f>[4]CRP_Outcome_ELV!$O37</f>
        <v>8</v>
      </c>
      <c r="R37">
        <f>[4]CRP_Outcome_ELV!$BF37</f>
        <v>0</v>
      </c>
      <c r="S37">
        <f>[4]CRP_Outcome_ELV!$BG37</f>
        <v>8</v>
      </c>
      <c r="T37">
        <f>[4]CRP_Outcome_ELV!$BH37</f>
        <v>8</v>
      </c>
      <c r="V37">
        <f>[5]CRP_Outcome_ELV!$O37</f>
        <v>8</v>
      </c>
      <c r="W37">
        <f>[5]CRP_Outcome_ELV!$BF37</f>
        <v>0</v>
      </c>
      <c r="X37">
        <f>[5]CRP_Outcome_ELV!$BG37</f>
        <v>6</v>
      </c>
      <c r="Y37">
        <f>[5]CRP_Outcome_ELV!$BH37</f>
        <v>5</v>
      </c>
      <c r="AA37">
        <f>[6]CRP_Outcome_ELV!$O37</f>
        <v>8</v>
      </c>
      <c r="AB37">
        <f>[6]CRP_Outcome_ELV!$BF37</f>
        <v>0</v>
      </c>
      <c r="AC37">
        <f>[6]CRP_Outcome_ELV!$BG37</f>
        <v>9</v>
      </c>
      <c r="AD37">
        <f>[6]CRP_Outcome_ELV!$BH37</f>
        <v>13</v>
      </c>
      <c r="AF37">
        <f>[7]CRP_Outcome_ELV!$O37</f>
        <v>8</v>
      </c>
      <c r="AG37">
        <f>[7]CRP_Outcome_ELV!$BF37</f>
        <v>10</v>
      </c>
      <c r="AH37">
        <f>[7]CRP_Outcome_ELV!$BG37</f>
        <v>9</v>
      </c>
      <c r="AI37">
        <f>[7]CRP_Outcome_ELV!$BH37</f>
        <v>9</v>
      </c>
      <c r="AK37">
        <f>[8]CRP_Outcome_ELV!$O37</f>
        <v>8</v>
      </c>
      <c r="AL37">
        <f>[8]CRP_Outcome_ELV!$BF37</f>
        <v>7</v>
      </c>
      <c r="AM37">
        <f>[8]CRP_Outcome_ELV!$BG37</f>
        <v>6</v>
      </c>
      <c r="AN37">
        <f>[8]CRP_Outcome_ELV!$BH37</f>
        <v>0</v>
      </c>
      <c r="AP37">
        <f>[9]CRP_Outcome_ELV!$O37</f>
        <v>8</v>
      </c>
      <c r="AQ37">
        <f>[9]CRP_Outcome_ELV!$BF37</f>
        <v>0</v>
      </c>
      <c r="AR37">
        <f>[9]CRP_Outcome_ELV!$BG37</f>
        <v>9</v>
      </c>
      <c r="AS37">
        <f>[9]CRP_Outcome_ELV!$BH37</f>
        <v>6</v>
      </c>
      <c r="AU37">
        <f>[10]CRP_Outcome_ELV!$O37</f>
        <v>8</v>
      </c>
      <c r="AV37">
        <f>[10]CRP_Outcome_ELV!$BF37</f>
        <v>15</v>
      </c>
      <c r="AW37">
        <f>[10]CRP_Outcome_ELV!$BG37</f>
        <v>8</v>
      </c>
      <c r="AX37">
        <f>[10]CRP_Outcome_ELV!$BH37</f>
        <v>2</v>
      </c>
      <c r="AZ37">
        <f t="shared" si="0"/>
        <v>8</v>
      </c>
      <c r="BA37">
        <f t="shared" si="0"/>
        <v>9.3000000000000007</v>
      </c>
      <c r="BB37">
        <f t="shared" si="0"/>
        <v>8</v>
      </c>
      <c r="BC37">
        <f t="shared" si="0"/>
        <v>6.4</v>
      </c>
    </row>
    <row r="38" spans="1:56" x14ac:dyDescent="0.35">
      <c r="A38">
        <v>36</v>
      </c>
      <c r="B38">
        <f>[1]CRP_Outcome_ELV!$O38</f>
        <v>8</v>
      </c>
      <c r="C38">
        <f>[1]CRP_Outcome_ELV!$BF38</f>
        <v>6</v>
      </c>
      <c r="D38">
        <f>[1]CRP_Outcome_ELV!$BG38</f>
        <v>8</v>
      </c>
      <c r="E38">
        <f>[1]CRP_Outcome_ELV!$BH38</f>
        <v>8</v>
      </c>
      <c r="G38">
        <f>[2]CRP_Outcome_ELV!$O38</f>
        <v>8</v>
      </c>
      <c r="H38">
        <f>[2]CRP_Outcome_ELV!$BF38</f>
        <v>2</v>
      </c>
      <c r="I38">
        <f>[2]CRP_Outcome_ELV!$BG38</f>
        <v>8</v>
      </c>
      <c r="J38">
        <f>[2]CRP_Outcome_ELV!$BH38</f>
        <v>4</v>
      </c>
      <c r="L38">
        <f>[3]CRP_Outcome_ELV!$O38</f>
        <v>8</v>
      </c>
      <c r="M38">
        <f>[3]CRP_Outcome_ELV!$BF38</f>
        <v>0</v>
      </c>
      <c r="N38">
        <f>[3]CRP_Outcome_ELV!$BG38</f>
        <v>9</v>
      </c>
      <c r="O38">
        <f>[3]CRP_Outcome_ELV!$BH38</f>
        <v>1</v>
      </c>
      <c r="Q38">
        <f>[4]CRP_Outcome_ELV!$O38</f>
        <v>8</v>
      </c>
      <c r="R38">
        <f>[4]CRP_Outcome_ELV!$BF38</f>
        <v>9</v>
      </c>
      <c r="S38">
        <f>[4]CRP_Outcome_ELV!$BG38</f>
        <v>9</v>
      </c>
      <c r="T38">
        <f>[4]CRP_Outcome_ELV!$BH38</f>
        <v>7</v>
      </c>
      <c r="V38">
        <f>[5]CRP_Outcome_ELV!$O38</f>
        <v>8</v>
      </c>
      <c r="W38">
        <f>[5]CRP_Outcome_ELV!$BF38</f>
        <v>0</v>
      </c>
      <c r="X38">
        <f>[5]CRP_Outcome_ELV!$BG38</f>
        <v>5</v>
      </c>
      <c r="Y38">
        <f>[5]CRP_Outcome_ELV!$BH38</f>
        <v>10</v>
      </c>
      <c r="AA38">
        <f>[6]CRP_Outcome_ELV!$O38</f>
        <v>8</v>
      </c>
      <c r="AB38">
        <f>[6]CRP_Outcome_ELV!$BF38</f>
        <v>5</v>
      </c>
      <c r="AC38">
        <f>[6]CRP_Outcome_ELV!$BG38</f>
        <v>9</v>
      </c>
      <c r="AD38">
        <f>[6]CRP_Outcome_ELV!$BH38</f>
        <v>16</v>
      </c>
      <c r="AF38">
        <f>[7]CRP_Outcome_ELV!$O38</f>
        <v>8</v>
      </c>
      <c r="AG38">
        <f>[7]CRP_Outcome_ELV!$BF38</f>
        <v>0</v>
      </c>
      <c r="AH38">
        <f>[7]CRP_Outcome_ELV!$BG38</f>
        <v>10</v>
      </c>
      <c r="AI38">
        <f>[7]CRP_Outcome_ELV!$BH38</f>
        <v>13</v>
      </c>
      <c r="AK38">
        <f>[8]CRP_Outcome_ELV!$O38</f>
        <v>8</v>
      </c>
      <c r="AL38">
        <f>[8]CRP_Outcome_ELV!$BF38</f>
        <v>0</v>
      </c>
      <c r="AM38">
        <f>[8]CRP_Outcome_ELV!$BG38</f>
        <v>6</v>
      </c>
      <c r="AN38">
        <f>[8]CRP_Outcome_ELV!$BH38</f>
        <v>1</v>
      </c>
      <c r="AP38">
        <f>[9]CRP_Outcome_ELV!$O38</f>
        <v>8</v>
      </c>
      <c r="AQ38">
        <f>[9]CRP_Outcome_ELV!$BF38</f>
        <v>7</v>
      </c>
      <c r="AR38">
        <f>[9]CRP_Outcome_ELV!$BG38</f>
        <v>9</v>
      </c>
      <c r="AS38">
        <f>[9]CRP_Outcome_ELV!$BH38</f>
        <v>5</v>
      </c>
      <c r="AU38">
        <f>[10]CRP_Outcome_ELV!$O38</f>
        <v>8</v>
      </c>
      <c r="AV38">
        <f>[10]CRP_Outcome_ELV!$BF38</f>
        <v>1</v>
      </c>
      <c r="AW38">
        <f>[10]CRP_Outcome_ELV!$BG38</f>
        <v>9</v>
      </c>
      <c r="AX38">
        <f>[10]CRP_Outcome_ELV!$BH38</f>
        <v>0</v>
      </c>
      <c r="AZ38">
        <f t="shared" si="0"/>
        <v>8</v>
      </c>
      <c r="BA38">
        <f t="shared" si="0"/>
        <v>3</v>
      </c>
      <c r="BB38">
        <f t="shared" si="0"/>
        <v>8.1999999999999993</v>
      </c>
      <c r="BC38">
        <f t="shared" si="0"/>
        <v>6.5</v>
      </c>
    </row>
    <row r="40" spans="1:56" x14ac:dyDescent="0.35">
      <c r="A40" t="s">
        <v>9</v>
      </c>
      <c r="B40">
        <f>SUM(B2:B38)</f>
        <v>272</v>
      </c>
      <c r="C40">
        <f t="shared" ref="C40:E40" si="1">SUM(C2:C38)</f>
        <v>228</v>
      </c>
      <c r="D40">
        <f t="shared" si="1"/>
        <v>283</v>
      </c>
      <c r="E40">
        <f t="shared" si="1"/>
        <v>242</v>
      </c>
      <c r="G40">
        <f>SUM(G2:G38)</f>
        <v>272</v>
      </c>
      <c r="H40">
        <f t="shared" ref="H40:J40" si="2">SUM(H2:H38)</f>
        <v>264</v>
      </c>
      <c r="I40">
        <f t="shared" si="2"/>
        <v>287</v>
      </c>
      <c r="J40">
        <f t="shared" si="2"/>
        <v>235</v>
      </c>
      <c r="L40">
        <f>SUM(L2:L38)</f>
        <v>272</v>
      </c>
      <c r="M40">
        <f t="shared" ref="M40:O40" si="3">SUM(M2:M38)</f>
        <v>265</v>
      </c>
      <c r="N40">
        <f t="shared" si="3"/>
        <v>286</v>
      </c>
      <c r="O40">
        <f t="shared" si="3"/>
        <v>227</v>
      </c>
      <c r="Q40">
        <f>SUM(Q2:Q38)</f>
        <v>272</v>
      </c>
      <c r="R40">
        <f t="shared" ref="R40:T40" si="4">SUM(R2:R38)</f>
        <v>232</v>
      </c>
      <c r="S40">
        <f t="shared" si="4"/>
        <v>286</v>
      </c>
      <c r="T40">
        <f t="shared" si="4"/>
        <v>247</v>
      </c>
      <c r="V40">
        <f>SUM(V2:V38)</f>
        <v>272</v>
      </c>
      <c r="W40">
        <f t="shared" ref="W40:Y40" si="5">SUM(W2:W38)</f>
        <v>129</v>
      </c>
      <c r="X40">
        <f t="shared" si="5"/>
        <v>198</v>
      </c>
      <c r="Y40">
        <f t="shared" si="5"/>
        <v>147</v>
      </c>
      <c r="AA40">
        <f>SUM(AA2:AA38)</f>
        <v>272</v>
      </c>
      <c r="AB40">
        <f t="shared" ref="AB40:AD40" si="6">SUM(AB2:AB38)</f>
        <v>238</v>
      </c>
      <c r="AC40">
        <f t="shared" si="6"/>
        <v>307</v>
      </c>
      <c r="AD40">
        <f t="shared" si="6"/>
        <v>283</v>
      </c>
      <c r="AF40">
        <f>SUM(AF2:AF38)</f>
        <v>272</v>
      </c>
      <c r="AG40">
        <f t="shared" ref="AG40:AI40" si="7">SUM(AG2:AG38)</f>
        <v>281</v>
      </c>
      <c r="AH40">
        <f t="shared" si="7"/>
        <v>307</v>
      </c>
      <c r="AI40">
        <f t="shared" si="7"/>
        <v>276</v>
      </c>
      <c r="AK40">
        <f>SUM(AK2:AK38)</f>
        <v>272</v>
      </c>
      <c r="AL40">
        <f t="shared" ref="AL40:AN40" si="8">SUM(AL2:AL38)</f>
        <v>90</v>
      </c>
      <c r="AM40">
        <f t="shared" si="8"/>
        <v>199</v>
      </c>
      <c r="AN40">
        <f t="shared" si="8"/>
        <v>127</v>
      </c>
      <c r="AP40">
        <f>SUM(AP2:AP38)</f>
        <v>272</v>
      </c>
      <c r="AQ40">
        <f t="shared" ref="AQ40:AS40" si="9">SUM(AQ2:AQ38)</f>
        <v>279</v>
      </c>
      <c r="AR40">
        <f t="shared" si="9"/>
        <v>300</v>
      </c>
      <c r="AS40">
        <f t="shared" si="9"/>
        <v>245</v>
      </c>
      <c r="AU40">
        <f>SUM(AU2:AU38)</f>
        <v>272</v>
      </c>
      <c r="AV40">
        <f t="shared" ref="AV40:AX40" si="10">SUM(AV2:AV38)</f>
        <v>239</v>
      </c>
      <c r="AW40">
        <f t="shared" si="10"/>
        <v>293</v>
      </c>
      <c r="AX40">
        <f t="shared" si="10"/>
        <v>210</v>
      </c>
      <c r="AZ40">
        <f>SUM(AZ2:AZ38)</f>
        <v>272</v>
      </c>
      <c r="BA40">
        <f>SUM(BA2:BA38)</f>
        <v>224.50000000000006</v>
      </c>
      <c r="BB40">
        <f t="shared" ref="BB40:BD40" si="11">SUM(BB2:BB38)</f>
        <v>274.60000000000002</v>
      </c>
      <c r="BC40">
        <f t="shared" si="11"/>
        <v>223.89999999999998</v>
      </c>
      <c r="BD40">
        <f t="shared" si="11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6783-B046-4A3C-8912-5016590AFBDB}">
  <dimension ref="A1:BE40"/>
  <sheetViews>
    <sheetView workbookViewId="0">
      <pane xSplit="1" ySplit="1" topLeftCell="AH2" activePane="bottomRight" state="frozen"/>
      <selection pane="topRight" activeCell="B1" sqref="B1"/>
      <selection pane="bottomLeft" activeCell="A2" sqref="A2"/>
      <selection pane="bottomRight" activeCell="AZ1" sqref="AZ1:AZ1048576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0" max="51" width="8.7265625" style="5"/>
  </cols>
  <sheetData>
    <row r="1" spans="1:55" x14ac:dyDescent="0.35">
      <c r="A1" t="s">
        <v>19</v>
      </c>
      <c r="B1" t="s">
        <v>47</v>
      </c>
      <c r="C1" t="s">
        <v>48</v>
      </c>
      <c r="D1" t="s">
        <v>49</v>
      </c>
      <c r="E1" t="s">
        <v>50</v>
      </c>
      <c r="F1" s="5">
        <v>1</v>
      </c>
      <c r="G1" t="s">
        <v>47</v>
      </c>
      <c r="H1" t="s">
        <v>48</v>
      </c>
      <c r="I1" t="s">
        <v>49</v>
      </c>
      <c r="J1" t="s">
        <v>50</v>
      </c>
      <c r="K1" s="5">
        <v>2</v>
      </c>
      <c r="L1" t="s">
        <v>47</v>
      </c>
      <c r="M1" t="s">
        <v>48</v>
      </c>
      <c r="N1" t="s">
        <v>49</v>
      </c>
      <c r="O1" t="s">
        <v>50</v>
      </c>
      <c r="P1" s="5">
        <v>3</v>
      </c>
      <c r="Q1" t="s">
        <v>47</v>
      </c>
      <c r="R1" t="s">
        <v>48</v>
      </c>
      <c r="S1" t="s">
        <v>49</v>
      </c>
      <c r="T1" t="s">
        <v>50</v>
      </c>
      <c r="U1" s="5">
        <v>4</v>
      </c>
      <c r="V1" t="s">
        <v>47</v>
      </c>
      <c r="W1" t="s">
        <v>48</v>
      </c>
      <c r="X1" t="s">
        <v>49</v>
      </c>
      <c r="Y1" t="s">
        <v>50</v>
      </c>
      <c r="Z1" s="5">
        <v>5</v>
      </c>
      <c r="AA1" t="s">
        <v>47</v>
      </c>
      <c r="AB1" t="s">
        <v>48</v>
      </c>
      <c r="AC1" t="s">
        <v>49</v>
      </c>
      <c r="AD1" t="s">
        <v>50</v>
      </c>
      <c r="AE1" s="5">
        <v>6</v>
      </c>
      <c r="AF1" t="s">
        <v>47</v>
      </c>
      <c r="AG1" t="s">
        <v>48</v>
      </c>
      <c r="AH1" t="s">
        <v>49</v>
      </c>
      <c r="AI1" t="s">
        <v>50</v>
      </c>
      <c r="AJ1" s="5">
        <v>7</v>
      </c>
      <c r="AK1" t="s">
        <v>47</v>
      </c>
      <c r="AL1" t="s">
        <v>48</v>
      </c>
      <c r="AM1" t="s">
        <v>49</v>
      </c>
      <c r="AN1" t="s">
        <v>50</v>
      </c>
      <c r="AO1" s="5">
        <v>8</v>
      </c>
      <c r="AP1" t="s">
        <v>47</v>
      </c>
      <c r="AQ1" t="s">
        <v>48</v>
      </c>
      <c r="AR1" t="s">
        <v>49</v>
      </c>
      <c r="AS1" t="s">
        <v>50</v>
      </c>
      <c r="AT1" s="5">
        <v>9</v>
      </c>
      <c r="AU1" t="s">
        <v>47</v>
      </c>
      <c r="AV1" t="s">
        <v>48</v>
      </c>
      <c r="AW1" t="s">
        <v>49</v>
      </c>
      <c r="AX1" s="5" t="s">
        <v>50</v>
      </c>
      <c r="AY1" s="5">
        <v>10</v>
      </c>
      <c r="AZ1" t="s">
        <v>107</v>
      </c>
      <c r="BA1" t="s">
        <v>134</v>
      </c>
      <c r="BB1" t="s">
        <v>105</v>
      </c>
      <c r="BC1" t="s">
        <v>133</v>
      </c>
    </row>
    <row r="2" spans="1:55" x14ac:dyDescent="0.35">
      <c r="A2">
        <v>0</v>
      </c>
      <c r="B2">
        <v>0</v>
      </c>
      <c r="C2">
        <v>0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L2">
        <v>0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V2">
        <v>0</v>
      </c>
      <c r="W2">
        <v>0</v>
      </c>
      <c r="X2">
        <v>0</v>
      </c>
      <c r="Y2">
        <v>0</v>
      </c>
      <c r="AA2">
        <v>0</v>
      </c>
      <c r="AB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K2">
        <v>0</v>
      </c>
      <c r="AL2">
        <v>0</v>
      </c>
      <c r="AM2">
        <v>0</v>
      </c>
      <c r="AN2">
        <v>0</v>
      </c>
      <c r="AP2">
        <v>0</v>
      </c>
      <c r="AQ2">
        <v>0</v>
      </c>
      <c r="AR2">
        <v>0</v>
      </c>
      <c r="AS2">
        <v>0</v>
      </c>
      <c r="AU2">
        <v>0</v>
      </c>
      <c r="AV2">
        <v>0</v>
      </c>
      <c r="AW2">
        <v>0</v>
      </c>
      <c r="AX2">
        <v>0</v>
      </c>
      <c r="AZ2">
        <f>AVERAGE(B2,G2,L2,Q2,V2,AA2,AF2,AK2,AP2,AU2)</f>
        <v>0</v>
      </c>
      <c r="BA2">
        <f>AVERAGE(C2,H2,M2,R2,W2,AB2,AG2,AL2,AQ2,AV2)</f>
        <v>0</v>
      </c>
      <c r="BB2">
        <f>AVERAGE(D2,I2,N2,S2,X2,AC2,AH2,AM2,AR2,AW2)</f>
        <v>0</v>
      </c>
      <c r="BC2">
        <f>AVERAGE(E2,J2,O2,T2,Y2,AD2,AI2,AN2,AS2,AX2)</f>
        <v>0</v>
      </c>
    </row>
    <row r="3" spans="1:55" x14ac:dyDescent="0.35">
      <c r="A3">
        <v>1</v>
      </c>
      <c r="B3">
        <f>'Inventory ELV'!B3*0.5</f>
        <v>6</v>
      </c>
      <c r="C3">
        <f>'Inventory ELV'!C3*0.5</f>
        <v>6</v>
      </c>
      <c r="D3">
        <f>'Inventory ELV'!D3*0.5</f>
        <v>6</v>
      </c>
      <c r="E3">
        <f>'Inventory ELV'!E3*0.5</f>
        <v>6</v>
      </c>
      <c r="G3">
        <f>'Inventory ELV'!G3*0.5</f>
        <v>6</v>
      </c>
      <c r="H3">
        <f>'Inventory ELV'!H3*0.5</f>
        <v>6</v>
      </c>
      <c r="I3">
        <f>'Inventory ELV'!I3*0.5</f>
        <v>6</v>
      </c>
      <c r="J3">
        <f>'Inventory ELV'!J3*0.5</f>
        <v>6</v>
      </c>
      <c r="L3">
        <f>'Inventory ELV'!L3*0.5</f>
        <v>6</v>
      </c>
      <c r="M3">
        <f>'Inventory ELV'!M3*0.5</f>
        <v>6</v>
      </c>
      <c r="N3">
        <f>'Inventory ELV'!N3*0.5</f>
        <v>6</v>
      </c>
      <c r="O3">
        <f>'Inventory ELV'!O3*0.5</f>
        <v>6</v>
      </c>
      <c r="Q3">
        <f>'Inventory ELV'!Q3*0.5</f>
        <v>6</v>
      </c>
      <c r="R3">
        <f>'Inventory ELV'!R3*0.5</f>
        <v>6</v>
      </c>
      <c r="S3">
        <f>'Inventory ELV'!S3*0.5</f>
        <v>6</v>
      </c>
      <c r="T3">
        <f>'Inventory ELV'!T3*0.5</f>
        <v>6</v>
      </c>
      <c r="V3">
        <f>'Inventory ELV'!V3*0.5</f>
        <v>6</v>
      </c>
      <c r="W3">
        <f>'Inventory ELV'!W3*0.5</f>
        <v>6</v>
      </c>
      <c r="X3">
        <f>'Inventory ELV'!X3*0.5</f>
        <v>6</v>
      </c>
      <c r="Y3">
        <f>'Inventory ELV'!Y3*0.5</f>
        <v>6</v>
      </c>
      <c r="AA3">
        <f>'Inventory ELV'!AA3*0.5</f>
        <v>6</v>
      </c>
      <c r="AB3">
        <f>'Inventory ELV'!AB3*0.5</f>
        <v>6</v>
      </c>
      <c r="AC3">
        <f>'Inventory ELV'!AC3*0.5</f>
        <v>6</v>
      </c>
      <c r="AD3">
        <f>'Inventory ELV'!AD3*0.5</f>
        <v>6</v>
      </c>
      <c r="AF3">
        <f>'Inventory ELV'!AF3*0.5</f>
        <v>6</v>
      </c>
      <c r="AG3">
        <f>'Inventory ELV'!AG3*0.5</f>
        <v>6</v>
      </c>
      <c r="AH3">
        <f>'Inventory ELV'!AH3*0.5</f>
        <v>6</v>
      </c>
      <c r="AI3">
        <f>'Inventory ELV'!AI3*0.5</f>
        <v>6</v>
      </c>
      <c r="AK3">
        <f>'Inventory ELV'!AK3*0.5</f>
        <v>6</v>
      </c>
      <c r="AL3">
        <f>'Inventory ELV'!AL3*0.5</f>
        <v>6</v>
      </c>
      <c r="AM3">
        <f>'Inventory ELV'!AM3*0.5</f>
        <v>6</v>
      </c>
      <c r="AN3">
        <f>'Inventory ELV'!AN3*0.5</f>
        <v>6</v>
      </c>
      <c r="AP3">
        <f>'Inventory ELV'!AP3*0.5</f>
        <v>6</v>
      </c>
      <c r="AQ3">
        <f>'Inventory ELV'!AQ3*0.5</f>
        <v>6</v>
      </c>
      <c r="AR3">
        <f>'Inventory ELV'!AR3*0.5</f>
        <v>6</v>
      </c>
      <c r="AS3">
        <f>'Inventory ELV'!AS3*0.5</f>
        <v>6</v>
      </c>
      <c r="AU3">
        <f>'Inventory ELV'!AU3*0.5</f>
        <v>6</v>
      </c>
      <c r="AV3">
        <f>'Inventory ELV'!AV3*0.5</f>
        <v>6</v>
      </c>
      <c r="AW3">
        <f>'Inventory ELV'!AW3*0.5</f>
        <v>6</v>
      </c>
      <c r="AX3">
        <f>'Inventory ELV'!AX3*0.5</f>
        <v>6</v>
      </c>
      <c r="AZ3">
        <f t="shared" ref="AZ3:AZ38" si="0">AVERAGE(B3,G3,L3,Q3,V3,AA3,AF3,AK3,AP3,AU3)</f>
        <v>6</v>
      </c>
      <c r="BA3">
        <f t="shared" ref="BA3:BA38" si="1">AVERAGE(C3,H3,M3,R3,W3,AB3,AG3,AL3,AQ3,AV3)</f>
        <v>6</v>
      </c>
      <c r="BB3">
        <f t="shared" ref="BB3:BB38" si="2">AVERAGE(D3,I3,N3,S3,X3,AC3,AH3,AM3,AR3,AW3)</f>
        <v>6</v>
      </c>
      <c r="BC3">
        <f t="shared" ref="BC3:BC38" si="3">AVERAGE(E3,J3,O3,T3,Y3,AD3,AI3,AN3,AS3,AX3)</f>
        <v>6</v>
      </c>
    </row>
    <row r="4" spans="1:55" x14ac:dyDescent="0.35">
      <c r="A4">
        <v>2</v>
      </c>
      <c r="B4">
        <f>'Inventory ELV'!B4*0.5</f>
        <v>8</v>
      </c>
      <c r="C4">
        <f>'Inventory ELV'!C4*0.5</f>
        <v>10</v>
      </c>
      <c r="D4">
        <f>'Inventory ELV'!D4*0.5</f>
        <v>8</v>
      </c>
      <c r="E4">
        <f>'Inventory ELV'!E4*0.5</f>
        <v>8</v>
      </c>
      <c r="G4">
        <f>'Inventory ELV'!G4*0.5</f>
        <v>6</v>
      </c>
      <c r="H4">
        <f>'Inventory ELV'!H4*0.5</f>
        <v>10</v>
      </c>
      <c r="I4">
        <f>'Inventory ELV'!I4*0.5</f>
        <v>8</v>
      </c>
      <c r="J4">
        <f>'Inventory ELV'!J4*0.5</f>
        <v>6</v>
      </c>
      <c r="L4">
        <f>'Inventory ELV'!L4*0.5</f>
        <v>6</v>
      </c>
      <c r="M4">
        <f>'Inventory ELV'!M4*0.5</f>
        <v>10</v>
      </c>
      <c r="N4">
        <f>'Inventory ELV'!N4*0.5</f>
        <v>10</v>
      </c>
      <c r="O4">
        <f>'Inventory ELV'!O4*0.5</f>
        <v>8</v>
      </c>
      <c r="Q4">
        <f>'Inventory ELV'!Q4*0.5</f>
        <v>6</v>
      </c>
      <c r="R4">
        <f>'Inventory ELV'!R4*0.5</f>
        <v>10</v>
      </c>
      <c r="S4">
        <f>'Inventory ELV'!S4*0.5</f>
        <v>10</v>
      </c>
      <c r="T4">
        <f>'Inventory ELV'!T4*0.5</f>
        <v>6</v>
      </c>
      <c r="V4">
        <f>'Inventory ELV'!V4*0.5</f>
        <v>4</v>
      </c>
      <c r="W4">
        <f>'Inventory ELV'!W4*0.5</f>
        <v>10</v>
      </c>
      <c r="X4">
        <f>'Inventory ELV'!X4*0.5</f>
        <v>6</v>
      </c>
      <c r="Y4">
        <f>'Inventory ELV'!Y4*0.5</f>
        <v>6</v>
      </c>
      <c r="AA4">
        <f>'Inventory ELV'!AA4*0.5</f>
        <v>6</v>
      </c>
      <c r="AB4">
        <f>'Inventory ELV'!AB4*0.5</f>
        <v>10</v>
      </c>
      <c r="AC4">
        <f>'Inventory ELV'!AC4*0.5</f>
        <v>8</v>
      </c>
      <c r="AD4">
        <f>'Inventory ELV'!AD4*0.5</f>
        <v>4</v>
      </c>
      <c r="AF4">
        <f>'Inventory ELV'!AF4*0.5</f>
        <v>6</v>
      </c>
      <c r="AG4">
        <f>'Inventory ELV'!AG4*0.5</f>
        <v>10</v>
      </c>
      <c r="AH4">
        <f>'Inventory ELV'!AH4*0.5</f>
        <v>8</v>
      </c>
      <c r="AI4">
        <f>'Inventory ELV'!AI4*0.5</f>
        <v>4</v>
      </c>
      <c r="AK4">
        <f>'Inventory ELV'!AK4*0.5</f>
        <v>6</v>
      </c>
      <c r="AL4">
        <f>'Inventory ELV'!AL4*0.5</f>
        <v>10</v>
      </c>
      <c r="AM4">
        <f>'Inventory ELV'!AM4*0.5</f>
        <v>6</v>
      </c>
      <c r="AN4">
        <f>'Inventory ELV'!AN4*0.5</f>
        <v>4</v>
      </c>
      <c r="AP4">
        <f>'Inventory ELV'!AP4*0.5</f>
        <v>6</v>
      </c>
      <c r="AQ4">
        <f>'Inventory ELV'!AQ4*0.5</f>
        <v>10</v>
      </c>
      <c r="AR4">
        <f>'Inventory ELV'!AR4*0.5</f>
        <v>10</v>
      </c>
      <c r="AS4">
        <f>'Inventory ELV'!AS4*0.5</f>
        <v>6</v>
      </c>
      <c r="AU4">
        <f>'Inventory ELV'!AU4*0.5</f>
        <v>6</v>
      </c>
      <c r="AV4">
        <f>'Inventory ELV'!AV4*0.5</f>
        <v>6</v>
      </c>
      <c r="AW4">
        <f>'Inventory ELV'!AW4*0.5</f>
        <v>6</v>
      </c>
      <c r="AX4">
        <f>'Inventory ELV'!AX4*0.5</f>
        <v>6</v>
      </c>
      <c r="AZ4">
        <f t="shared" si="0"/>
        <v>6</v>
      </c>
      <c r="BA4">
        <f t="shared" si="1"/>
        <v>9.6</v>
      </c>
      <c r="BB4">
        <f t="shared" si="2"/>
        <v>8</v>
      </c>
      <c r="BC4">
        <f t="shared" si="3"/>
        <v>5.8</v>
      </c>
    </row>
    <row r="5" spans="1:55" x14ac:dyDescent="0.35">
      <c r="A5">
        <v>3</v>
      </c>
      <c r="B5">
        <f>'Inventory ELV'!B5*0.5</f>
        <v>6</v>
      </c>
      <c r="C5">
        <f>'Inventory ELV'!C5*0.5</f>
        <v>6</v>
      </c>
      <c r="D5">
        <f>'Inventory ELV'!D5*0.5</f>
        <v>8</v>
      </c>
      <c r="E5">
        <f>'Inventory ELV'!E5*0.5</f>
        <v>4</v>
      </c>
      <c r="G5">
        <f>'Inventory ELV'!G5*0.5</f>
        <v>6</v>
      </c>
      <c r="H5">
        <f>'Inventory ELV'!H5*0.5</f>
        <v>10</v>
      </c>
      <c r="I5">
        <f>'Inventory ELV'!I5*0.5</f>
        <v>6</v>
      </c>
      <c r="J5">
        <f>'Inventory ELV'!J5*0.5</f>
        <v>6</v>
      </c>
      <c r="L5">
        <f>'Inventory ELV'!L5*0.5</f>
        <v>6</v>
      </c>
      <c r="M5">
        <f>'Inventory ELV'!M5*0.5</f>
        <v>6</v>
      </c>
      <c r="N5">
        <f>'Inventory ELV'!N5*0.5</f>
        <v>6</v>
      </c>
      <c r="O5">
        <f>'Inventory ELV'!O5*0.5</f>
        <v>4</v>
      </c>
      <c r="Q5">
        <f>'Inventory ELV'!Q5*0.5</f>
        <v>6</v>
      </c>
      <c r="R5">
        <f>'Inventory ELV'!R5*0.5</f>
        <v>6</v>
      </c>
      <c r="S5">
        <f>'Inventory ELV'!S5*0.5</f>
        <v>6</v>
      </c>
      <c r="T5">
        <f>'Inventory ELV'!T5*0.5</f>
        <v>6</v>
      </c>
      <c r="V5">
        <f>'Inventory ELV'!V5*0.5</f>
        <v>6</v>
      </c>
      <c r="W5">
        <f>'Inventory ELV'!W5*0.5</f>
        <v>6</v>
      </c>
      <c r="X5">
        <f>'Inventory ELV'!X5*0.5</f>
        <v>8</v>
      </c>
      <c r="Y5">
        <f>'Inventory ELV'!Y5*0.5</f>
        <v>6</v>
      </c>
      <c r="AA5">
        <f>'Inventory ELV'!AA5*0.5</f>
        <v>6</v>
      </c>
      <c r="AB5">
        <f>'Inventory ELV'!AB5*0.5</f>
        <v>6</v>
      </c>
      <c r="AC5">
        <f>'Inventory ELV'!AC5*0.5</f>
        <v>6</v>
      </c>
      <c r="AD5">
        <f>'Inventory ELV'!AD5*0.5</f>
        <v>6</v>
      </c>
      <c r="AF5">
        <f>'Inventory ELV'!AF5*0.5</f>
        <v>6</v>
      </c>
      <c r="AG5">
        <f>'Inventory ELV'!AG5*0.5</f>
        <v>6</v>
      </c>
      <c r="AH5">
        <f>'Inventory ELV'!AH5*0.5</f>
        <v>6</v>
      </c>
      <c r="AI5">
        <f>'Inventory ELV'!AI5*0.5</f>
        <v>6</v>
      </c>
      <c r="AK5">
        <f>'Inventory ELV'!AK5*0.5</f>
        <v>6</v>
      </c>
      <c r="AL5">
        <f>'Inventory ELV'!AL5*0.5</f>
        <v>6</v>
      </c>
      <c r="AM5">
        <f>'Inventory ELV'!AM5*0.5</f>
        <v>6</v>
      </c>
      <c r="AN5">
        <f>'Inventory ELV'!AN5*0.5</f>
        <v>2</v>
      </c>
      <c r="AP5">
        <f>'Inventory ELV'!AP5*0.5</f>
        <v>6</v>
      </c>
      <c r="AQ5">
        <f>'Inventory ELV'!AQ5*0.5</f>
        <v>4</v>
      </c>
      <c r="AR5">
        <f>'Inventory ELV'!AR5*0.5</f>
        <v>6</v>
      </c>
      <c r="AS5">
        <f>'Inventory ELV'!AS5*0.5</f>
        <v>2</v>
      </c>
      <c r="AU5">
        <f>'Inventory ELV'!AU5*0.5</f>
        <v>6</v>
      </c>
      <c r="AV5">
        <f>'Inventory ELV'!AV5*0.5</f>
        <v>6</v>
      </c>
      <c r="AW5">
        <f>'Inventory ELV'!AW5*0.5</f>
        <v>6</v>
      </c>
      <c r="AX5">
        <f>'Inventory ELV'!AX5*0.5</f>
        <v>6</v>
      </c>
      <c r="AZ5">
        <f t="shared" si="0"/>
        <v>6</v>
      </c>
      <c r="BA5">
        <f t="shared" si="1"/>
        <v>6.2</v>
      </c>
      <c r="BB5">
        <f t="shared" si="2"/>
        <v>6.4</v>
      </c>
      <c r="BC5">
        <f t="shared" si="3"/>
        <v>4.8</v>
      </c>
    </row>
    <row r="6" spans="1:55" x14ac:dyDescent="0.35">
      <c r="A6">
        <v>4</v>
      </c>
      <c r="B6">
        <f>'Inventory ELV'!B6*0.5</f>
        <v>4</v>
      </c>
      <c r="C6">
        <f>'Inventory ELV'!C6*0.5</f>
        <v>6</v>
      </c>
      <c r="D6">
        <f>'Inventory ELV'!D6*0.5</f>
        <v>8</v>
      </c>
      <c r="E6">
        <f>'Inventory ELV'!E6*0.5</f>
        <v>6</v>
      </c>
      <c r="G6">
        <f>'Inventory ELV'!G6*0.5</f>
        <v>4</v>
      </c>
      <c r="H6">
        <f>'Inventory ELV'!H6*0.5</f>
        <v>6</v>
      </c>
      <c r="I6">
        <f>'Inventory ELV'!I6*0.5</f>
        <v>6</v>
      </c>
      <c r="J6">
        <f>'Inventory ELV'!J6*0.5</f>
        <v>6</v>
      </c>
      <c r="L6">
        <f>'Inventory ELV'!L6*0.5</f>
        <v>4</v>
      </c>
      <c r="M6">
        <f>'Inventory ELV'!M6*0.5</f>
        <v>6</v>
      </c>
      <c r="N6">
        <f>'Inventory ELV'!N6*0.5</f>
        <v>6</v>
      </c>
      <c r="O6">
        <f>'Inventory ELV'!O6*0.5</f>
        <v>4</v>
      </c>
      <c r="Q6">
        <f>'Inventory ELV'!Q6*0.5</f>
        <v>4</v>
      </c>
      <c r="R6">
        <f>'Inventory ELV'!R6*0.5</f>
        <v>6</v>
      </c>
      <c r="S6">
        <f>'Inventory ELV'!S6*0.5</f>
        <v>6</v>
      </c>
      <c r="T6">
        <f>'Inventory ELV'!T6*0.5</f>
        <v>6</v>
      </c>
      <c r="V6">
        <f>'Inventory ELV'!V6*0.5</f>
        <v>4</v>
      </c>
      <c r="W6">
        <f>'Inventory ELV'!W6*0.5</f>
        <v>6</v>
      </c>
      <c r="X6">
        <f>'Inventory ELV'!X6*0.5</f>
        <v>6</v>
      </c>
      <c r="Y6">
        <f>'Inventory ELV'!Y6*0.5</f>
        <v>6</v>
      </c>
      <c r="AA6">
        <f>'Inventory ELV'!AA6*0.5</f>
        <v>4</v>
      </c>
      <c r="AB6">
        <f>'Inventory ELV'!AB6*0.5</f>
        <v>6</v>
      </c>
      <c r="AC6">
        <f>'Inventory ELV'!AC6*0.5</f>
        <v>6</v>
      </c>
      <c r="AD6">
        <f>'Inventory ELV'!AD6*0.5</f>
        <v>6</v>
      </c>
      <c r="AF6">
        <f>'Inventory ELV'!AF6*0.5</f>
        <v>4</v>
      </c>
      <c r="AG6">
        <f>'Inventory ELV'!AG6*0.5</f>
        <v>6</v>
      </c>
      <c r="AH6">
        <f>'Inventory ELV'!AH6*0.5</f>
        <v>6</v>
      </c>
      <c r="AI6">
        <f>'Inventory ELV'!AI6*0.5</f>
        <v>6</v>
      </c>
      <c r="AK6">
        <f>'Inventory ELV'!AK6*0.5</f>
        <v>4</v>
      </c>
      <c r="AL6">
        <f>'Inventory ELV'!AL6*0.5</f>
        <v>6</v>
      </c>
      <c r="AM6">
        <f>'Inventory ELV'!AM6*0.5</f>
        <v>6</v>
      </c>
      <c r="AN6">
        <f>'Inventory ELV'!AN6*0.5</f>
        <v>2</v>
      </c>
      <c r="AP6">
        <f>'Inventory ELV'!AP6*0.5</f>
        <v>4</v>
      </c>
      <c r="AQ6">
        <f>'Inventory ELV'!AQ6*0.5</f>
        <v>4</v>
      </c>
      <c r="AR6">
        <f>'Inventory ELV'!AR6*0.5</f>
        <v>6</v>
      </c>
      <c r="AS6">
        <f>'Inventory ELV'!AS6*0.5</f>
        <v>2</v>
      </c>
      <c r="AU6">
        <f>'Inventory ELV'!AU6*0.5</f>
        <v>6</v>
      </c>
      <c r="AV6">
        <f>'Inventory ELV'!AV6*0.5</f>
        <v>6</v>
      </c>
      <c r="AW6">
        <f>'Inventory ELV'!AW6*0.5</f>
        <v>6</v>
      </c>
      <c r="AX6">
        <f>'Inventory ELV'!AX6*0.5</f>
        <v>6</v>
      </c>
      <c r="AZ6">
        <f t="shared" si="0"/>
        <v>4.2</v>
      </c>
      <c r="BA6">
        <f t="shared" si="1"/>
        <v>5.8</v>
      </c>
      <c r="BB6">
        <f t="shared" si="2"/>
        <v>6.2</v>
      </c>
      <c r="BC6">
        <f t="shared" si="3"/>
        <v>5</v>
      </c>
    </row>
    <row r="7" spans="1:55" x14ac:dyDescent="0.35">
      <c r="A7">
        <v>5</v>
      </c>
      <c r="B7">
        <f>'Inventory ELV'!B7*0.5</f>
        <v>6</v>
      </c>
      <c r="C7">
        <f>'Inventory ELV'!C7*0.5</f>
        <v>6</v>
      </c>
      <c r="D7">
        <f>'Inventory ELV'!D7*0.5</f>
        <v>4</v>
      </c>
      <c r="E7">
        <f>'Inventory ELV'!E7*0.5</f>
        <v>6</v>
      </c>
      <c r="G7">
        <f>'Inventory ELV'!G7*0.5</f>
        <v>4</v>
      </c>
      <c r="H7">
        <f>'Inventory ELV'!H7*0.5</f>
        <v>6</v>
      </c>
      <c r="I7">
        <f>'Inventory ELV'!I7*0.5</f>
        <v>4</v>
      </c>
      <c r="J7">
        <f>'Inventory ELV'!J7*0.5</f>
        <v>6</v>
      </c>
      <c r="L7">
        <f>'Inventory ELV'!L7*0.5</f>
        <v>6</v>
      </c>
      <c r="M7">
        <f>'Inventory ELV'!M7*0.5</f>
        <v>6</v>
      </c>
      <c r="N7">
        <f>'Inventory ELV'!N7*0.5</f>
        <v>4</v>
      </c>
      <c r="O7">
        <f>'Inventory ELV'!O7*0.5</f>
        <v>6</v>
      </c>
      <c r="Q7">
        <f>'Inventory ELV'!Q7*0.5</f>
        <v>6</v>
      </c>
      <c r="R7">
        <f>'Inventory ELV'!R7*0.5</f>
        <v>6</v>
      </c>
      <c r="S7">
        <f>'Inventory ELV'!S7*0.5</f>
        <v>4</v>
      </c>
      <c r="T7">
        <f>'Inventory ELV'!T7*0.5</f>
        <v>6</v>
      </c>
      <c r="V7">
        <f>'Inventory ELV'!V7*0.5</f>
        <v>6</v>
      </c>
      <c r="W7">
        <f>'Inventory ELV'!W7*0.5</f>
        <v>6</v>
      </c>
      <c r="X7">
        <f>'Inventory ELV'!X7*0.5</f>
        <v>4</v>
      </c>
      <c r="Y7">
        <f>'Inventory ELV'!Y7*0.5</f>
        <v>6</v>
      </c>
      <c r="AA7">
        <f>'Inventory ELV'!AA7*0.5</f>
        <v>6</v>
      </c>
      <c r="AB7">
        <f>'Inventory ELV'!AB7*0.5</f>
        <v>6</v>
      </c>
      <c r="AC7">
        <f>'Inventory ELV'!AC7*0.5</f>
        <v>4</v>
      </c>
      <c r="AD7">
        <f>'Inventory ELV'!AD7*0.5</f>
        <v>6</v>
      </c>
      <c r="AF7">
        <f>'Inventory ELV'!AF7*0.5</f>
        <v>6</v>
      </c>
      <c r="AG7">
        <f>'Inventory ELV'!AG7*0.5</f>
        <v>6</v>
      </c>
      <c r="AH7">
        <f>'Inventory ELV'!AH7*0.5</f>
        <v>4</v>
      </c>
      <c r="AI7">
        <f>'Inventory ELV'!AI7*0.5</f>
        <v>6</v>
      </c>
      <c r="AK7">
        <f>'Inventory ELV'!AK7*0.5</f>
        <v>6</v>
      </c>
      <c r="AL7">
        <f>'Inventory ELV'!AL7*0.5</f>
        <v>6</v>
      </c>
      <c r="AM7">
        <f>'Inventory ELV'!AM7*0.5</f>
        <v>4</v>
      </c>
      <c r="AN7">
        <f>'Inventory ELV'!AN7*0.5</f>
        <v>4</v>
      </c>
      <c r="AP7">
        <f>'Inventory ELV'!AP7*0.5</f>
        <v>6</v>
      </c>
      <c r="AQ7">
        <f>'Inventory ELV'!AQ7*0.5</f>
        <v>4</v>
      </c>
      <c r="AR7">
        <f>'Inventory ELV'!AR7*0.5</f>
        <v>4</v>
      </c>
      <c r="AS7">
        <f>'Inventory ELV'!AS7*0.5</f>
        <v>4</v>
      </c>
      <c r="AU7">
        <f>'Inventory ELV'!AU7*0.5</f>
        <v>6</v>
      </c>
      <c r="AV7">
        <f>'Inventory ELV'!AV7*0.5</f>
        <v>6</v>
      </c>
      <c r="AW7">
        <f>'Inventory ELV'!AW7*0.5</f>
        <v>4</v>
      </c>
      <c r="AX7">
        <f>'Inventory ELV'!AX7*0.5</f>
        <v>6</v>
      </c>
      <c r="AZ7">
        <f t="shared" si="0"/>
        <v>5.8</v>
      </c>
      <c r="BA7">
        <f t="shared" si="1"/>
        <v>5.8</v>
      </c>
      <c r="BB7">
        <f t="shared" si="2"/>
        <v>4</v>
      </c>
      <c r="BC7">
        <f t="shared" si="3"/>
        <v>5.6</v>
      </c>
    </row>
    <row r="8" spans="1:55" x14ac:dyDescent="0.35">
      <c r="A8">
        <v>6</v>
      </c>
      <c r="B8">
        <f>'Inventory ELV'!B8*0.5</f>
        <v>6</v>
      </c>
      <c r="C8">
        <f>'Inventory ELV'!C8*0.5</f>
        <v>6</v>
      </c>
      <c r="D8">
        <f>'Inventory ELV'!D8*0.5</f>
        <v>4</v>
      </c>
      <c r="E8">
        <f>'Inventory ELV'!E8*0.5</f>
        <v>6</v>
      </c>
      <c r="G8">
        <f>'Inventory ELV'!G8*0.5</f>
        <v>6</v>
      </c>
      <c r="H8">
        <f>'Inventory ELV'!H8*0.5</f>
        <v>6</v>
      </c>
      <c r="I8">
        <f>'Inventory ELV'!I8*0.5</f>
        <v>4</v>
      </c>
      <c r="J8">
        <f>'Inventory ELV'!J8*0.5</f>
        <v>6</v>
      </c>
      <c r="L8">
        <f>'Inventory ELV'!L8*0.5</f>
        <v>6</v>
      </c>
      <c r="M8">
        <f>'Inventory ELV'!M8*0.5</f>
        <v>6</v>
      </c>
      <c r="N8">
        <f>'Inventory ELV'!N8*0.5</f>
        <v>4</v>
      </c>
      <c r="O8">
        <f>'Inventory ELV'!O8*0.5</f>
        <v>6</v>
      </c>
      <c r="Q8">
        <f>'Inventory ELV'!Q8*0.5</f>
        <v>6</v>
      </c>
      <c r="R8">
        <f>'Inventory ELV'!R8*0.5</f>
        <v>6</v>
      </c>
      <c r="S8">
        <f>'Inventory ELV'!S8*0.5</f>
        <v>4</v>
      </c>
      <c r="T8">
        <f>'Inventory ELV'!T8*0.5</f>
        <v>6</v>
      </c>
      <c r="V8">
        <f>'Inventory ELV'!V8*0.5</f>
        <v>6</v>
      </c>
      <c r="W8">
        <f>'Inventory ELV'!W8*0.5</f>
        <v>6</v>
      </c>
      <c r="X8">
        <f>'Inventory ELV'!X8*0.5</f>
        <v>4</v>
      </c>
      <c r="Y8">
        <f>'Inventory ELV'!Y8*0.5</f>
        <v>6</v>
      </c>
      <c r="AA8">
        <f>'Inventory ELV'!AA8*0.5</f>
        <v>6</v>
      </c>
      <c r="AB8">
        <f>'Inventory ELV'!AB8*0.5</f>
        <v>6</v>
      </c>
      <c r="AC8">
        <f>'Inventory ELV'!AC8*0.5</f>
        <v>4</v>
      </c>
      <c r="AD8">
        <f>'Inventory ELV'!AD8*0.5</f>
        <v>6</v>
      </c>
      <c r="AF8">
        <f>'Inventory ELV'!AF8*0.5</f>
        <v>6</v>
      </c>
      <c r="AG8">
        <f>'Inventory ELV'!AG8*0.5</f>
        <v>6</v>
      </c>
      <c r="AH8">
        <f>'Inventory ELV'!AH8*0.5</f>
        <v>4</v>
      </c>
      <c r="AI8">
        <f>'Inventory ELV'!AI8*0.5</f>
        <v>6</v>
      </c>
      <c r="AK8">
        <f>'Inventory ELV'!AK8*0.5</f>
        <v>6</v>
      </c>
      <c r="AL8">
        <f>'Inventory ELV'!AL8*0.5</f>
        <v>6</v>
      </c>
      <c r="AM8">
        <f>'Inventory ELV'!AM8*0.5</f>
        <v>4</v>
      </c>
      <c r="AN8">
        <f>'Inventory ELV'!AN8*0.5</f>
        <v>4</v>
      </c>
      <c r="AP8">
        <f>'Inventory ELV'!AP8*0.5</f>
        <v>6</v>
      </c>
      <c r="AQ8">
        <f>'Inventory ELV'!AQ8*0.5</f>
        <v>4</v>
      </c>
      <c r="AR8">
        <f>'Inventory ELV'!AR8*0.5</f>
        <v>4</v>
      </c>
      <c r="AS8">
        <f>'Inventory ELV'!AS8*0.5</f>
        <v>4</v>
      </c>
      <c r="AU8">
        <f>'Inventory ELV'!AU8*0.5</f>
        <v>6</v>
      </c>
      <c r="AV8">
        <f>'Inventory ELV'!AV8*0.5</f>
        <v>6</v>
      </c>
      <c r="AW8">
        <f>'Inventory ELV'!AW8*0.5</f>
        <v>4</v>
      </c>
      <c r="AX8">
        <f>'Inventory ELV'!AX8*0.5</f>
        <v>6</v>
      </c>
      <c r="AZ8">
        <f t="shared" si="0"/>
        <v>6</v>
      </c>
      <c r="BA8">
        <f t="shared" si="1"/>
        <v>5.8</v>
      </c>
      <c r="BB8">
        <f t="shared" si="2"/>
        <v>4</v>
      </c>
      <c r="BC8">
        <f t="shared" si="3"/>
        <v>5.6</v>
      </c>
    </row>
    <row r="9" spans="1:55" x14ac:dyDescent="0.35">
      <c r="A9">
        <v>7</v>
      </c>
      <c r="B9">
        <f>'Inventory ELV'!B9*0.5</f>
        <v>8</v>
      </c>
      <c r="C9">
        <f>'Inventory ELV'!C9*0.5</f>
        <v>8</v>
      </c>
      <c r="D9">
        <f>'Inventory ELV'!D9*0.5</f>
        <v>4</v>
      </c>
      <c r="E9">
        <f>'Inventory ELV'!E9*0.5</f>
        <v>6.5</v>
      </c>
      <c r="G9">
        <f>'Inventory ELV'!G9*0.5</f>
        <v>8</v>
      </c>
      <c r="H9">
        <f>'Inventory ELV'!H9*0.5</f>
        <v>8</v>
      </c>
      <c r="I9">
        <f>'Inventory ELV'!I9*0.5</f>
        <v>4</v>
      </c>
      <c r="J9">
        <f>'Inventory ELV'!J9*0.5</f>
        <v>4.5</v>
      </c>
      <c r="L9">
        <f>'Inventory ELV'!L9*0.5</f>
        <v>8</v>
      </c>
      <c r="M9">
        <f>'Inventory ELV'!M9*0.5</f>
        <v>8</v>
      </c>
      <c r="N9">
        <f>'Inventory ELV'!N9*0.5</f>
        <v>4</v>
      </c>
      <c r="O9">
        <f>'Inventory ELV'!O9*0.5</f>
        <v>4.5</v>
      </c>
      <c r="Q9">
        <f>'Inventory ELV'!Q9*0.5</f>
        <v>8</v>
      </c>
      <c r="R9">
        <f>'Inventory ELV'!R9*0.5</f>
        <v>8</v>
      </c>
      <c r="S9">
        <f>'Inventory ELV'!S9*0.5</f>
        <v>4</v>
      </c>
      <c r="T9">
        <f>'Inventory ELV'!T9*0.5</f>
        <v>4.5</v>
      </c>
      <c r="V9">
        <f>'Inventory ELV'!V9*0.5</f>
        <v>8</v>
      </c>
      <c r="W9">
        <f>'Inventory ELV'!W9*0.5</f>
        <v>8</v>
      </c>
      <c r="X9">
        <f>'Inventory ELV'!X9*0.5</f>
        <v>4</v>
      </c>
      <c r="Y9">
        <f>'Inventory ELV'!Y9*0.5</f>
        <v>6</v>
      </c>
      <c r="AA9">
        <f>'Inventory ELV'!AA9*0.5</f>
        <v>8</v>
      </c>
      <c r="AB9">
        <f>'Inventory ELV'!AB9*0.5</f>
        <v>8</v>
      </c>
      <c r="AC9">
        <f>'Inventory ELV'!AC9*0.5</f>
        <v>4</v>
      </c>
      <c r="AD9">
        <f>'Inventory ELV'!AD9*0.5</f>
        <v>3.5</v>
      </c>
      <c r="AF9">
        <f>'Inventory ELV'!AF9*0.5</f>
        <v>8</v>
      </c>
      <c r="AG9">
        <f>'Inventory ELV'!AG9*0.5</f>
        <v>8</v>
      </c>
      <c r="AH9">
        <f>'Inventory ELV'!AH9*0.5</f>
        <v>4</v>
      </c>
      <c r="AI9">
        <f>'Inventory ELV'!AI9*0.5</f>
        <v>3.5</v>
      </c>
      <c r="AK9">
        <f>'Inventory ELV'!AK9*0.5</f>
        <v>8</v>
      </c>
      <c r="AL9">
        <f>'Inventory ELV'!AL9*0.5</f>
        <v>8</v>
      </c>
      <c r="AM9">
        <f>'Inventory ELV'!AM9*0.5</f>
        <v>4</v>
      </c>
      <c r="AN9">
        <f>'Inventory ELV'!AN9*0.5</f>
        <v>4</v>
      </c>
      <c r="AP9">
        <f>'Inventory ELV'!AP9*0.5</f>
        <v>8</v>
      </c>
      <c r="AQ9">
        <f>'Inventory ELV'!AQ9*0.5</f>
        <v>8</v>
      </c>
      <c r="AR9">
        <f>'Inventory ELV'!AR9*0.5</f>
        <v>4</v>
      </c>
      <c r="AS9">
        <f>'Inventory ELV'!AS9*0.5</f>
        <v>4</v>
      </c>
      <c r="AU9">
        <f>'Inventory ELV'!AU9*0.5</f>
        <v>8</v>
      </c>
      <c r="AV9">
        <f>'Inventory ELV'!AV9*0.5</f>
        <v>8</v>
      </c>
      <c r="AW9">
        <f>'Inventory ELV'!AW9*0.5</f>
        <v>4</v>
      </c>
      <c r="AX9">
        <f>'Inventory ELV'!AX9*0.5</f>
        <v>3</v>
      </c>
      <c r="AZ9">
        <f t="shared" si="0"/>
        <v>8</v>
      </c>
      <c r="BA9">
        <f t="shared" si="1"/>
        <v>8</v>
      </c>
      <c r="BB9">
        <f t="shared" si="2"/>
        <v>4</v>
      </c>
      <c r="BC9">
        <f t="shared" si="3"/>
        <v>4.4000000000000004</v>
      </c>
    </row>
    <row r="10" spans="1:55" x14ac:dyDescent="0.35">
      <c r="A10">
        <v>8</v>
      </c>
      <c r="B10">
        <f>'Inventory ELV'!B10*0.5</f>
        <v>8</v>
      </c>
      <c r="C10">
        <f>'Inventory ELV'!C10*0.5</f>
        <v>5.5</v>
      </c>
      <c r="D10">
        <f>'Inventory ELV'!D10*0.5</f>
        <v>4</v>
      </c>
      <c r="E10">
        <f>'Inventory ELV'!E10*0.5</f>
        <v>4</v>
      </c>
      <c r="G10">
        <f>'Inventory ELV'!G10*0.5</f>
        <v>8</v>
      </c>
      <c r="H10">
        <f>'Inventory ELV'!H10*0.5</f>
        <v>6</v>
      </c>
      <c r="I10">
        <f>'Inventory ELV'!I10*0.5</f>
        <v>4</v>
      </c>
      <c r="J10">
        <f>'Inventory ELV'!J10*0.5</f>
        <v>3</v>
      </c>
      <c r="L10">
        <f>'Inventory ELV'!L10*0.5</f>
        <v>8</v>
      </c>
      <c r="M10">
        <f>'Inventory ELV'!M10*0.5</f>
        <v>6</v>
      </c>
      <c r="N10">
        <f>'Inventory ELV'!N10*0.5</f>
        <v>4</v>
      </c>
      <c r="O10">
        <f>'Inventory ELV'!O10*0.5</f>
        <v>3.5</v>
      </c>
      <c r="Q10">
        <f>'Inventory ELV'!Q10*0.5</f>
        <v>8</v>
      </c>
      <c r="R10">
        <f>'Inventory ELV'!R10*0.5</f>
        <v>5.5</v>
      </c>
      <c r="S10">
        <f>'Inventory ELV'!S10*0.5</f>
        <v>4</v>
      </c>
      <c r="T10">
        <f>'Inventory ELV'!T10*0.5</f>
        <v>3.5</v>
      </c>
      <c r="V10">
        <f>'Inventory ELV'!V10*0.5</f>
        <v>8</v>
      </c>
      <c r="W10">
        <f>'Inventory ELV'!W10*0.5</f>
        <v>5</v>
      </c>
      <c r="X10">
        <f>'Inventory ELV'!X10*0.5</f>
        <v>4</v>
      </c>
      <c r="Y10">
        <f>'Inventory ELV'!Y10*0.5</f>
        <v>5</v>
      </c>
      <c r="AA10">
        <f>'Inventory ELV'!AA10*0.5</f>
        <v>8</v>
      </c>
      <c r="AB10">
        <f>'Inventory ELV'!AB10*0.5</f>
        <v>6</v>
      </c>
      <c r="AC10">
        <f>'Inventory ELV'!AC10*0.5</f>
        <v>4</v>
      </c>
      <c r="AD10">
        <f>'Inventory ELV'!AD10*0.5</f>
        <v>2.5</v>
      </c>
      <c r="AF10">
        <f>'Inventory ELV'!AF10*0.5</f>
        <v>8</v>
      </c>
      <c r="AG10">
        <f>'Inventory ELV'!AG10*0.5</f>
        <v>5</v>
      </c>
      <c r="AH10">
        <f>'Inventory ELV'!AH10*0.5</f>
        <v>4</v>
      </c>
      <c r="AI10">
        <f>'Inventory ELV'!AI10*0.5</f>
        <v>2.5</v>
      </c>
      <c r="AK10">
        <f>'Inventory ELV'!AK10*0.5</f>
        <v>7.5</v>
      </c>
      <c r="AL10">
        <f>'Inventory ELV'!AL10*0.5</f>
        <v>6</v>
      </c>
      <c r="AM10">
        <f>'Inventory ELV'!AM10*0.5</f>
        <v>4</v>
      </c>
      <c r="AN10">
        <f>'Inventory ELV'!AN10*0.5</f>
        <v>5</v>
      </c>
      <c r="AP10">
        <f>'Inventory ELV'!AP10*0.5</f>
        <v>7</v>
      </c>
      <c r="AQ10">
        <f>'Inventory ELV'!AQ10*0.5</f>
        <v>6</v>
      </c>
      <c r="AR10">
        <f>'Inventory ELV'!AR10*0.5</f>
        <v>4</v>
      </c>
      <c r="AS10">
        <f>'Inventory ELV'!AS10*0.5</f>
        <v>3</v>
      </c>
      <c r="AU10">
        <f>'Inventory ELV'!AU10*0.5</f>
        <v>7.5</v>
      </c>
      <c r="AV10">
        <f>'Inventory ELV'!AV10*0.5</f>
        <v>7</v>
      </c>
      <c r="AW10">
        <f>'Inventory ELV'!AW10*0.5</f>
        <v>4</v>
      </c>
      <c r="AX10">
        <f>'Inventory ELV'!AX10*0.5</f>
        <v>1</v>
      </c>
      <c r="AZ10">
        <f t="shared" si="0"/>
        <v>7.8</v>
      </c>
      <c r="BA10">
        <f t="shared" si="1"/>
        <v>5.8</v>
      </c>
      <c r="BB10">
        <f t="shared" si="2"/>
        <v>4</v>
      </c>
      <c r="BC10">
        <f t="shared" si="3"/>
        <v>3.3</v>
      </c>
    </row>
    <row r="11" spans="1:55" x14ac:dyDescent="0.35">
      <c r="A11">
        <v>9</v>
      </c>
      <c r="B11">
        <f>'Inventory ELV'!B11*0.5</f>
        <v>6</v>
      </c>
      <c r="C11">
        <f>'Inventory ELV'!C11*0.5</f>
        <v>6</v>
      </c>
      <c r="D11">
        <f>'Inventory ELV'!D11*0.5</f>
        <v>3.5</v>
      </c>
      <c r="E11">
        <f>'Inventory ELV'!E11*0.5</f>
        <v>1</v>
      </c>
      <c r="G11">
        <f>'Inventory ELV'!G11*0.5</f>
        <v>2.5</v>
      </c>
      <c r="H11">
        <f>'Inventory ELV'!H11*0.5</f>
        <v>6.5</v>
      </c>
      <c r="I11">
        <f>'Inventory ELV'!I11*0.5</f>
        <v>5.5</v>
      </c>
      <c r="J11">
        <f>'Inventory ELV'!J11*0.5</f>
        <v>1</v>
      </c>
      <c r="L11">
        <f>'Inventory ELV'!L11*0.5</f>
        <v>2.5</v>
      </c>
      <c r="M11">
        <f>'Inventory ELV'!M11*0.5</f>
        <v>6.5</v>
      </c>
      <c r="N11">
        <f>'Inventory ELV'!N11*0.5</f>
        <v>5.5</v>
      </c>
      <c r="O11">
        <f>'Inventory ELV'!O11*0.5</f>
        <v>1.5</v>
      </c>
      <c r="Q11">
        <f>'Inventory ELV'!Q11*0.5</f>
        <v>1</v>
      </c>
      <c r="R11">
        <f>'Inventory ELV'!R11*0.5</f>
        <v>6.5</v>
      </c>
      <c r="S11">
        <f>'Inventory ELV'!S11*0.5</f>
        <v>5.5</v>
      </c>
      <c r="T11">
        <f>'Inventory ELV'!T11*0.5</f>
        <v>1.5</v>
      </c>
      <c r="V11">
        <f>'Inventory ELV'!V11*0.5</f>
        <v>5</v>
      </c>
      <c r="W11">
        <f>'Inventory ELV'!W11*0.5</f>
        <v>6</v>
      </c>
      <c r="X11">
        <f>'Inventory ELV'!X11*0.5</f>
        <v>4</v>
      </c>
      <c r="Y11">
        <f>'Inventory ELV'!Y11*0.5</f>
        <v>3</v>
      </c>
      <c r="AA11">
        <f>'Inventory ELV'!AA11*0.5</f>
        <v>0</v>
      </c>
      <c r="AB11">
        <f>'Inventory ELV'!AB11*0.5</f>
        <v>6.5</v>
      </c>
      <c r="AC11">
        <f>'Inventory ELV'!AC11*0.5</f>
        <v>6.5</v>
      </c>
      <c r="AD11">
        <f>'Inventory ELV'!AD11*0.5</f>
        <v>1</v>
      </c>
      <c r="AF11">
        <f>'Inventory ELV'!AF11*0.5</f>
        <v>0</v>
      </c>
      <c r="AG11">
        <f>'Inventory ELV'!AG11*0.5</f>
        <v>6</v>
      </c>
      <c r="AH11">
        <f>'Inventory ELV'!AH11*0.5</f>
        <v>6.5</v>
      </c>
      <c r="AI11">
        <f>'Inventory ELV'!AI11*0.5</f>
        <v>1</v>
      </c>
      <c r="AK11">
        <f>'Inventory ELV'!AK11*0.5</f>
        <v>4.5</v>
      </c>
      <c r="AL11">
        <f>'Inventory ELV'!AL11*0.5</f>
        <v>6</v>
      </c>
      <c r="AM11">
        <f>'Inventory ELV'!AM11*0.5</f>
        <v>4</v>
      </c>
      <c r="AN11">
        <f>'Inventory ELV'!AN11*0.5</f>
        <v>3</v>
      </c>
      <c r="AP11">
        <f>'Inventory ELV'!AP11*0.5</f>
        <v>2</v>
      </c>
      <c r="AQ11">
        <f>'Inventory ELV'!AQ11*0.5</f>
        <v>6</v>
      </c>
      <c r="AR11">
        <f>'Inventory ELV'!AR11*0.5</f>
        <v>6</v>
      </c>
      <c r="AS11">
        <f>'Inventory ELV'!AS11*0.5</f>
        <v>1</v>
      </c>
      <c r="AU11">
        <f>'Inventory ELV'!AU11*0.5</f>
        <v>0</v>
      </c>
      <c r="AV11">
        <f>'Inventory ELV'!AV11*0.5</f>
        <v>7</v>
      </c>
      <c r="AW11">
        <f>'Inventory ELV'!AW11*0.5</f>
        <v>7</v>
      </c>
      <c r="AX11">
        <f>'Inventory ELV'!AX11*0.5</f>
        <v>1</v>
      </c>
      <c r="AZ11">
        <f t="shared" si="0"/>
        <v>2.35</v>
      </c>
      <c r="BA11">
        <f t="shared" si="1"/>
        <v>6.3</v>
      </c>
      <c r="BB11">
        <f t="shared" si="2"/>
        <v>5.4</v>
      </c>
      <c r="BC11">
        <f t="shared" si="3"/>
        <v>1.5</v>
      </c>
    </row>
    <row r="12" spans="1:55" x14ac:dyDescent="0.35">
      <c r="A12">
        <v>10</v>
      </c>
      <c r="B12">
        <f>'Inventory ELV'!B12*0.5</f>
        <v>0</v>
      </c>
      <c r="C12">
        <f>'Inventory ELV'!C12*0.5</f>
        <v>6</v>
      </c>
      <c r="D12">
        <f>'Inventory ELV'!D12*0.5</f>
        <v>6</v>
      </c>
      <c r="E12">
        <f>'Inventory ELV'!E12*0.5</f>
        <v>1</v>
      </c>
      <c r="G12">
        <f>'Inventory ELV'!G12*0.5</f>
        <v>0</v>
      </c>
      <c r="H12">
        <f>'Inventory ELV'!H12*0.5</f>
        <v>6</v>
      </c>
      <c r="I12">
        <f>'Inventory ELV'!I12*0.5</f>
        <v>7</v>
      </c>
      <c r="J12">
        <f>'Inventory ELV'!J12*0.5</f>
        <v>1.5</v>
      </c>
      <c r="L12">
        <f>'Inventory ELV'!L12*0.5</f>
        <v>0.5</v>
      </c>
      <c r="M12">
        <f>'Inventory ELV'!M12*0.5</f>
        <v>6</v>
      </c>
      <c r="N12">
        <f>'Inventory ELV'!N12*0.5</f>
        <v>6.5</v>
      </c>
      <c r="O12">
        <f>'Inventory ELV'!O12*0.5</f>
        <v>1.5</v>
      </c>
      <c r="Q12">
        <f>'Inventory ELV'!Q12*0.5</f>
        <v>0</v>
      </c>
      <c r="R12">
        <f>'Inventory ELV'!R12*0.5</f>
        <v>6</v>
      </c>
      <c r="S12">
        <f>'Inventory ELV'!S12*0.5</f>
        <v>6.5</v>
      </c>
      <c r="T12">
        <f>'Inventory ELV'!T12*0.5</f>
        <v>1.5</v>
      </c>
      <c r="V12">
        <f>'Inventory ELV'!V12*0.5</f>
        <v>2.5</v>
      </c>
      <c r="W12">
        <f>'Inventory ELV'!W12*0.5</f>
        <v>6</v>
      </c>
      <c r="X12">
        <f>'Inventory ELV'!X12*0.5</f>
        <v>5</v>
      </c>
      <c r="Y12">
        <f>'Inventory ELV'!Y12*0.5</f>
        <v>3</v>
      </c>
      <c r="AA12">
        <f>'Inventory ELV'!AA12*0.5</f>
        <v>0</v>
      </c>
      <c r="AB12">
        <f>'Inventory ELV'!AB12*0.5</f>
        <v>6</v>
      </c>
      <c r="AC12">
        <f>'Inventory ELV'!AC12*0.5</f>
        <v>7.5</v>
      </c>
      <c r="AD12">
        <f>'Inventory ELV'!AD12*0.5</f>
        <v>1.5</v>
      </c>
      <c r="AF12">
        <f>'Inventory ELV'!AF12*0.5</f>
        <v>0</v>
      </c>
      <c r="AG12">
        <f>'Inventory ELV'!AG12*0.5</f>
        <v>6</v>
      </c>
      <c r="AH12">
        <f>'Inventory ELV'!AH12*0.5</f>
        <v>7.5</v>
      </c>
      <c r="AI12">
        <f>'Inventory ELV'!AI12*0.5</f>
        <v>1.5</v>
      </c>
      <c r="AK12">
        <f>'Inventory ELV'!AK12*0.5</f>
        <v>3.5</v>
      </c>
      <c r="AL12">
        <f>'Inventory ELV'!AL12*0.5</f>
        <v>6</v>
      </c>
      <c r="AM12">
        <f>'Inventory ELV'!AM12*0.5</f>
        <v>5</v>
      </c>
      <c r="AN12">
        <f>'Inventory ELV'!AN12*0.5</f>
        <v>3.5</v>
      </c>
      <c r="AP12">
        <f>'Inventory ELV'!AP12*0.5</f>
        <v>0</v>
      </c>
      <c r="AQ12">
        <f>'Inventory ELV'!AQ12*0.5</f>
        <v>6</v>
      </c>
      <c r="AR12">
        <f>'Inventory ELV'!AR12*0.5</f>
        <v>7</v>
      </c>
      <c r="AS12">
        <f>'Inventory ELV'!AS12*0.5</f>
        <v>2.5</v>
      </c>
      <c r="AU12">
        <f>'Inventory ELV'!AU12*0.5</f>
        <v>0</v>
      </c>
      <c r="AV12">
        <f>'Inventory ELV'!AV12*0.5</f>
        <v>7</v>
      </c>
      <c r="AW12">
        <f>'Inventory ELV'!AW12*0.5</f>
        <v>9</v>
      </c>
      <c r="AX12">
        <f>'Inventory ELV'!AX12*0.5</f>
        <v>2.5</v>
      </c>
      <c r="AZ12">
        <f t="shared" si="0"/>
        <v>0.65</v>
      </c>
      <c r="BA12">
        <f t="shared" si="1"/>
        <v>6.1</v>
      </c>
      <c r="BB12">
        <f t="shared" si="2"/>
        <v>6.7</v>
      </c>
      <c r="BC12">
        <f t="shared" si="3"/>
        <v>2</v>
      </c>
    </row>
    <row r="13" spans="1:55" x14ac:dyDescent="0.35">
      <c r="A13">
        <v>11</v>
      </c>
      <c r="B13">
        <f>'Inventory ELV'!B13*0.5</f>
        <v>0</v>
      </c>
      <c r="C13">
        <f>'Inventory ELV'!C13*0.5</f>
        <v>6</v>
      </c>
      <c r="D13">
        <f>'Inventory ELV'!D13*0.5</f>
        <v>7</v>
      </c>
      <c r="E13">
        <f>'Inventory ELV'!E13*0.5</f>
        <v>1.5</v>
      </c>
      <c r="G13">
        <f>'Inventory ELV'!G13*0.5</f>
        <v>0</v>
      </c>
      <c r="H13">
        <f>'Inventory ELV'!H13*0.5</f>
        <v>0</v>
      </c>
      <c r="I13">
        <f>'Inventory ELV'!I13*0.5</f>
        <v>7</v>
      </c>
      <c r="J13">
        <f>'Inventory ELV'!J13*0.5</f>
        <v>6</v>
      </c>
      <c r="L13">
        <f>'Inventory ELV'!L13*0.5</f>
        <v>0</v>
      </c>
      <c r="M13">
        <f>'Inventory ELV'!M13*0.5</f>
        <v>0</v>
      </c>
      <c r="N13">
        <f>'Inventory ELV'!N13*0.5</f>
        <v>6.5</v>
      </c>
      <c r="O13">
        <f>'Inventory ELV'!O13*0.5</f>
        <v>5.5</v>
      </c>
      <c r="Q13">
        <f>'Inventory ELV'!Q13*0.5</f>
        <v>0</v>
      </c>
      <c r="R13">
        <f>'Inventory ELV'!R13*0.5</f>
        <v>1</v>
      </c>
      <c r="S13">
        <f>'Inventory ELV'!S13*0.5</f>
        <v>6.5</v>
      </c>
      <c r="T13">
        <f>'Inventory ELV'!T13*0.5</f>
        <v>7</v>
      </c>
      <c r="V13">
        <f>'Inventory ELV'!V13*0.5</f>
        <v>2.5</v>
      </c>
      <c r="W13">
        <f>'Inventory ELV'!W13*0.5</f>
        <v>6</v>
      </c>
      <c r="X13">
        <f>'Inventory ELV'!X13*0.5</f>
        <v>5</v>
      </c>
      <c r="Y13">
        <f>'Inventory ELV'!Y13*0.5</f>
        <v>4</v>
      </c>
      <c r="AA13">
        <f>'Inventory ELV'!AA13*0.5</f>
        <v>1.5</v>
      </c>
      <c r="AB13">
        <f>'Inventory ELV'!AB13*0.5</f>
        <v>0</v>
      </c>
      <c r="AC13">
        <f>'Inventory ELV'!AC13*0.5</f>
        <v>7</v>
      </c>
      <c r="AD13">
        <f>'Inventory ELV'!AD13*0.5</f>
        <v>8.5</v>
      </c>
      <c r="AF13">
        <f>'Inventory ELV'!AF13*0.5</f>
        <v>1.5</v>
      </c>
      <c r="AG13">
        <f>'Inventory ELV'!AG13*0.5</f>
        <v>0</v>
      </c>
      <c r="AH13">
        <f>'Inventory ELV'!AH13*0.5</f>
        <v>8.5</v>
      </c>
      <c r="AI13">
        <f>'Inventory ELV'!AI13*0.5</f>
        <v>8.5</v>
      </c>
      <c r="AK13">
        <f>'Inventory ELV'!AK13*0.5</f>
        <v>2.5</v>
      </c>
      <c r="AL13">
        <f>'Inventory ELV'!AL13*0.5</f>
        <v>5.5</v>
      </c>
      <c r="AM13">
        <f>'Inventory ELV'!AM13*0.5</f>
        <v>5</v>
      </c>
      <c r="AN13">
        <f>'Inventory ELV'!AN13*0.5</f>
        <v>4.5</v>
      </c>
      <c r="AP13">
        <f>'Inventory ELV'!AP13*0.5</f>
        <v>0</v>
      </c>
      <c r="AQ13">
        <f>'Inventory ELV'!AQ13*0.5</f>
        <v>0</v>
      </c>
      <c r="AR13">
        <f>'Inventory ELV'!AR13*0.5</f>
        <v>7</v>
      </c>
      <c r="AS13">
        <f>'Inventory ELV'!AS13*0.5</f>
        <v>6</v>
      </c>
      <c r="AU13">
        <f>'Inventory ELV'!AU13*0.5</f>
        <v>3.5</v>
      </c>
      <c r="AV13">
        <f>'Inventory ELV'!AV13*0.5</f>
        <v>0</v>
      </c>
      <c r="AW13">
        <f>'Inventory ELV'!AW13*0.5</f>
        <v>7</v>
      </c>
      <c r="AX13">
        <f>'Inventory ELV'!AX13*0.5</f>
        <v>9</v>
      </c>
      <c r="AZ13">
        <f t="shared" si="0"/>
        <v>1.1499999999999999</v>
      </c>
      <c r="BA13">
        <f t="shared" si="1"/>
        <v>1.85</v>
      </c>
      <c r="BB13">
        <f t="shared" si="2"/>
        <v>6.65</v>
      </c>
      <c r="BC13">
        <f t="shared" si="3"/>
        <v>6.05</v>
      </c>
    </row>
    <row r="14" spans="1:55" x14ac:dyDescent="0.35">
      <c r="A14">
        <v>12</v>
      </c>
      <c r="B14">
        <f>'Inventory ELV'!B14*0.5</f>
        <v>1.5</v>
      </c>
      <c r="C14">
        <f>'Inventory ELV'!C14*0.5</f>
        <v>0</v>
      </c>
      <c r="D14">
        <f>'Inventory ELV'!D14*0.5</f>
        <v>7</v>
      </c>
      <c r="E14">
        <f>'Inventory ELV'!E14*0.5</f>
        <v>9</v>
      </c>
      <c r="G14">
        <f>'Inventory ELV'!G14*0.5</f>
        <v>2.5</v>
      </c>
      <c r="H14">
        <f>'Inventory ELV'!H14*0.5</f>
        <v>0</v>
      </c>
      <c r="I14">
        <f>'Inventory ELV'!I14*0.5</f>
        <v>6.5</v>
      </c>
      <c r="J14">
        <f>'Inventory ELV'!J14*0.5</f>
        <v>8.5</v>
      </c>
      <c r="L14">
        <f>'Inventory ELV'!L14*0.5</f>
        <v>2.5</v>
      </c>
      <c r="M14">
        <f>'Inventory ELV'!M14*0.5</f>
        <v>0</v>
      </c>
      <c r="N14">
        <f>'Inventory ELV'!N14*0.5</f>
        <v>6.5</v>
      </c>
      <c r="O14">
        <f>'Inventory ELV'!O14*0.5</f>
        <v>7.5</v>
      </c>
      <c r="Q14">
        <f>'Inventory ELV'!Q14*0.5</f>
        <v>4</v>
      </c>
      <c r="R14">
        <f>'Inventory ELV'!R14*0.5</f>
        <v>0</v>
      </c>
      <c r="S14">
        <f>'Inventory ELV'!S14*0.5</f>
        <v>6.5</v>
      </c>
      <c r="T14">
        <f>'Inventory ELV'!T14*0.5</f>
        <v>8.5</v>
      </c>
      <c r="V14">
        <f>'Inventory ELV'!V14*0.5</f>
        <v>4.5</v>
      </c>
      <c r="W14">
        <f>'Inventory ELV'!W14*0.5</f>
        <v>0.5</v>
      </c>
      <c r="X14">
        <f>'Inventory ELV'!X14*0.5</f>
        <v>5</v>
      </c>
      <c r="Y14">
        <f>'Inventory ELV'!Y14*0.5</f>
        <v>8</v>
      </c>
      <c r="AA14">
        <f>'Inventory ELV'!AA14*0.5</f>
        <v>4</v>
      </c>
      <c r="AB14">
        <f>'Inventory ELV'!AB14*0.5</f>
        <v>0</v>
      </c>
      <c r="AC14">
        <f>'Inventory ELV'!AC14*0.5</f>
        <v>6.5</v>
      </c>
      <c r="AD14">
        <f>'Inventory ELV'!AD14*0.5</f>
        <v>7.5</v>
      </c>
      <c r="AF14">
        <f>'Inventory ELV'!AF14*0.5</f>
        <v>4</v>
      </c>
      <c r="AG14">
        <f>'Inventory ELV'!AG14*0.5</f>
        <v>0</v>
      </c>
      <c r="AH14">
        <f>'Inventory ELV'!AH14*0.5</f>
        <v>6.5</v>
      </c>
      <c r="AI14">
        <f>'Inventory ELV'!AI14*0.5</f>
        <v>8.5</v>
      </c>
      <c r="AK14">
        <f>'Inventory ELV'!AK14*0.5</f>
        <v>4.5</v>
      </c>
      <c r="AL14">
        <f>'Inventory ELV'!AL14*0.5</f>
        <v>4</v>
      </c>
      <c r="AM14">
        <f>'Inventory ELV'!AM14*0.5</f>
        <v>5</v>
      </c>
      <c r="AN14">
        <f>'Inventory ELV'!AN14*0.5</f>
        <v>6</v>
      </c>
      <c r="AP14">
        <f>'Inventory ELV'!AP14*0.5</f>
        <v>3.5</v>
      </c>
      <c r="AQ14">
        <f>'Inventory ELV'!AQ14*0.5</f>
        <v>0</v>
      </c>
      <c r="AR14">
        <f>'Inventory ELV'!AR14*0.5</f>
        <v>6.5</v>
      </c>
      <c r="AS14">
        <f>'Inventory ELV'!AS14*0.5</f>
        <v>8</v>
      </c>
      <c r="AU14">
        <f>'Inventory ELV'!AU14*0.5</f>
        <v>5.5</v>
      </c>
      <c r="AV14">
        <f>'Inventory ELV'!AV14*0.5</f>
        <v>0</v>
      </c>
      <c r="AW14">
        <f>'Inventory ELV'!AW14*0.5</f>
        <v>6</v>
      </c>
      <c r="AX14">
        <f>'Inventory ELV'!AX14*0.5</f>
        <v>9.5</v>
      </c>
      <c r="AZ14">
        <f t="shared" si="0"/>
        <v>3.65</v>
      </c>
      <c r="BA14">
        <f t="shared" si="1"/>
        <v>0.45</v>
      </c>
      <c r="BB14">
        <f t="shared" si="2"/>
        <v>6.2</v>
      </c>
      <c r="BC14">
        <f t="shared" si="3"/>
        <v>8.1</v>
      </c>
    </row>
    <row r="15" spans="1:55" x14ac:dyDescent="0.35">
      <c r="A15">
        <v>13</v>
      </c>
      <c r="B15">
        <f>'Inventory ELV'!B15*0.5</f>
        <v>4</v>
      </c>
      <c r="C15">
        <f>'Inventory ELV'!C15*0.5</f>
        <v>0</v>
      </c>
      <c r="D15">
        <f>'Inventory ELV'!D15*0.5</f>
        <v>6.5</v>
      </c>
      <c r="E15">
        <f>'Inventory ELV'!E15*0.5</f>
        <v>8.5</v>
      </c>
      <c r="G15">
        <f>'Inventory ELV'!G15*0.5</f>
        <v>12</v>
      </c>
      <c r="H15">
        <f>'Inventory ELV'!H15*0.5</f>
        <v>0.5</v>
      </c>
      <c r="I15">
        <f>'Inventory ELV'!I15*0.5</f>
        <v>5.5</v>
      </c>
      <c r="J15">
        <f>'Inventory ELV'!J15*0.5</f>
        <v>7.5</v>
      </c>
      <c r="L15">
        <f>'Inventory ELV'!L15*0.5</f>
        <v>11.5</v>
      </c>
      <c r="M15">
        <f>'Inventory ELV'!M15*0.5</f>
        <v>1</v>
      </c>
      <c r="N15">
        <f>'Inventory ELV'!N15*0.5</f>
        <v>6</v>
      </c>
      <c r="O15">
        <f>'Inventory ELV'!O15*0.5</f>
        <v>8</v>
      </c>
      <c r="Q15">
        <f>'Inventory ELV'!Q15*0.5</f>
        <v>11.5</v>
      </c>
      <c r="R15">
        <f>'Inventory ELV'!R15*0.5</f>
        <v>0</v>
      </c>
      <c r="S15">
        <f>'Inventory ELV'!S15*0.5</f>
        <v>6</v>
      </c>
      <c r="T15">
        <f>'Inventory ELV'!T15*0.5</f>
        <v>2</v>
      </c>
      <c r="V15">
        <f>'Inventory ELV'!V15*0.5</f>
        <v>5.5</v>
      </c>
      <c r="W15">
        <f>'Inventory ELV'!W15*0.5</f>
        <v>2</v>
      </c>
      <c r="X15">
        <f>'Inventory ELV'!X15*0.5</f>
        <v>5</v>
      </c>
      <c r="Y15">
        <f>'Inventory ELV'!Y15*0.5</f>
        <v>6.5</v>
      </c>
      <c r="AA15">
        <f>'Inventory ELV'!AA15*0.5</f>
        <v>12</v>
      </c>
      <c r="AB15">
        <f>'Inventory ELV'!AB15*0.5</f>
        <v>3</v>
      </c>
      <c r="AC15">
        <f>'Inventory ELV'!AC15*0.5</f>
        <v>5.5</v>
      </c>
      <c r="AD15">
        <f>'Inventory ELV'!AD15*0.5</f>
        <v>5.5</v>
      </c>
      <c r="AF15">
        <f>'Inventory ELV'!AF15*0.5</f>
        <v>12</v>
      </c>
      <c r="AG15">
        <f>'Inventory ELV'!AG15*0.5</f>
        <v>2.5</v>
      </c>
      <c r="AH15">
        <f>'Inventory ELV'!AH15*0.5</f>
        <v>5.5</v>
      </c>
      <c r="AI15">
        <f>'Inventory ELV'!AI15*0.5</f>
        <v>6.5</v>
      </c>
      <c r="AK15">
        <f>'Inventory ELV'!AK15*0.5</f>
        <v>5.5</v>
      </c>
      <c r="AL15">
        <f>'Inventory ELV'!AL15*0.5</f>
        <v>3</v>
      </c>
      <c r="AM15">
        <f>'Inventory ELV'!AM15*0.5</f>
        <v>5</v>
      </c>
      <c r="AN15">
        <f>'Inventory ELV'!AN15*0.5</f>
        <v>6.5</v>
      </c>
      <c r="AP15">
        <f>'Inventory ELV'!AP15*0.5</f>
        <v>5.5</v>
      </c>
      <c r="AQ15">
        <f>'Inventory ELV'!AQ15*0.5</f>
        <v>6</v>
      </c>
      <c r="AR15">
        <f>'Inventory ELV'!AR15*0.5</f>
        <v>6</v>
      </c>
      <c r="AS15">
        <f>'Inventory ELV'!AS15*0.5</f>
        <v>7.5</v>
      </c>
      <c r="AU15">
        <f>'Inventory ELV'!AU15*0.5</f>
        <v>13</v>
      </c>
      <c r="AV15">
        <f>'Inventory ELV'!AV15*0.5</f>
        <v>0</v>
      </c>
      <c r="AW15">
        <f>'Inventory ELV'!AW15*0.5</f>
        <v>5</v>
      </c>
      <c r="AX15">
        <f>'Inventory ELV'!AX15*0.5</f>
        <v>3.5</v>
      </c>
      <c r="AZ15">
        <f t="shared" si="0"/>
        <v>9.25</v>
      </c>
      <c r="BA15">
        <f t="shared" si="1"/>
        <v>1.8</v>
      </c>
      <c r="BB15">
        <f t="shared" si="2"/>
        <v>5.6</v>
      </c>
      <c r="BC15">
        <f t="shared" si="3"/>
        <v>6.2</v>
      </c>
    </row>
    <row r="16" spans="1:55" x14ac:dyDescent="0.35">
      <c r="A16">
        <v>14</v>
      </c>
      <c r="B16">
        <f>'Inventory ELV'!B16*0.5</f>
        <v>12</v>
      </c>
      <c r="C16">
        <f>'Inventory ELV'!C16*0.5</f>
        <v>2</v>
      </c>
      <c r="D16">
        <f>'Inventory ELV'!D16*0.5</f>
        <v>5.5</v>
      </c>
      <c r="E16">
        <f>'Inventory ELV'!E16*0.5</f>
        <v>6</v>
      </c>
      <c r="G16">
        <f>'Inventory ELV'!G16*0.5</f>
        <v>12</v>
      </c>
      <c r="H16">
        <f>'Inventory ELV'!H16*0.5</f>
        <v>11.5</v>
      </c>
      <c r="I16">
        <f>'Inventory ELV'!I16*0.5</f>
        <v>5.5</v>
      </c>
      <c r="J16">
        <f>'Inventory ELV'!J16*0.5</f>
        <v>5</v>
      </c>
      <c r="L16">
        <f>'Inventory ELV'!L16*0.5</f>
        <v>11</v>
      </c>
      <c r="M16">
        <f>'Inventory ELV'!M16*0.5</f>
        <v>13.5</v>
      </c>
      <c r="N16">
        <f>'Inventory ELV'!N16*0.5</f>
        <v>6</v>
      </c>
      <c r="O16">
        <f>'Inventory ELV'!O16*0.5</f>
        <v>5</v>
      </c>
      <c r="Q16">
        <f>'Inventory ELV'!Q16*0.5</f>
        <v>5</v>
      </c>
      <c r="R16">
        <f>'Inventory ELV'!R16*0.5</f>
        <v>9.5</v>
      </c>
      <c r="S16">
        <f>'Inventory ELV'!S16*0.5</f>
        <v>6</v>
      </c>
      <c r="T16">
        <f>'Inventory ELV'!T16*0.5</f>
        <v>3.5</v>
      </c>
      <c r="V16">
        <f>'Inventory ELV'!V16*0.5</f>
        <v>11.5</v>
      </c>
      <c r="W16">
        <f>'Inventory ELV'!W16*0.5</f>
        <v>6</v>
      </c>
      <c r="X16">
        <f>'Inventory ELV'!X16*0.5</f>
        <v>4.5</v>
      </c>
      <c r="Y16">
        <f>'Inventory ELV'!Y16*0.5</f>
        <v>4.5</v>
      </c>
      <c r="AA16">
        <f>'Inventory ELV'!AA16*0.5</f>
        <v>7</v>
      </c>
      <c r="AB16">
        <f>'Inventory ELV'!AB16*0.5</f>
        <v>15</v>
      </c>
      <c r="AC16">
        <f>'Inventory ELV'!AC16*0.5</f>
        <v>6.5</v>
      </c>
      <c r="AD16">
        <f>'Inventory ELV'!AD16*0.5</f>
        <v>3</v>
      </c>
      <c r="AF16">
        <f>'Inventory ELV'!AF16*0.5</f>
        <v>8</v>
      </c>
      <c r="AG16">
        <f>'Inventory ELV'!AG16*0.5</f>
        <v>12</v>
      </c>
      <c r="AH16">
        <f>'Inventory ELV'!AH16*0.5</f>
        <v>6.5</v>
      </c>
      <c r="AI16">
        <f>'Inventory ELV'!AI16*0.5</f>
        <v>2.5</v>
      </c>
      <c r="AK16">
        <f>'Inventory ELV'!AK16*0.5</f>
        <v>8</v>
      </c>
      <c r="AL16">
        <f>'Inventory ELV'!AL16*0.5</f>
        <v>6</v>
      </c>
      <c r="AM16">
        <f>'Inventory ELV'!AM16*0.5</f>
        <v>4.5</v>
      </c>
      <c r="AN16">
        <f>'Inventory ELV'!AN16*0.5</f>
        <v>4.5</v>
      </c>
      <c r="AP16">
        <f>'Inventory ELV'!AP16*0.5</f>
        <v>4.5</v>
      </c>
      <c r="AQ16">
        <f>'Inventory ELV'!AQ16*0.5</f>
        <v>18</v>
      </c>
      <c r="AR16">
        <f>'Inventory ELV'!AR16*0.5</f>
        <v>6</v>
      </c>
      <c r="AS16">
        <f>'Inventory ELV'!AS16*0.5</f>
        <v>3.5</v>
      </c>
      <c r="AU16">
        <f>'Inventory ELV'!AU16*0.5</f>
        <v>6</v>
      </c>
      <c r="AV16">
        <f>'Inventory ELV'!AV16*0.5</f>
        <v>0</v>
      </c>
      <c r="AW16">
        <f>'Inventory ELV'!AW16*0.5</f>
        <v>5.5</v>
      </c>
      <c r="AX16">
        <f>'Inventory ELV'!AX16*0.5</f>
        <v>1.5</v>
      </c>
      <c r="AZ16">
        <f t="shared" si="0"/>
        <v>8.5</v>
      </c>
      <c r="BA16">
        <f t="shared" si="1"/>
        <v>9.35</v>
      </c>
      <c r="BB16">
        <f t="shared" si="2"/>
        <v>5.65</v>
      </c>
      <c r="BC16">
        <f t="shared" si="3"/>
        <v>3.9</v>
      </c>
    </row>
    <row r="17" spans="1:55" x14ac:dyDescent="0.35">
      <c r="A17">
        <v>15</v>
      </c>
      <c r="B17">
        <f>'Inventory ELV'!B17*0.5</f>
        <v>9.5</v>
      </c>
      <c r="C17">
        <f>'Inventory ELV'!C17*0.5</f>
        <v>10</v>
      </c>
      <c r="D17">
        <f>'Inventory ELV'!D17*0.5</f>
        <v>5.5</v>
      </c>
      <c r="E17">
        <f>'Inventory ELV'!E17*0.5</f>
        <v>3.5</v>
      </c>
      <c r="G17">
        <f>'Inventory ELV'!G17*0.5</f>
        <v>7</v>
      </c>
      <c r="H17">
        <f>'Inventory ELV'!H17*0.5</f>
        <v>22</v>
      </c>
      <c r="I17">
        <f>'Inventory ELV'!I17*0.5</f>
        <v>6.5</v>
      </c>
      <c r="J17">
        <f>'Inventory ELV'!J17*0.5</f>
        <v>1</v>
      </c>
      <c r="L17">
        <f>'Inventory ELV'!L17*0.5</f>
        <v>7.5</v>
      </c>
      <c r="M17">
        <f>'Inventory ELV'!M17*0.5</f>
        <v>17</v>
      </c>
      <c r="N17">
        <f>'Inventory ELV'!N17*0.5</f>
        <v>6</v>
      </c>
      <c r="O17">
        <f>'Inventory ELV'!O17*0.5</f>
        <v>2</v>
      </c>
      <c r="Q17">
        <f>'Inventory ELV'!Q17*0.5</f>
        <v>4.5</v>
      </c>
      <c r="R17">
        <f>'Inventory ELV'!R17*0.5</f>
        <v>11.5</v>
      </c>
      <c r="S17">
        <f>'Inventory ELV'!S17*0.5</f>
        <v>6</v>
      </c>
      <c r="T17">
        <f>'Inventory ELV'!T17*0.5</f>
        <v>1.5</v>
      </c>
      <c r="V17">
        <f>'Inventory ELV'!V17*0.5</f>
        <v>6</v>
      </c>
      <c r="W17">
        <f>'Inventory ELV'!W17*0.5</f>
        <v>8</v>
      </c>
      <c r="X17">
        <f>'Inventory ELV'!X17*0.5</f>
        <v>5</v>
      </c>
      <c r="Y17">
        <f>'Inventory ELV'!Y17*0.5</f>
        <v>3.5</v>
      </c>
      <c r="AA17">
        <f>'Inventory ELV'!AA17*0.5</f>
        <v>1</v>
      </c>
      <c r="AB17">
        <f>'Inventory ELV'!AB17*0.5</f>
        <v>18</v>
      </c>
      <c r="AC17">
        <f>'Inventory ELV'!AC17*0.5</f>
        <v>7</v>
      </c>
      <c r="AD17">
        <f>'Inventory ELV'!AD17*0.5</f>
        <v>1</v>
      </c>
      <c r="AF17">
        <f>'Inventory ELV'!AF17*0.5</f>
        <v>3.5</v>
      </c>
      <c r="AG17">
        <f>'Inventory ELV'!AG17*0.5</f>
        <v>14</v>
      </c>
      <c r="AH17">
        <f>'Inventory ELV'!AH17*0.5</f>
        <v>6</v>
      </c>
      <c r="AI17">
        <f>'Inventory ELV'!AI17*0.5</f>
        <v>1</v>
      </c>
      <c r="AK17">
        <f>'Inventory ELV'!AK17*0.5</f>
        <v>7</v>
      </c>
      <c r="AL17">
        <f>'Inventory ELV'!AL17*0.5</f>
        <v>6</v>
      </c>
      <c r="AM17">
        <f>'Inventory ELV'!AM17*0.5</f>
        <v>5</v>
      </c>
      <c r="AN17">
        <f>'Inventory ELV'!AN17*0.5</f>
        <v>4</v>
      </c>
      <c r="AP17">
        <f>'Inventory ELV'!AP17*0.5</f>
        <v>1</v>
      </c>
      <c r="AQ17">
        <f>'Inventory ELV'!AQ17*0.5</f>
        <v>1</v>
      </c>
      <c r="AR17">
        <f>'Inventory ELV'!AR17*0.5</f>
        <v>6.5</v>
      </c>
      <c r="AS17">
        <f>'Inventory ELV'!AS17*0.5</f>
        <v>1.5</v>
      </c>
      <c r="AU17">
        <f>'Inventory ELV'!AU17*0.5</f>
        <v>0</v>
      </c>
      <c r="AV17">
        <f>'Inventory ELV'!AV17*0.5</f>
        <v>19.5</v>
      </c>
      <c r="AW17">
        <f>'Inventory ELV'!AW17*0.5</f>
        <v>7</v>
      </c>
      <c r="AX17">
        <f>'Inventory ELV'!AX17*0.5</f>
        <v>1</v>
      </c>
      <c r="AZ17">
        <f t="shared" si="0"/>
        <v>4.7</v>
      </c>
      <c r="BA17">
        <f t="shared" si="1"/>
        <v>12.7</v>
      </c>
      <c r="BB17">
        <f t="shared" si="2"/>
        <v>6.05</v>
      </c>
      <c r="BC17">
        <f t="shared" si="3"/>
        <v>2</v>
      </c>
    </row>
    <row r="18" spans="1:55" x14ac:dyDescent="0.35">
      <c r="A18">
        <v>16</v>
      </c>
      <c r="B18">
        <f>'Inventory ELV'!B18*0.5</f>
        <v>3</v>
      </c>
      <c r="C18">
        <f>'Inventory ELV'!C18*0.5</f>
        <v>13</v>
      </c>
      <c r="D18">
        <f>'Inventory ELV'!D18*0.5</f>
        <v>6.5</v>
      </c>
      <c r="E18">
        <f>'Inventory ELV'!E18*0.5</f>
        <v>1</v>
      </c>
      <c r="G18">
        <f>'Inventory ELV'!G18*0.5</f>
        <v>0</v>
      </c>
      <c r="H18">
        <f>'Inventory ELV'!H18*0.5</f>
        <v>11</v>
      </c>
      <c r="I18">
        <f>'Inventory ELV'!I18*0.5</f>
        <v>6.5</v>
      </c>
      <c r="J18">
        <f>'Inventory ELV'!J18*0.5</f>
        <v>1.5</v>
      </c>
      <c r="L18">
        <f>'Inventory ELV'!L18*0.5</f>
        <v>0</v>
      </c>
      <c r="M18">
        <f>'Inventory ELV'!M18*0.5</f>
        <v>10</v>
      </c>
      <c r="N18">
        <f>'Inventory ELV'!N18*0.5</f>
        <v>6.5</v>
      </c>
      <c r="O18">
        <f>'Inventory ELV'!O18*0.5</f>
        <v>2.5</v>
      </c>
      <c r="Q18">
        <f>'Inventory ELV'!Q18*0.5</f>
        <v>3.5</v>
      </c>
      <c r="R18">
        <f>'Inventory ELV'!R18*0.5</f>
        <v>6</v>
      </c>
      <c r="S18">
        <f>'Inventory ELV'!S18*0.5</f>
        <v>6.5</v>
      </c>
      <c r="T18">
        <f>'Inventory ELV'!T18*0.5</f>
        <v>8.5</v>
      </c>
      <c r="V18">
        <f>'Inventory ELV'!V18*0.5</f>
        <v>2</v>
      </c>
      <c r="W18">
        <f>'Inventory ELV'!W18*0.5</f>
        <v>7</v>
      </c>
      <c r="X18">
        <f>'Inventory ELV'!X18*0.5</f>
        <v>5</v>
      </c>
      <c r="Y18">
        <f>'Inventory ELV'!Y18*0.5</f>
        <v>3</v>
      </c>
      <c r="AA18">
        <f>'Inventory ELV'!AA18*0.5</f>
        <v>0</v>
      </c>
      <c r="AB18">
        <f>'Inventory ELV'!AB18*0.5</f>
        <v>4.5</v>
      </c>
      <c r="AC18">
        <f>'Inventory ELV'!AC18*0.5</f>
        <v>7</v>
      </c>
      <c r="AD18">
        <f>'Inventory ELV'!AD18*0.5</f>
        <v>6.5</v>
      </c>
      <c r="AF18">
        <f>'Inventory ELV'!AF18*0.5</f>
        <v>0</v>
      </c>
      <c r="AG18">
        <f>'Inventory ELV'!AG18*0.5</f>
        <v>3</v>
      </c>
      <c r="AH18">
        <f>'Inventory ELV'!AH18*0.5</f>
        <v>7.5</v>
      </c>
      <c r="AI18">
        <f>'Inventory ELV'!AI18*0.5</f>
        <v>5.5</v>
      </c>
      <c r="AK18">
        <f>'Inventory ELV'!AK18*0.5</f>
        <v>2</v>
      </c>
      <c r="AL18">
        <f>'Inventory ELV'!AL18*0.5</f>
        <v>6.5</v>
      </c>
      <c r="AM18">
        <f>'Inventory ELV'!AM18*0.5</f>
        <v>5</v>
      </c>
      <c r="AN18">
        <f>'Inventory ELV'!AN18*0.5</f>
        <v>3</v>
      </c>
      <c r="AP18">
        <f>'Inventory ELV'!AP18*0.5</f>
        <v>0</v>
      </c>
      <c r="AQ18">
        <f>'Inventory ELV'!AQ18*0.5</f>
        <v>6</v>
      </c>
      <c r="AR18">
        <f>'Inventory ELV'!AR18*0.5</f>
        <v>7</v>
      </c>
      <c r="AS18">
        <f>'Inventory ELV'!AS18*0.5</f>
        <v>3</v>
      </c>
      <c r="AU18">
        <f>'Inventory ELV'!AU18*0.5</f>
        <v>23.5</v>
      </c>
      <c r="AV18">
        <f>'Inventory ELV'!AV18*0.5</f>
        <v>26</v>
      </c>
      <c r="AW18">
        <f>'Inventory ELV'!AW18*0.5</f>
        <v>7</v>
      </c>
      <c r="AX18">
        <f>'Inventory ELV'!AX18*0.5</f>
        <v>2</v>
      </c>
      <c r="AZ18">
        <f t="shared" si="0"/>
        <v>3.4</v>
      </c>
      <c r="BA18">
        <f t="shared" si="1"/>
        <v>9.3000000000000007</v>
      </c>
      <c r="BB18">
        <f t="shared" si="2"/>
        <v>6.45</v>
      </c>
      <c r="BC18">
        <f t="shared" si="3"/>
        <v>3.65</v>
      </c>
    </row>
    <row r="19" spans="1:55" x14ac:dyDescent="0.35">
      <c r="A19">
        <v>17</v>
      </c>
      <c r="B19">
        <f>'Inventory ELV'!B19*0.5</f>
        <v>0</v>
      </c>
      <c r="C19">
        <f>'Inventory ELV'!C19*0.5</f>
        <v>6</v>
      </c>
      <c r="D19">
        <f>'Inventory ELV'!D19*0.5</f>
        <v>6.5</v>
      </c>
      <c r="E19">
        <f>'Inventory ELV'!E19*0.5</f>
        <v>4</v>
      </c>
      <c r="G19">
        <f>'Inventory ELV'!G19*0.5</f>
        <v>0</v>
      </c>
      <c r="H19">
        <f>'Inventory ELV'!H19*0.5</f>
        <v>1</v>
      </c>
      <c r="I19">
        <f>'Inventory ELV'!I19*0.5</f>
        <v>7</v>
      </c>
      <c r="J19">
        <f>'Inventory ELV'!J19*0.5</f>
        <v>6.5</v>
      </c>
      <c r="L19">
        <f>'Inventory ELV'!L19*0.5</f>
        <v>0</v>
      </c>
      <c r="M19">
        <f>'Inventory ELV'!M19*0.5</f>
        <v>0.5</v>
      </c>
      <c r="N19">
        <f>'Inventory ELV'!N19*0.5</f>
        <v>6.5</v>
      </c>
      <c r="O19">
        <f>'Inventory ELV'!O19*0.5</f>
        <v>5.5</v>
      </c>
      <c r="Q19">
        <f>'Inventory ELV'!Q19*0.5</f>
        <v>3</v>
      </c>
      <c r="R19">
        <f>'Inventory ELV'!R19*0.5</f>
        <v>0</v>
      </c>
      <c r="S19">
        <f>'Inventory ELV'!S19*0.5</f>
        <v>6.5</v>
      </c>
      <c r="T19">
        <f>'Inventory ELV'!T19*0.5</f>
        <v>9.5</v>
      </c>
      <c r="V19">
        <f>'Inventory ELV'!V19*0.5</f>
        <v>3.5</v>
      </c>
      <c r="W19">
        <f>'Inventory ELV'!W19*0.5</f>
        <v>2.5</v>
      </c>
      <c r="X19">
        <f>'Inventory ELV'!X19*0.5</f>
        <v>5</v>
      </c>
      <c r="Y19">
        <f>'Inventory ELV'!Y19*0.5</f>
        <v>7.5</v>
      </c>
      <c r="AA19">
        <f>'Inventory ELV'!AA19*0.5</f>
        <v>2.5</v>
      </c>
      <c r="AB19">
        <f>'Inventory ELV'!AB19*0.5</f>
        <v>0</v>
      </c>
      <c r="AC19">
        <f>'Inventory ELV'!AC19*0.5</f>
        <v>7</v>
      </c>
      <c r="AD19">
        <f>'Inventory ELV'!AD19*0.5</f>
        <v>9.5</v>
      </c>
      <c r="AF19">
        <f>'Inventory ELV'!AF19*0.5</f>
        <v>2</v>
      </c>
      <c r="AG19">
        <f>'Inventory ELV'!AG19*0.5</f>
        <v>0</v>
      </c>
      <c r="AH19">
        <f>'Inventory ELV'!AH19*0.5</f>
        <v>7</v>
      </c>
      <c r="AI19">
        <f>'Inventory ELV'!AI19*0.5</f>
        <v>7.5</v>
      </c>
      <c r="AK19">
        <f>'Inventory ELV'!AK19*0.5</f>
        <v>3.5</v>
      </c>
      <c r="AL19">
        <f>'Inventory ELV'!AL19*0.5</f>
        <v>6</v>
      </c>
      <c r="AM19">
        <f>'Inventory ELV'!AM19*0.5</f>
        <v>5</v>
      </c>
      <c r="AN19">
        <f>'Inventory ELV'!AN19*0.5</f>
        <v>5.5</v>
      </c>
      <c r="AP19">
        <f>'Inventory ELV'!AP19*0.5</f>
        <v>7.5</v>
      </c>
      <c r="AQ19">
        <f>'Inventory ELV'!AQ19*0.5</f>
        <v>0</v>
      </c>
      <c r="AR19">
        <f>'Inventory ELV'!AR19*0.5</f>
        <v>7</v>
      </c>
      <c r="AS19">
        <f>'Inventory ELV'!AS19*0.5</f>
        <v>6.5</v>
      </c>
      <c r="AU19">
        <f>'Inventory ELV'!AU19*0.5</f>
        <v>6.5</v>
      </c>
      <c r="AV19">
        <f>'Inventory ELV'!AV19*0.5</f>
        <v>22.5</v>
      </c>
      <c r="AW19">
        <f>'Inventory ELV'!AW19*0.5</f>
        <v>7</v>
      </c>
      <c r="AX19">
        <f>'Inventory ELV'!AX19*0.5</f>
        <v>8.5</v>
      </c>
      <c r="AZ19">
        <f t="shared" si="0"/>
        <v>2.85</v>
      </c>
      <c r="BA19">
        <f t="shared" si="1"/>
        <v>3.85</v>
      </c>
      <c r="BB19">
        <f t="shared" si="2"/>
        <v>6.45</v>
      </c>
      <c r="BC19">
        <f t="shared" si="3"/>
        <v>7.05</v>
      </c>
    </row>
    <row r="20" spans="1:55" x14ac:dyDescent="0.35">
      <c r="A20">
        <v>18</v>
      </c>
      <c r="B20">
        <f>'Inventory ELV'!B20*0.5</f>
        <v>0.5</v>
      </c>
      <c r="C20">
        <f>'Inventory ELV'!C20*0.5</f>
        <v>0</v>
      </c>
      <c r="D20">
        <f>'Inventory ELV'!D20*0.5</f>
        <v>7</v>
      </c>
      <c r="E20">
        <f>'Inventory ELV'!E20*0.5</f>
        <v>9</v>
      </c>
      <c r="G20">
        <f>'Inventory ELV'!G20*0.5</f>
        <v>3</v>
      </c>
      <c r="H20">
        <f>'Inventory ELV'!H20*0.5</f>
        <v>0</v>
      </c>
      <c r="I20">
        <f>'Inventory ELV'!I20*0.5</f>
        <v>6.5</v>
      </c>
      <c r="J20">
        <f>'Inventory ELV'!J20*0.5</f>
        <v>8</v>
      </c>
      <c r="L20">
        <f>'Inventory ELV'!L20*0.5</f>
        <v>3</v>
      </c>
      <c r="M20">
        <f>'Inventory ELV'!M20*0.5</f>
        <v>0</v>
      </c>
      <c r="N20">
        <f>'Inventory ELV'!N20*0.5</f>
        <v>6.5</v>
      </c>
      <c r="O20">
        <f>'Inventory ELV'!O20*0.5</f>
        <v>8</v>
      </c>
      <c r="Q20">
        <f>'Inventory ELV'!Q20*0.5</f>
        <v>11.5</v>
      </c>
      <c r="R20">
        <f>'Inventory ELV'!R20*0.5</f>
        <v>2.5</v>
      </c>
      <c r="S20">
        <f>'Inventory ELV'!S20*0.5</f>
        <v>6.5</v>
      </c>
      <c r="T20">
        <f>'Inventory ELV'!T20*0.5</f>
        <v>4.5</v>
      </c>
      <c r="V20">
        <f>'Inventory ELV'!V20*0.5</f>
        <v>5</v>
      </c>
      <c r="W20">
        <f>'Inventory ELV'!W20*0.5</f>
        <v>0.5</v>
      </c>
      <c r="X20">
        <f>'Inventory ELV'!X20*0.5</f>
        <v>5</v>
      </c>
      <c r="Y20">
        <f>'Inventory ELV'!Y20*0.5</f>
        <v>7</v>
      </c>
      <c r="AA20">
        <f>'Inventory ELV'!AA20*0.5</f>
        <v>8.5</v>
      </c>
      <c r="AB20">
        <f>'Inventory ELV'!AB20*0.5</f>
        <v>0</v>
      </c>
      <c r="AC20">
        <f>'Inventory ELV'!AC20*0.5</f>
        <v>6.5</v>
      </c>
      <c r="AD20">
        <f>'Inventory ELV'!AD20*0.5</f>
        <v>7.5</v>
      </c>
      <c r="AF20">
        <f>'Inventory ELV'!AF20*0.5</f>
        <v>9</v>
      </c>
      <c r="AG20">
        <f>'Inventory ELV'!AG20*0.5</f>
        <v>0</v>
      </c>
      <c r="AH20">
        <f>'Inventory ELV'!AH20*0.5</f>
        <v>6.5</v>
      </c>
      <c r="AI20">
        <f>'Inventory ELV'!AI20*0.5</f>
        <v>8</v>
      </c>
      <c r="AK20">
        <f>'Inventory ELV'!AK20*0.5</f>
        <v>4</v>
      </c>
      <c r="AL20">
        <f>'Inventory ELV'!AL20*0.5</f>
        <v>1.5</v>
      </c>
      <c r="AM20">
        <f>'Inventory ELV'!AM20*0.5</f>
        <v>5</v>
      </c>
      <c r="AN20">
        <f>'Inventory ELV'!AN20*0.5</f>
        <v>7</v>
      </c>
      <c r="AP20">
        <f>'Inventory ELV'!AP20*0.5</f>
        <v>3.5</v>
      </c>
      <c r="AQ20">
        <f>'Inventory ELV'!AQ20*0.5</f>
        <v>0</v>
      </c>
      <c r="AR20">
        <f>'Inventory ELV'!AR20*0.5</f>
        <v>6.5</v>
      </c>
      <c r="AS20">
        <f>'Inventory ELV'!AS20*0.5</f>
        <v>7.5</v>
      </c>
      <c r="AU20">
        <f>'Inventory ELV'!AU20*0.5</f>
        <v>5</v>
      </c>
      <c r="AV20">
        <f>'Inventory ELV'!AV20*0.5</f>
        <v>20</v>
      </c>
      <c r="AW20">
        <f>'Inventory ELV'!AW20*0.5</f>
        <v>6</v>
      </c>
      <c r="AX20">
        <f>'Inventory ELV'!AX20*0.5</f>
        <v>8.5</v>
      </c>
      <c r="AZ20">
        <f t="shared" si="0"/>
        <v>5.3</v>
      </c>
      <c r="BA20">
        <f t="shared" si="1"/>
        <v>2.4500000000000002</v>
      </c>
      <c r="BB20">
        <f t="shared" si="2"/>
        <v>6.2</v>
      </c>
      <c r="BC20">
        <f t="shared" si="3"/>
        <v>7.5</v>
      </c>
    </row>
    <row r="21" spans="1:55" x14ac:dyDescent="0.35">
      <c r="A21">
        <v>19</v>
      </c>
      <c r="B21">
        <f>'Inventory ELV'!B21*0.5</f>
        <v>5</v>
      </c>
      <c r="C21">
        <f>'Inventory ELV'!C21*0.5</f>
        <v>0</v>
      </c>
      <c r="D21">
        <f>'Inventory ELV'!D21*0.5</f>
        <v>6.5</v>
      </c>
      <c r="E21">
        <f>'Inventory ELV'!E21*0.5</f>
        <v>8</v>
      </c>
      <c r="G21">
        <f>'Inventory ELV'!G21*0.5</f>
        <v>11</v>
      </c>
      <c r="H21">
        <f>'Inventory ELV'!H21*0.5</f>
        <v>0</v>
      </c>
      <c r="I21">
        <f>'Inventory ELV'!I21*0.5</f>
        <v>6</v>
      </c>
      <c r="J21">
        <f>'Inventory ELV'!J21*0.5</f>
        <v>8</v>
      </c>
      <c r="L21">
        <f>'Inventory ELV'!L21*0.5</f>
        <v>10.5</v>
      </c>
      <c r="M21">
        <f>'Inventory ELV'!M21*0.5</f>
        <v>6</v>
      </c>
      <c r="N21">
        <f>'Inventory ELV'!N21*0.5</f>
        <v>6</v>
      </c>
      <c r="O21">
        <f>'Inventory ELV'!O21*0.5</f>
        <v>7.5</v>
      </c>
      <c r="Q21">
        <f>'Inventory ELV'!Q21*0.5</f>
        <v>8</v>
      </c>
      <c r="R21">
        <f>'Inventory ELV'!R21*0.5</f>
        <v>8.5</v>
      </c>
      <c r="S21">
        <f>'Inventory ELV'!S21*0.5</f>
        <v>6</v>
      </c>
      <c r="T21">
        <f>'Inventory ELV'!T21*0.5</f>
        <v>4.5</v>
      </c>
      <c r="V21">
        <f>'Inventory ELV'!V21*0.5</f>
        <v>9.5</v>
      </c>
      <c r="W21">
        <f>'Inventory ELV'!W21*0.5</f>
        <v>4</v>
      </c>
      <c r="X21">
        <f>'Inventory ELV'!X21*0.5</f>
        <v>4.5</v>
      </c>
      <c r="Y21">
        <f>'Inventory ELV'!Y21*0.5</f>
        <v>5.5</v>
      </c>
      <c r="AA21">
        <f>'Inventory ELV'!AA21*0.5</f>
        <v>9.5</v>
      </c>
      <c r="AB21">
        <f>'Inventory ELV'!AB21*0.5</f>
        <v>7.5</v>
      </c>
      <c r="AC21">
        <f>'Inventory ELV'!AC21*0.5</f>
        <v>6.5</v>
      </c>
      <c r="AD21">
        <f>'Inventory ELV'!AD21*0.5</f>
        <v>5</v>
      </c>
      <c r="AF21">
        <f>'Inventory ELV'!AF21*0.5</f>
        <v>8</v>
      </c>
      <c r="AG21">
        <f>'Inventory ELV'!AG21*0.5</f>
        <v>5</v>
      </c>
      <c r="AH21">
        <f>'Inventory ELV'!AH21*0.5</f>
        <v>6.5</v>
      </c>
      <c r="AI21">
        <f>'Inventory ELV'!AI21*0.5</f>
        <v>5</v>
      </c>
      <c r="AK21">
        <f>'Inventory ELV'!AK21*0.5</f>
        <v>6</v>
      </c>
      <c r="AL21">
        <f>'Inventory ELV'!AL21*0.5</f>
        <v>4</v>
      </c>
      <c r="AM21">
        <f>'Inventory ELV'!AM21*0.5</f>
        <v>4.5</v>
      </c>
      <c r="AN21">
        <f>'Inventory ELV'!AN21*0.5</f>
        <v>5.5</v>
      </c>
      <c r="AP21">
        <f>'Inventory ELV'!AP21*0.5</f>
        <v>4.5</v>
      </c>
      <c r="AQ21">
        <f>'Inventory ELV'!AQ21*0.5</f>
        <v>6</v>
      </c>
      <c r="AR21">
        <f>'Inventory ELV'!AR21*0.5</f>
        <v>6.5</v>
      </c>
      <c r="AS21">
        <f>'Inventory ELV'!AS21*0.5</f>
        <v>7.5</v>
      </c>
      <c r="AU21">
        <f>'Inventory ELV'!AU21*0.5</f>
        <v>9.5</v>
      </c>
      <c r="AV21">
        <f>'Inventory ELV'!AV21*0.5</f>
        <v>12.5</v>
      </c>
      <c r="AW21">
        <f>'Inventory ELV'!AW21*0.5</f>
        <v>5.5</v>
      </c>
      <c r="AX21">
        <f>'Inventory ELV'!AX21*0.5</f>
        <v>5.5</v>
      </c>
      <c r="AZ21">
        <f t="shared" si="0"/>
        <v>8.15</v>
      </c>
      <c r="BA21">
        <f t="shared" si="1"/>
        <v>5.35</v>
      </c>
      <c r="BB21">
        <f t="shared" si="2"/>
        <v>5.85</v>
      </c>
      <c r="BC21">
        <f t="shared" si="3"/>
        <v>6.2</v>
      </c>
    </row>
    <row r="22" spans="1:55" x14ac:dyDescent="0.35">
      <c r="A22">
        <v>20</v>
      </c>
      <c r="B22">
        <f>'Inventory ELV'!B22*0.5</f>
        <v>12</v>
      </c>
      <c r="C22">
        <f>'Inventory ELV'!C22*0.5</f>
        <v>0.5</v>
      </c>
      <c r="D22">
        <f>'Inventory ELV'!D22*0.5</f>
        <v>6</v>
      </c>
      <c r="E22">
        <f>'Inventory ELV'!E22*0.5</f>
        <v>7.5</v>
      </c>
      <c r="G22">
        <f>'Inventory ELV'!G22*0.5</f>
        <v>10</v>
      </c>
      <c r="H22">
        <f>'Inventory ELV'!H22*0.5</f>
        <v>11.5</v>
      </c>
      <c r="I22">
        <f>'Inventory ELV'!I22*0.5</f>
        <v>6</v>
      </c>
      <c r="J22">
        <f>'Inventory ELV'!J22*0.5</f>
        <v>4.5</v>
      </c>
      <c r="L22">
        <f>'Inventory ELV'!L22*0.5</f>
        <v>11</v>
      </c>
      <c r="M22">
        <f>'Inventory ELV'!M22*0.5</f>
        <v>12</v>
      </c>
      <c r="N22">
        <f>'Inventory ELV'!N22*0.5</f>
        <v>6</v>
      </c>
      <c r="O22">
        <f>'Inventory ELV'!O22*0.5</f>
        <v>4.5</v>
      </c>
      <c r="Q22">
        <f>'Inventory ELV'!Q22*0.5</f>
        <v>2</v>
      </c>
      <c r="R22">
        <f>'Inventory ELV'!R22*0.5</f>
        <v>15</v>
      </c>
      <c r="S22">
        <f>'Inventory ELV'!S22*0.5</f>
        <v>6</v>
      </c>
      <c r="T22">
        <f>'Inventory ELV'!T22*0.5</f>
        <v>1.5</v>
      </c>
      <c r="V22">
        <f>'Inventory ELV'!V22*0.5</f>
        <v>9.5</v>
      </c>
      <c r="W22">
        <f>'Inventory ELV'!W22*0.5</f>
        <v>6.5</v>
      </c>
      <c r="X22">
        <f>'Inventory ELV'!X22*0.5</f>
        <v>5</v>
      </c>
      <c r="Y22">
        <f>'Inventory ELV'!Y22*0.5</f>
        <v>4</v>
      </c>
      <c r="AA22">
        <f>'Inventory ELV'!AA22*0.5</f>
        <v>5</v>
      </c>
      <c r="AB22">
        <f>'Inventory ELV'!AB22*0.5</f>
        <v>18.5</v>
      </c>
      <c r="AC22">
        <f>'Inventory ELV'!AC22*0.5</f>
        <v>6.5</v>
      </c>
      <c r="AD22">
        <f>'Inventory ELV'!AD22*0.5</f>
        <v>1</v>
      </c>
      <c r="AF22">
        <f>'Inventory ELV'!AF22*0.5</f>
        <v>8</v>
      </c>
      <c r="AG22">
        <f>'Inventory ELV'!AG22*0.5</f>
        <v>12</v>
      </c>
      <c r="AH22">
        <f>'Inventory ELV'!AH22*0.5</f>
        <v>6</v>
      </c>
      <c r="AI22">
        <f>'Inventory ELV'!AI22*0.5</f>
        <v>1</v>
      </c>
      <c r="AK22">
        <f>'Inventory ELV'!AK22*0.5</f>
        <v>10</v>
      </c>
      <c r="AL22">
        <f>'Inventory ELV'!AL22*0.5</f>
        <v>5.5</v>
      </c>
      <c r="AM22">
        <f>'Inventory ELV'!AM22*0.5</f>
        <v>5</v>
      </c>
      <c r="AN22">
        <f>'Inventory ELV'!AN22*0.5</f>
        <v>5</v>
      </c>
      <c r="AP22">
        <f>'Inventory ELV'!AP22*0.5</f>
        <v>3</v>
      </c>
      <c r="AQ22">
        <f>'Inventory ELV'!AQ22*0.5</f>
        <v>6</v>
      </c>
      <c r="AR22">
        <f>'Inventory ELV'!AR22*0.5</f>
        <v>6.5</v>
      </c>
      <c r="AS22">
        <f>'Inventory ELV'!AS22*0.5</f>
        <v>4</v>
      </c>
      <c r="AU22">
        <f>'Inventory ELV'!AU22*0.5</f>
        <v>8</v>
      </c>
      <c r="AV22">
        <f>'Inventory ELV'!AV22*0.5</f>
        <v>12.5</v>
      </c>
      <c r="AW22">
        <f>'Inventory ELV'!AW22*0.5</f>
        <v>6</v>
      </c>
      <c r="AX22">
        <f>'Inventory ELV'!AX22*0.5</f>
        <v>2</v>
      </c>
      <c r="AZ22">
        <f t="shared" si="0"/>
        <v>7.85</v>
      </c>
      <c r="BA22">
        <f t="shared" si="1"/>
        <v>10</v>
      </c>
      <c r="BB22">
        <f t="shared" si="2"/>
        <v>5.9</v>
      </c>
      <c r="BC22">
        <f t="shared" si="3"/>
        <v>3.5</v>
      </c>
    </row>
    <row r="23" spans="1:55" x14ac:dyDescent="0.35">
      <c r="A23">
        <v>21</v>
      </c>
      <c r="B23">
        <f>'Inventory ELV'!B23*0.5</f>
        <v>7.5</v>
      </c>
      <c r="C23">
        <f>'Inventory ELV'!C23*0.5</f>
        <v>12</v>
      </c>
      <c r="D23">
        <f>'Inventory ELV'!D23*0.5</f>
        <v>6</v>
      </c>
      <c r="E23">
        <f>'Inventory ELV'!E23*0.5</f>
        <v>2.5</v>
      </c>
      <c r="G23">
        <f>'Inventory ELV'!G23*0.5</f>
        <v>8.5</v>
      </c>
      <c r="H23">
        <f>'Inventory ELV'!H23*0.5</f>
        <v>28</v>
      </c>
      <c r="I23">
        <f>'Inventory ELV'!I23*0.5</f>
        <v>6</v>
      </c>
      <c r="J23">
        <f>'Inventory ELV'!J23*0.5</f>
        <v>1.5</v>
      </c>
      <c r="L23">
        <f>'Inventory ELV'!L23*0.5</f>
        <v>1.5</v>
      </c>
      <c r="M23">
        <f>'Inventory ELV'!M23*0.5</f>
        <v>29</v>
      </c>
      <c r="N23">
        <f>'Inventory ELV'!N23*0.5</f>
        <v>6.5</v>
      </c>
      <c r="O23">
        <f>'Inventory ELV'!O23*0.5</f>
        <v>2.5</v>
      </c>
      <c r="Q23">
        <f>'Inventory ELV'!Q23*0.5</f>
        <v>2.5</v>
      </c>
      <c r="R23">
        <f>'Inventory ELV'!R23*0.5</f>
        <v>6</v>
      </c>
      <c r="S23">
        <f>'Inventory ELV'!S23*0.5</f>
        <v>6.5</v>
      </c>
      <c r="T23">
        <f>'Inventory ELV'!T23*0.5</f>
        <v>5.5</v>
      </c>
      <c r="V23">
        <f>'Inventory ELV'!V23*0.5</f>
        <v>3.5</v>
      </c>
      <c r="W23">
        <f>'Inventory ELV'!W23*0.5</f>
        <v>9</v>
      </c>
      <c r="X23">
        <f>'Inventory ELV'!X23*0.5</f>
        <v>5</v>
      </c>
      <c r="Y23">
        <f>'Inventory ELV'!Y23*0.5</f>
        <v>3</v>
      </c>
      <c r="AA23">
        <f>'Inventory ELV'!AA23*0.5</f>
        <v>0.5</v>
      </c>
      <c r="AB23">
        <f>'Inventory ELV'!AB23*0.5</f>
        <v>15</v>
      </c>
      <c r="AC23">
        <f>'Inventory ELV'!AC23*0.5</f>
        <v>6.5</v>
      </c>
      <c r="AD23">
        <f>'Inventory ELV'!AD23*0.5</f>
        <v>4</v>
      </c>
      <c r="AF23">
        <f>'Inventory ELV'!AF23*0.5</f>
        <v>0</v>
      </c>
      <c r="AG23">
        <f>'Inventory ELV'!AG23*0.5</f>
        <v>13</v>
      </c>
      <c r="AH23">
        <f>'Inventory ELV'!AH23*0.5</f>
        <v>7</v>
      </c>
      <c r="AI23">
        <f>'Inventory ELV'!AI23*0.5</f>
        <v>5.5</v>
      </c>
      <c r="AK23">
        <f>'Inventory ELV'!AK23*0.5</f>
        <v>4.5</v>
      </c>
      <c r="AL23">
        <f>'Inventory ELV'!AL23*0.5</f>
        <v>7</v>
      </c>
      <c r="AM23">
        <f>'Inventory ELV'!AM23*0.5</f>
        <v>5</v>
      </c>
      <c r="AN23">
        <f>'Inventory ELV'!AN23*0.5</f>
        <v>3</v>
      </c>
      <c r="AP23">
        <f>'Inventory ELV'!AP23*0.5</f>
        <v>1.5</v>
      </c>
      <c r="AQ23">
        <f>'Inventory ELV'!AQ23*0.5</f>
        <v>2.5</v>
      </c>
      <c r="AR23">
        <f>'Inventory ELV'!AR23*0.5</f>
        <v>6.5</v>
      </c>
      <c r="AS23">
        <f>'Inventory ELV'!AS23*0.5</f>
        <v>3</v>
      </c>
      <c r="AU23">
        <f>'Inventory ELV'!AU23*0.5</f>
        <v>7.5</v>
      </c>
      <c r="AV23">
        <f>'Inventory ELV'!AV23*0.5</f>
        <v>12.5</v>
      </c>
      <c r="AW23">
        <f>'Inventory ELV'!AW23*0.5</f>
        <v>6.5</v>
      </c>
      <c r="AX23">
        <f>'Inventory ELV'!AX23*0.5</f>
        <v>1.5</v>
      </c>
      <c r="AZ23">
        <f t="shared" si="0"/>
        <v>3.75</v>
      </c>
      <c r="BA23">
        <f t="shared" si="1"/>
        <v>13.4</v>
      </c>
      <c r="BB23">
        <f t="shared" si="2"/>
        <v>6.15</v>
      </c>
      <c r="BC23">
        <f t="shared" si="3"/>
        <v>3.2</v>
      </c>
    </row>
    <row r="24" spans="1:55" x14ac:dyDescent="0.35">
      <c r="A24">
        <v>22</v>
      </c>
      <c r="B24">
        <f>'Inventory ELV'!B24*0.5</f>
        <v>6.5</v>
      </c>
      <c r="C24">
        <f>'Inventory ELV'!C24*0.5</f>
        <v>11.5</v>
      </c>
      <c r="D24">
        <f>'Inventory ELV'!D24*0.5</f>
        <v>6</v>
      </c>
      <c r="E24">
        <f>'Inventory ELV'!E24*0.5</f>
        <v>1.5</v>
      </c>
      <c r="G24">
        <f>'Inventory ELV'!G24*0.5</f>
        <v>0</v>
      </c>
      <c r="H24">
        <f>'Inventory ELV'!H24*0.5</f>
        <v>13.5</v>
      </c>
      <c r="I24">
        <f>'Inventory ELV'!I24*0.5</f>
        <v>6.5</v>
      </c>
      <c r="J24">
        <f>'Inventory ELV'!J24*0.5</f>
        <v>3.5</v>
      </c>
      <c r="L24">
        <f>'Inventory ELV'!L24*0.5</f>
        <v>0</v>
      </c>
      <c r="M24">
        <f>'Inventory ELV'!M24*0.5</f>
        <v>6</v>
      </c>
      <c r="N24">
        <f>'Inventory ELV'!N24*0.5</f>
        <v>6.5</v>
      </c>
      <c r="O24">
        <f>'Inventory ELV'!O24*0.5</f>
        <v>2.5</v>
      </c>
      <c r="Q24">
        <f>'Inventory ELV'!Q24*0.5</f>
        <v>2</v>
      </c>
      <c r="R24">
        <f>'Inventory ELV'!R24*0.5</f>
        <v>0</v>
      </c>
      <c r="S24">
        <f>'Inventory ELV'!S24*0.5</f>
        <v>6.5</v>
      </c>
      <c r="T24">
        <f>'Inventory ELV'!T24*0.5</f>
        <v>9</v>
      </c>
      <c r="V24">
        <f>'Inventory ELV'!V24*0.5</f>
        <v>3</v>
      </c>
      <c r="W24">
        <f>'Inventory ELV'!W24*0.5</f>
        <v>6</v>
      </c>
      <c r="X24">
        <f>'Inventory ELV'!X24*0.5</f>
        <v>5</v>
      </c>
      <c r="Y24">
        <f>'Inventory ELV'!Y24*0.5</f>
        <v>5.5</v>
      </c>
      <c r="AA24">
        <f>'Inventory ELV'!AA24*0.5</f>
        <v>0</v>
      </c>
      <c r="AB24">
        <f>'Inventory ELV'!AB24*0.5</f>
        <v>0</v>
      </c>
      <c r="AC24">
        <f>'Inventory ELV'!AC24*0.5</f>
        <v>7</v>
      </c>
      <c r="AD24">
        <f>'Inventory ELV'!AD24*0.5</f>
        <v>8.5</v>
      </c>
      <c r="AF24">
        <f>'Inventory ELV'!AF24*0.5</f>
        <v>0</v>
      </c>
      <c r="AG24">
        <f>'Inventory ELV'!AG24*0.5</f>
        <v>1.5</v>
      </c>
      <c r="AH24">
        <f>'Inventory ELV'!AH24*0.5</f>
        <v>7</v>
      </c>
      <c r="AI24">
        <f>'Inventory ELV'!AI24*0.5</f>
        <v>5</v>
      </c>
      <c r="AK24">
        <f>'Inventory ELV'!AK24*0.5</f>
        <v>3.5</v>
      </c>
      <c r="AL24">
        <f>'Inventory ELV'!AL24*0.5</f>
        <v>6</v>
      </c>
      <c r="AM24">
        <f>'Inventory ELV'!AM24*0.5</f>
        <v>5</v>
      </c>
      <c r="AN24">
        <f>'Inventory ELV'!AN24*0.5</f>
        <v>4</v>
      </c>
      <c r="AP24">
        <f>'Inventory ELV'!AP24*0.5</f>
        <v>4.5</v>
      </c>
      <c r="AQ24">
        <f>'Inventory ELV'!AQ24*0.5</f>
        <v>5</v>
      </c>
      <c r="AR24">
        <f>'Inventory ELV'!AR24*0.5</f>
        <v>6.5</v>
      </c>
      <c r="AS24">
        <f>'Inventory ELV'!AS24*0.5</f>
        <v>4.5</v>
      </c>
      <c r="AU24">
        <f>'Inventory ELV'!AU24*0.5</f>
        <v>0</v>
      </c>
      <c r="AV24">
        <f>'Inventory ELV'!AV24*0.5</f>
        <v>14</v>
      </c>
      <c r="AW24">
        <f>'Inventory ELV'!AW24*0.5</f>
        <v>7</v>
      </c>
      <c r="AX24">
        <f>'Inventory ELV'!AX24*0.5</f>
        <v>2.5</v>
      </c>
      <c r="AZ24">
        <f t="shared" si="0"/>
        <v>1.95</v>
      </c>
      <c r="BA24">
        <f t="shared" si="1"/>
        <v>6.35</v>
      </c>
      <c r="BB24">
        <f t="shared" si="2"/>
        <v>6.3</v>
      </c>
      <c r="BC24">
        <f t="shared" si="3"/>
        <v>4.6500000000000004</v>
      </c>
    </row>
    <row r="25" spans="1:55" x14ac:dyDescent="0.35">
      <c r="A25">
        <v>23</v>
      </c>
      <c r="B25">
        <f>'Inventory ELV'!B25*0.5</f>
        <v>0</v>
      </c>
      <c r="C25">
        <f>'Inventory ELV'!C25*0.5</f>
        <v>5</v>
      </c>
      <c r="D25">
        <f>'Inventory ELV'!D25*0.5</f>
        <v>6.5</v>
      </c>
      <c r="E25">
        <f>'Inventory ELV'!E25*0.5</f>
        <v>6</v>
      </c>
      <c r="G25">
        <f>'Inventory ELV'!G25*0.5</f>
        <v>0</v>
      </c>
      <c r="H25">
        <f>'Inventory ELV'!H25*0.5</f>
        <v>2.5</v>
      </c>
      <c r="I25">
        <f>'Inventory ELV'!I25*0.5</f>
        <v>6.5</v>
      </c>
      <c r="J25">
        <f>'Inventory ELV'!J25*0.5</f>
        <v>5</v>
      </c>
      <c r="L25">
        <f>'Inventory ELV'!L25*0.5</f>
        <v>0.5</v>
      </c>
      <c r="M25">
        <f>'Inventory ELV'!M25*0.5</f>
        <v>0</v>
      </c>
      <c r="N25">
        <f>'Inventory ELV'!N25*0.5</f>
        <v>6.5</v>
      </c>
      <c r="O25">
        <f>'Inventory ELV'!O25*0.5</f>
        <v>6.5</v>
      </c>
      <c r="Q25">
        <f>'Inventory ELV'!Q25*0.5</f>
        <v>7.5</v>
      </c>
      <c r="R25">
        <f>'Inventory ELV'!R25*0.5</f>
        <v>0</v>
      </c>
      <c r="S25">
        <f>'Inventory ELV'!S25*0.5</f>
        <v>6.5</v>
      </c>
      <c r="T25">
        <f>'Inventory ELV'!T25*0.5</f>
        <v>6.5</v>
      </c>
      <c r="V25">
        <f>'Inventory ELV'!V25*0.5</f>
        <v>4</v>
      </c>
      <c r="W25">
        <f>'Inventory ELV'!W25*0.5</f>
        <v>0</v>
      </c>
      <c r="X25">
        <f>'Inventory ELV'!X25*0.5</f>
        <v>4</v>
      </c>
      <c r="Y25">
        <f>'Inventory ELV'!Y25*0.5</f>
        <v>7.5</v>
      </c>
      <c r="AA25">
        <f>'Inventory ELV'!AA25*0.5</f>
        <v>6</v>
      </c>
      <c r="AB25">
        <f>'Inventory ELV'!AB25*0.5</f>
        <v>0</v>
      </c>
      <c r="AC25">
        <f>'Inventory ELV'!AC25*0.5</f>
        <v>6.5</v>
      </c>
      <c r="AD25">
        <f>'Inventory ELV'!AD25*0.5</f>
        <v>8</v>
      </c>
      <c r="AF25">
        <f>'Inventory ELV'!AF25*0.5</f>
        <v>8.5</v>
      </c>
      <c r="AG25">
        <f>'Inventory ELV'!AG25*0.5</f>
        <v>0</v>
      </c>
      <c r="AH25">
        <f>'Inventory ELV'!AH25*0.5</f>
        <v>6.5</v>
      </c>
      <c r="AI25">
        <f>'Inventory ELV'!AI25*0.5</f>
        <v>9.5</v>
      </c>
      <c r="AK25">
        <f>'Inventory ELV'!AK25*0.5</f>
        <v>3</v>
      </c>
      <c r="AL25">
        <f>'Inventory ELV'!AL25*0.5</f>
        <v>4</v>
      </c>
      <c r="AM25">
        <f>'Inventory ELV'!AM25*0.5</f>
        <v>5</v>
      </c>
      <c r="AN25">
        <f>'Inventory ELV'!AN25*0.5</f>
        <v>6.5</v>
      </c>
      <c r="AP25">
        <f>'Inventory ELV'!AP25*0.5</f>
        <v>8.5</v>
      </c>
      <c r="AQ25">
        <f>'Inventory ELV'!AQ25*0.5</f>
        <v>0</v>
      </c>
      <c r="AR25">
        <f>'Inventory ELV'!AR25*0.5</f>
        <v>6.5</v>
      </c>
      <c r="AS25">
        <f>'Inventory ELV'!AS25*0.5</f>
        <v>6</v>
      </c>
      <c r="AU25">
        <f>'Inventory ELV'!AU25*0.5</f>
        <v>2.5</v>
      </c>
      <c r="AV25">
        <f>'Inventory ELV'!AV25*0.5</f>
        <v>6</v>
      </c>
      <c r="AW25">
        <f>'Inventory ELV'!AW25*0.5</f>
        <v>6.5</v>
      </c>
      <c r="AX25">
        <f>'Inventory ELV'!AX25*0.5</f>
        <v>8</v>
      </c>
      <c r="AZ25">
        <f t="shared" si="0"/>
        <v>4.05</v>
      </c>
      <c r="BA25">
        <f t="shared" si="1"/>
        <v>1.75</v>
      </c>
      <c r="BB25">
        <f t="shared" si="2"/>
        <v>6.1</v>
      </c>
      <c r="BC25">
        <f t="shared" si="3"/>
        <v>6.95</v>
      </c>
    </row>
    <row r="26" spans="1:55" x14ac:dyDescent="0.35">
      <c r="A26">
        <v>24</v>
      </c>
      <c r="B26">
        <f>'Inventory ELV'!B26*0.5</f>
        <v>2</v>
      </c>
      <c r="C26">
        <f>'Inventory ELV'!C26*0.5</f>
        <v>0</v>
      </c>
      <c r="D26">
        <f>'Inventory ELV'!D26*0.5</f>
        <v>6.5</v>
      </c>
      <c r="E26">
        <f>'Inventory ELV'!E26*0.5</f>
        <v>6.5</v>
      </c>
      <c r="G26">
        <f>'Inventory ELV'!G26*0.5</f>
        <v>3.5</v>
      </c>
      <c r="H26">
        <f>'Inventory ELV'!H26*0.5</f>
        <v>0</v>
      </c>
      <c r="I26">
        <f>'Inventory ELV'!I26*0.5</f>
        <v>6.5</v>
      </c>
      <c r="J26">
        <f>'Inventory ELV'!J26*0.5</f>
        <v>8</v>
      </c>
      <c r="L26">
        <f>'Inventory ELV'!L26*0.5</f>
        <v>3</v>
      </c>
      <c r="M26">
        <f>'Inventory ELV'!M26*0.5</f>
        <v>0</v>
      </c>
      <c r="N26">
        <f>'Inventory ELV'!N26*0.5</f>
        <v>6.5</v>
      </c>
      <c r="O26">
        <f>'Inventory ELV'!O26*0.5</f>
        <v>8</v>
      </c>
      <c r="Q26">
        <f>'Inventory ELV'!Q26*0.5</f>
        <v>9.5</v>
      </c>
      <c r="R26">
        <f>'Inventory ELV'!R26*0.5</f>
        <v>6.5</v>
      </c>
      <c r="S26">
        <f>'Inventory ELV'!S26*0.5</f>
        <v>6.5</v>
      </c>
      <c r="T26">
        <f>'Inventory ELV'!T26*0.5</f>
        <v>6</v>
      </c>
      <c r="V26">
        <f>'Inventory ELV'!V26*0.5</f>
        <v>6</v>
      </c>
      <c r="W26">
        <f>'Inventory ELV'!W26*0.5</f>
        <v>2</v>
      </c>
      <c r="X26">
        <f>'Inventory ELV'!X26*0.5</f>
        <v>4.5</v>
      </c>
      <c r="Y26">
        <f>'Inventory ELV'!Y26*0.5</f>
        <v>6</v>
      </c>
      <c r="AA26">
        <f>'Inventory ELV'!AA26*0.5</f>
        <v>11.5</v>
      </c>
      <c r="AB26">
        <f>'Inventory ELV'!AB26*0.5</f>
        <v>0</v>
      </c>
      <c r="AC26">
        <f>'Inventory ELV'!AC26*0.5</f>
        <v>6.5</v>
      </c>
      <c r="AD26">
        <f>'Inventory ELV'!AD26*0.5</f>
        <v>7.5</v>
      </c>
      <c r="AF26">
        <f>'Inventory ELV'!AF26*0.5</f>
        <v>6.5</v>
      </c>
      <c r="AG26">
        <f>'Inventory ELV'!AG26*0.5</f>
        <v>0</v>
      </c>
      <c r="AH26">
        <f>'Inventory ELV'!AH26*0.5</f>
        <v>7</v>
      </c>
      <c r="AI26">
        <f>'Inventory ELV'!AI26*0.5</f>
        <v>7.5</v>
      </c>
      <c r="AK26">
        <f>'Inventory ELV'!AK26*0.5</f>
        <v>6</v>
      </c>
      <c r="AL26">
        <f>'Inventory ELV'!AL26*0.5</f>
        <v>3.5</v>
      </c>
      <c r="AM26">
        <f>'Inventory ELV'!AM26*0.5</f>
        <v>4.5</v>
      </c>
      <c r="AN26">
        <f>'Inventory ELV'!AN26*0.5</f>
        <v>6</v>
      </c>
      <c r="AP26">
        <f>'Inventory ELV'!AP26*0.5</f>
        <v>4</v>
      </c>
      <c r="AQ26">
        <f>'Inventory ELV'!AQ26*0.5</f>
        <v>0</v>
      </c>
      <c r="AR26">
        <f>'Inventory ELV'!AR26*0.5</f>
        <v>6.5</v>
      </c>
      <c r="AS26">
        <f>'Inventory ELV'!AS26*0.5</f>
        <v>7.5</v>
      </c>
      <c r="AU26">
        <f>'Inventory ELV'!AU26*0.5</f>
        <v>6</v>
      </c>
      <c r="AV26">
        <f>'Inventory ELV'!AV26*0.5</f>
        <v>0</v>
      </c>
      <c r="AW26">
        <f>'Inventory ELV'!AW26*0.5</f>
        <v>6</v>
      </c>
      <c r="AX26">
        <f>'Inventory ELV'!AX26*0.5</f>
        <v>8</v>
      </c>
      <c r="AZ26">
        <f t="shared" si="0"/>
        <v>5.8</v>
      </c>
      <c r="BA26">
        <f t="shared" si="1"/>
        <v>1.2</v>
      </c>
      <c r="BB26">
        <f t="shared" si="2"/>
        <v>6.1</v>
      </c>
      <c r="BC26">
        <f t="shared" si="3"/>
        <v>7.1</v>
      </c>
    </row>
    <row r="27" spans="1:55" x14ac:dyDescent="0.35">
      <c r="A27">
        <v>25</v>
      </c>
      <c r="B27">
        <f>'Inventory ELV'!B27*0.5</f>
        <v>7.5</v>
      </c>
      <c r="C27">
        <f>'Inventory ELV'!C27*0.5</f>
        <v>0</v>
      </c>
      <c r="D27">
        <f>'Inventory ELV'!D27*0.5</f>
        <v>6.5</v>
      </c>
      <c r="E27">
        <f>'Inventory ELV'!E27*0.5</f>
        <v>8</v>
      </c>
      <c r="G27">
        <f>'Inventory ELV'!G27*0.5</f>
        <v>7.5</v>
      </c>
      <c r="H27">
        <f>'Inventory ELV'!H27*0.5</f>
        <v>3</v>
      </c>
      <c r="I27">
        <f>'Inventory ELV'!I27*0.5</f>
        <v>6.5</v>
      </c>
      <c r="J27">
        <f>'Inventory ELV'!J27*0.5</f>
        <v>8</v>
      </c>
      <c r="L27">
        <f>'Inventory ELV'!L27*0.5</f>
        <v>11.5</v>
      </c>
      <c r="M27">
        <f>'Inventory ELV'!M27*0.5</f>
        <v>6</v>
      </c>
      <c r="N27">
        <f>'Inventory ELV'!N27*0.5</f>
        <v>6</v>
      </c>
      <c r="O27">
        <f>'Inventory ELV'!O27*0.5</f>
        <v>7</v>
      </c>
      <c r="Q27">
        <f>'Inventory ELV'!Q27*0.5</f>
        <v>6</v>
      </c>
      <c r="R27">
        <f>'Inventory ELV'!R27*0.5</f>
        <v>15</v>
      </c>
      <c r="S27">
        <f>'Inventory ELV'!S27*0.5</f>
        <v>6</v>
      </c>
      <c r="T27">
        <f>'Inventory ELV'!T27*0.5</f>
        <v>2</v>
      </c>
      <c r="V27">
        <f>'Inventory ELV'!V27*0.5</f>
        <v>11.5</v>
      </c>
      <c r="W27">
        <f>'Inventory ELV'!W27*0.5</f>
        <v>5.5</v>
      </c>
      <c r="X27">
        <f>'Inventory ELV'!X27*0.5</f>
        <v>5</v>
      </c>
      <c r="Y27">
        <f>'Inventory ELV'!Y27*0.5</f>
        <v>4.5</v>
      </c>
      <c r="AA27">
        <f>'Inventory ELV'!AA27*0.5</f>
        <v>6</v>
      </c>
      <c r="AB27">
        <f>'Inventory ELV'!AB27*0.5</f>
        <v>14.5</v>
      </c>
      <c r="AC27">
        <f>'Inventory ELV'!AC27*0.5</f>
        <v>6.5</v>
      </c>
      <c r="AD27">
        <f>'Inventory ELV'!AD27*0.5</f>
        <v>1</v>
      </c>
      <c r="AF27">
        <f>'Inventory ELV'!AF27*0.5</f>
        <v>10</v>
      </c>
      <c r="AG27">
        <f>'Inventory ELV'!AG27*0.5</f>
        <v>9</v>
      </c>
      <c r="AH27">
        <f>'Inventory ELV'!AH27*0.5</f>
        <v>6.5</v>
      </c>
      <c r="AI27">
        <f>'Inventory ELV'!AI27*0.5</f>
        <v>1.5</v>
      </c>
      <c r="AK27">
        <f>'Inventory ELV'!AK27*0.5</f>
        <v>8</v>
      </c>
      <c r="AL27">
        <f>'Inventory ELV'!AL27*0.5</f>
        <v>3.5</v>
      </c>
      <c r="AM27">
        <f>'Inventory ELV'!AM27*0.5</f>
        <v>5</v>
      </c>
      <c r="AN27">
        <f>'Inventory ELV'!AN27*0.5</f>
        <v>6</v>
      </c>
      <c r="AP27">
        <f>'Inventory ELV'!AP27*0.5</f>
        <v>4.5</v>
      </c>
      <c r="AQ27">
        <f>'Inventory ELV'!AQ27*0.5</f>
        <v>2</v>
      </c>
      <c r="AR27">
        <f>'Inventory ELV'!AR27*0.5</f>
        <v>6.5</v>
      </c>
      <c r="AS27">
        <f>'Inventory ELV'!AS27*0.5</f>
        <v>6</v>
      </c>
      <c r="AU27">
        <f>'Inventory ELV'!AU27*0.5</f>
        <v>14</v>
      </c>
      <c r="AV27">
        <f>'Inventory ELV'!AV27*0.5</f>
        <v>0</v>
      </c>
      <c r="AW27">
        <f>'Inventory ELV'!AW27*0.5</f>
        <v>6</v>
      </c>
      <c r="AX27">
        <f>'Inventory ELV'!AX27*0.5</f>
        <v>5</v>
      </c>
      <c r="AZ27">
        <f t="shared" si="0"/>
        <v>8.65</v>
      </c>
      <c r="BA27">
        <f t="shared" si="1"/>
        <v>5.85</v>
      </c>
      <c r="BB27">
        <f t="shared" si="2"/>
        <v>6.05</v>
      </c>
      <c r="BC27">
        <f t="shared" si="3"/>
        <v>4.9000000000000004</v>
      </c>
    </row>
    <row r="28" spans="1:55" x14ac:dyDescent="0.35">
      <c r="A28">
        <v>26</v>
      </c>
      <c r="B28">
        <f>'Inventory ELV'!B28*0.5</f>
        <v>8</v>
      </c>
      <c r="C28">
        <f>'Inventory ELV'!C28*0.5</f>
        <v>2.5</v>
      </c>
      <c r="D28">
        <f>'Inventory ELV'!D28*0.5</f>
        <v>6.5</v>
      </c>
      <c r="E28">
        <f>'Inventory ELV'!E28*0.5</f>
        <v>6</v>
      </c>
      <c r="G28">
        <f>'Inventory ELV'!G28*0.5</f>
        <v>10.5</v>
      </c>
      <c r="H28">
        <f>'Inventory ELV'!H28*0.5</f>
        <v>10</v>
      </c>
      <c r="I28">
        <f>'Inventory ELV'!I28*0.5</f>
        <v>6</v>
      </c>
      <c r="J28">
        <f>'Inventory ELV'!J28*0.5</f>
        <v>4</v>
      </c>
      <c r="L28">
        <f>'Inventory ELV'!L28*0.5</f>
        <v>10.5</v>
      </c>
      <c r="M28">
        <f>'Inventory ELV'!M28*0.5</f>
        <v>22</v>
      </c>
      <c r="N28">
        <f>'Inventory ELV'!N28*0.5</f>
        <v>6</v>
      </c>
      <c r="O28">
        <f>'Inventory ELV'!O28*0.5</f>
        <v>4.5</v>
      </c>
      <c r="Q28">
        <f>'Inventory ELV'!Q28*0.5</f>
        <v>4.5</v>
      </c>
      <c r="R28">
        <f>'Inventory ELV'!R28*0.5</f>
        <v>10</v>
      </c>
      <c r="S28">
        <f>'Inventory ELV'!S28*0.5</f>
        <v>6</v>
      </c>
      <c r="T28">
        <f>'Inventory ELV'!T28*0.5</f>
        <v>4</v>
      </c>
      <c r="V28">
        <f>'Inventory ELV'!V28*0.5</f>
        <v>5.5</v>
      </c>
      <c r="W28">
        <f>'Inventory ELV'!W28*0.5</f>
        <v>9</v>
      </c>
      <c r="X28">
        <f>'Inventory ELV'!X28*0.5</f>
        <v>5</v>
      </c>
      <c r="Y28">
        <f>'Inventory ELV'!Y28*0.5</f>
        <v>3.5</v>
      </c>
      <c r="AA28">
        <f>'Inventory ELV'!AA28*0.5</f>
        <v>5.5</v>
      </c>
      <c r="AB28">
        <f>'Inventory ELV'!AB28*0.5</f>
        <v>16</v>
      </c>
      <c r="AC28">
        <f>'Inventory ELV'!AC28*0.5</f>
        <v>6.5</v>
      </c>
      <c r="AD28">
        <f>'Inventory ELV'!AD28*0.5</f>
        <v>2</v>
      </c>
      <c r="AF28">
        <f>'Inventory ELV'!AF28*0.5</f>
        <v>5</v>
      </c>
      <c r="AG28">
        <f>'Inventory ELV'!AG28*0.5</f>
        <v>14.5</v>
      </c>
      <c r="AH28">
        <f>'Inventory ELV'!AH28*0.5</f>
        <v>6.5</v>
      </c>
      <c r="AI28">
        <f>'Inventory ELV'!AI28*0.5</f>
        <v>5.5</v>
      </c>
      <c r="AK28">
        <f>'Inventory ELV'!AK28*0.5</f>
        <v>6</v>
      </c>
      <c r="AL28">
        <f>'Inventory ELV'!AL28*0.5</f>
        <v>6</v>
      </c>
      <c r="AM28">
        <f>'Inventory ELV'!AM28*0.5</f>
        <v>5</v>
      </c>
      <c r="AN28">
        <f>'Inventory ELV'!AN28*0.5</f>
        <v>3</v>
      </c>
      <c r="AP28">
        <f>'Inventory ELV'!AP28*0.5</f>
        <v>7.5</v>
      </c>
      <c r="AQ28">
        <f>'Inventory ELV'!AQ28*0.5</f>
        <v>0</v>
      </c>
      <c r="AR28">
        <f>'Inventory ELV'!AR28*0.5</f>
        <v>6.5</v>
      </c>
      <c r="AS28">
        <f>'Inventory ELV'!AS28*0.5</f>
        <v>4</v>
      </c>
      <c r="AU28">
        <f>'Inventory ELV'!AU28*0.5</f>
        <v>10</v>
      </c>
      <c r="AV28">
        <f>'Inventory ELV'!AV28*0.5</f>
        <v>0</v>
      </c>
      <c r="AW28">
        <f>'Inventory ELV'!AW28*0.5</f>
        <v>6</v>
      </c>
      <c r="AX28">
        <f>'Inventory ELV'!AX28*0.5</f>
        <v>1.5</v>
      </c>
      <c r="AZ28">
        <f t="shared" si="0"/>
        <v>7.3</v>
      </c>
      <c r="BA28">
        <f t="shared" si="1"/>
        <v>9</v>
      </c>
      <c r="BB28">
        <f t="shared" si="2"/>
        <v>6</v>
      </c>
      <c r="BC28">
        <f t="shared" si="3"/>
        <v>3.8</v>
      </c>
    </row>
    <row r="29" spans="1:55" x14ac:dyDescent="0.35">
      <c r="A29">
        <v>27</v>
      </c>
      <c r="B29">
        <f>'Inventory ELV'!B29*0.5</f>
        <v>8.5</v>
      </c>
      <c r="C29">
        <f>'Inventory ELV'!C29*0.5</f>
        <v>9.5</v>
      </c>
      <c r="D29">
        <f>'Inventory ELV'!D29*0.5</f>
        <v>6</v>
      </c>
      <c r="E29">
        <f>'Inventory ELV'!E29*0.5</f>
        <v>2</v>
      </c>
      <c r="G29">
        <f>'Inventory ELV'!G29*0.5</f>
        <v>5.5</v>
      </c>
      <c r="H29">
        <f>'Inventory ELV'!H29*0.5</f>
        <v>30</v>
      </c>
      <c r="I29">
        <f>'Inventory ELV'!I29*0.5</f>
        <v>6</v>
      </c>
      <c r="J29">
        <f>'Inventory ELV'!J29*0.5</f>
        <v>3.5</v>
      </c>
      <c r="L29">
        <f>'Inventory ELV'!L29*0.5</f>
        <v>1</v>
      </c>
      <c r="M29">
        <f>'Inventory ELV'!M29*0.5</f>
        <v>14</v>
      </c>
      <c r="N29">
        <f>'Inventory ELV'!N29*0.5</f>
        <v>6.5</v>
      </c>
      <c r="O29">
        <f>'Inventory ELV'!O29*0.5</f>
        <v>2</v>
      </c>
      <c r="Q29">
        <f>'Inventory ELV'!Q29*0.5</f>
        <v>0.5</v>
      </c>
      <c r="R29">
        <f>'Inventory ELV'!R29*0.5</f>
        <v>0</v>
      </c>
      <c r="S29">
        <f>'Inventory ELV'!S29*0.5</f>
        <v>6.5</v>
      </c>
      <c r="T29">
        <f>'Inventory ELV'!T29*0.5</f>
        <v>7.5</v>
      </c>
      <c r="V29">
        <f>'Inventory ELV'!V29*0.5</f>
        <v>2</v>
      </c>
      <c r="W29">
        <f>'Inventory ELV'!W29*0.5</f>
        <v>7</v>
      </c>
      <c r="X29">
        <f>'Inventory ELV'!X29*0.5</f>
        <v>5.5</v>
      </c>
      <c r="Y29">
        <f>'Inventory ELV'!Y29*0.5</f>
        <v>4</v>
      </c>
      <c r="AA29">
        <f>'Inventory ELV'!AA29*0.5</f>
        <v>0</v>
      </c>
      <c r="AB29">
        <f>'Inventory ELV'!AB29*0.5</f>
        <v>8.5</v>
      </c>
      <c r="AC29">
        <f>'Inventory ELV'!AC29*0.5</f>
        <v>7</v>
      </c>
      <c r="AD29">
        <f>'Inventory ELV'!AD29*0.5</f>
        <v>7.5</v>
      </c>
      <c r="AF29">
        <f>'Inventory ELV'!AF29*0.5</f>
        <v>0</v>
      </c>
      <c r="AG29">
        <f>'Inventory ELV'!AG29*0.5</f>
        <v>8</v>
      </c>
      <c r="AH29">
        <f>'Inventory ELV'!AH29*0.5</f>
        <v>6.5</v>
      </c>
      <c r="AI29">
        <f>'Inventory ELV'!AI29*0.5</f>
        <v>3</v>
      </c>
      <c r="AK29">
        <f>'Inventory ELV'!AK29*0.5</f>
        <v>5.5</v>
      </c>
      <c r="AL29">
        <f>'Inventory ELV'!AL29*0.5</f>
        <v>6</v>
      </c>
      <c r="AM29">
        <f>'Inventory ELV'!AM29*0.5</f>
        <v>5</v>
      </c>
      <c r="AN29">
        <f>'Inventory ELV'!AN29*0.5</f>
        <v>3.5</v>
      </c>
      <c r="AP29">
        <f>'Inventory ELV'!AP29*0.5</f>
        <v>3</v>
      </c>
      <c r="AQ29">
        <f>'Inventory ELV'!AQ29*0.5</f>
        <v>10</v>
      </c>
      <c r="AR29">
        <f>'Inventory ELV'!AR29*0.5</f>
        <v>6.5</v>
      </c>
      <c r="AS29">
        <f>'Inventory ELV'!AS29*0.5</f>
        <v>4</v>
      </c>
      <c r="AU29">
        <f>'Inventory ELV'!AU29*0.5</f>
        <v>0</v>
      </c>
      <c r="AV29">
        <f>'Inventory ELV'!AV29*0.5</f>
        <v>11.5</v>
      </c>
      <c r="AW29">
        <f>'Inventory ELV'!AW29*0.5</f>
        <v>6.5</v>
      </c>
      <c r="AX29">
        <f>'Inventory ELV'!AX29*0.5</f>
        <v>1.5</v>
      </c>
      <c r="AZ29">
        <f t="shared" si="0"/>
        <v>2.6</v>
      </c>
      <c r="BA29">
        <f t="shared" si="1"/>
        <v>10.45</v>
      </c>
      <c r="BB29">
        <f t="shared" si="2"/>
        <v>6.2</v>
      </c>
      <c r="BC29">
        <f t="shared" si="3"/>
        <v>3.85</v>
      </c>
    </row>
    <row r="30" spans="1:55" x14ac:dyDescent="0.35">
      <c r="A30">
        <v>28</v>
      </c>
      <c r="B30">
        <f>'Inventory ELV'!B30*0.5</f>
        <v>4.5</v>
      </c>
      <c r="C30">
        <f>'Inventory ELV'!C30*0.5</f>
        <v>12</v>
      </c>
      <c r="D30">
        <f>'Inventory ELV'!D30*0.5</f>
        <v>6</v>
      </c>
      <c r="E30">
        <f>'Inventory ELV'!E30*0.5</f>
        <v>5.5</v>
      </c>
      <c r="G30">
        <f>'Inventory ELV'!G30*0.5</f>
        <v>0</v>
      </c>
      <c r="H30">
        <f>'Inventory ELV'!H30*0.5</f>
        <v>7.5</v>
      </c>
      <c r="I30">
        <f>'Inventory ELV'!I30*0.5</f>
        <v>6.5</v>
      </c>
      <c r="J30">
        <f>'Inventory ELV'!J30*0.5</f>
        <v>3</v>
      </c>
      <c r="L30">
        <f>'Inventory ELV'!L30*0.5</f>
        <v>4.5</v>
      </c>
      <c r="M30">
        <f>'Inventory ELV'!M30*0.5</f>
        <v>6</v>
      </c>
      <c r="N30">
        <f>'Inventory ELV'!N30*0.5</f>
        <v>6.5</v>
      </c>
      <c r="O30">
        <f>'Inventory ELV'!O30*0.5</f>
        <v>3</v>
      </c>
      <c r="Q30">
        <f>'Inventory ELV'!Q30*0.5</f>
        <v>4.5</v>
      </c>
      <c r="R30">
        <f>'Inventory ELV'!R30*0.5</f>
        <v>0</v>
      </c>
      <c r="S30">
        <f>'Inventory ELV'!S30*0.5</f>
        <v>6.5</v>
      </c>
      <c r="T30">
        <f>'Inventory ELV'!T30*0.5</f>
        <v>6</v>
      </c>
      <c r="V30">
        <f>'Inventory ELV'!V30*0.5</f>
        <v>5</v>
      </c>
      <c r="W30">
        <f>'Inventory ELV'!W30*0.5</f>
        <v>2</v>
      </c>
      <c r="X30">
        <f>'Inventory ELV'!X30*0.5</f>
        <v>4.5</v>
      </c>
      <c r="Y30">
        <f>'Inventory ELV'!Y30*0.5</f>
        <v>7.5</v>
      </c>
      <c r="AA30">
        <f>'Inventory ELV'!AA30*0.5</f>
        <v>5.5</v>
      </c>
      <c r="AB30">
        <f>'Inventory ELV'!AB30*0.5</f>
        <v>0</v>
      </c>
      <c r="AC30">
        <f>'Inventory ELV'!AC30*0.5</f>
        <v>6.5</v>
      </c>
      <c r="AD30">
        <f>'Inventory ELV'!AD30*0.5</f>
        <v>8</v>
      </c>
      <c r="AF30">
        <f>'Inventory ELV'!AF30*0.5</f>
        <v>6.5</v>
      </c>
      <c r="AG30">
        <f>'Inventory ELV'!AG30*0.5</f>
        <v>0</v>
      </c>
      <c r="AH30">
        <f>'Inventory ELV'!AH30*0.5</f>
        <v>6.5</v>
      </c>
      <c r="AI30">
        <f>'Inventory ELV'!AI30*0.5</f>
        <v>8.5</v>
      </c>
      <c r="AK30">
        <f>'Inventory ELV'!AK30*0.5</f>
        <v>2</v>
      </c>
      <c r="AL30">
        <f>'Inventory ELV'!AL30*0.5</f>
        <v>6</v>
      </c>
      <c r="AM30">
        <f>'Inventory ELV'!AM30*0.5</f>
        <v>5</v>
      </c>
      <c r="AN30">
        <f>'Inventory ELV'!AN30*0.5</f>
        <v>5.5</v>
      </c>
      <c r="AP30">
        <f>'Inventory ELV'!AP30*0.5</f>
        <v>5.5</v>
      </c>
      <c r="AQ30">
        <f>'Inventory ELV'!AQ30*0.5</f>
        <v>6</v>
      </c>
      <c r="AR30">
        <f>'Inventory ELV'!AR30*0.5</f>
        <v>6.5</v>
      </c>
      <c r="AS30">
        <f>'Inventory ELV'!AS30*0.5</f>
        <v>4.5</v>
      </c>
      <c r="AU30">
        <f>'Inventory ELV'!AU30*0.5</f>
        <v>4</v>
      </c>
      <c r="AV30">
        <f>'Inventory ELV'!AV30*0.5</f>
        <v>17</v>
      </c>
      <c r="AW30">
        <f>'Inventory ELV'!AW30*0.5</f>
        <v>6.5</v>
      </c>
      <c r="AX30">
        <f>'Inventory ELV'!AX30*0.5</f>
        <v>3.5</v>
      </c>
      <c r="AZ30">
        <f t="shared" si="0"/>
        <v>4.2</v>
      </c>
      <c r="BA30">
        <f t="shared" si="1"/>
        <v>5.65</v>
      </c>
      <c r="BB30">
        <f t="shared" si="2"/>
        <v>6.1</v>
      </c>
      <c r="BC30">
        <f t="shared" si="3"/>
        <v>5.5</v>
      </c>
    </row>
    <row r="31" spans="1:55" x14ac:dyDescent="0.35">
      <c r="A31">
        <v>29</v>
      </c>
      <c r="B31">
        <f>'Inventory ELV'!B31*0.5</f>
        <v>0.5</v>
      </c>
      <c r="C31">
        <f>'Inventory ELV'!C31*0.5</f>
        <v>3</v>
      </c>
      <c r="D31">
        <f>'Inventory ELV'!D31*0.5</f>
        <v>6.5</v>
      </c>
      <c r="E31">
        <f>'Inventory ELV'!E31*0.5</f>
        <v>5</v>
      </c>
      <c r="G31">
        <f>'Inventory ELV'!G31*0.5</f>
        <v>1.5</v>
      </c>
      <c r="H31">
        <f>'Inventory ELV'!H31*0.5</f>
        <v>0</v>
      </c>
      <c r="I31">
        <f>'Inventory ELV'!I31*0.5</f>
        <v>6.5</v>
      </c>
      <c r="J31">
        <f>'Inventory ELV'!J31*0.5</f>
        <v>5</v>
      </c>
      <c r="L31">
        <f>'Inventory ELV'!L31*0.5</f>
        <v>0.5</v>
      </c>
      <c r="M31">
        <f>'Inventory ELV'!M31*0.5</f>
        <v>0</v>
      </c>
      <c r="N31">
        <f>'Inventory ELV'!N31*0.5</f>
        <v>6.5</v>
      </c>
      <c r="O31">
        <f>'Inventory ELV'!O31*0.5</f>
        <v>7</v>
      </c>
      <c r="Q31">
        <f>'Inventory ELV'!Q31*0.5</f>
        <v>10</v>
      </c>
      <c r="R31">
        <f>'Inventory ELV'!R31*0.5</f>
        <v>0.5</v>
      </c>
      <c r="S31">
        <f>'Inventory ELV'!S31*0.5</f>
        <v>6.5</v>
      </c>
      <c r="T31">
        <f>'Inventory ELV'!T31*0.5</f>
        <v>7.5</v>
      </c>
      <c r="V31">
        <f>'Inventory ELV'!V31*0.5</f>
        <v>6</v>
      </c>
      <c r="W31">
        <f>'Inventory ELV'!W31*0.5</f>
        <v>0</v>
      </c>
      <c r="X31">
        <f>'Inventory ELV'!X31*0.5</f>
        <v>4.5</v>
      </c>
      <c r="Y31">
        <f>'Inventory ELV'!Y31*0.5</f>
        <v>7.5</v>
      </c>
      <c r="AA31">
        <f>'Inventory ELV'!AA31*0.5</f>
        <v>9</v>
      </c>
      <c r="AB31">
        <f>'Inventory ELV'!AB31*0.5</f>
        <v>0</v>
      </c>
      <c r="AC31">
        <f>'Inventory ELV'!AC31*0.5</f>
        <v>6.5</v>
      </c>
      <c r="AD31">
        <f>'Inventory ELV'!AD31*0.5</f>
        <v>7.5</v>
      </c>
      <c r="AF31">
        <f>'Inventory ELV'!AF31*0.5</f>
        <v>1.5</v>
      </c>
      <c r="AG31">
        <f>'Inventory ELV'!AG31*0.5</f>
        <v>0</v>
      </c>
      <c r="AH31">
        <f>'Inventory ELV'!AH31*0.5</f>
        <v>7</v>
      </c>
      <c r="AI31">
        <f>'Inventory ELV'!AI31*0.5</f>
        <v>7.5</v>
      </c>
      <c r="AK31">
        <f>'Inventory ELV'!AK31*0.5</f>
        <v>5.5</v>
      </c>
      <c r="AL31">
        <f>'Inventory ELV'!AL31*0.5</f>
        <v>4</v>
      </c>
      <c r="AM31">
        <f>'Inventory ELV'!AM31*0.5</f>
        <v>4.5</v>
      </c>
      <c r="AN31">
        <f>'Inventory ELV'!AN31*0.5</f>
        <v>6</v>
      </c>
      <c r="AP31">
        <f>'Inventory ELV'!AP31*0.5</f>
        <v>2</v>
      </c>
      <c r="AQ31">
        <f>'Inventory ELV'!AQ31*0.5</f>
        <v>0</v>
      </c>
      <c r="AR31">
        <f>'Inventory ELV'!AR31*0.5</f>
        <v>6.5</v>
      </c>
      <c r="AS31">
        <f>'Inventory ELV'!AS31*0.5</f>
        <v>6.5</v>
      </c>
      <c r="AU31">
        <f>'Inventory ELV'!AU31*0.5</f>
        <v>8</v>
      </c>
      <c r="AV31">
        <f>'Inventory ELV'!AV31*0.5</f>
        <v>8.5</v>
      </c>
      <c r="AW31">
        <f>'Inventory ELV'!AW31*0.5</f>
        <v>6.5</v>
      </c>
      <c r="AX31">
        <f>'Inventory ELV'!AX31*0.5</f>
        <v>8</v>
      </c>
      <c r="AZ31">
        <f t="shared" si="0"/>
        <v>4.45</v>
      </c>
      <c r="BA31">
        <f t="shared" si="1"/>
        <v>1.6</v>
      </c>
      <c r="BB31">
        <f t="shared" si="2"/>
        <v>6.15</v>
      </c>
      <c r="BC31">
        <f t="shared" si="3"/>
        <v>6.75</v>
      </c>
    </row>
    <row r="32" spans="1:55" x14ac:dyDescent="0.35">
      <c r="A32">
        <v>30</v>
      </c>
      <c r="B32">
        <f>'Inventory ELV'!B32*0.5</f>
        <v>5</v>
      </c>
      <c r="C32">
        <f>'Inventory ELV'!C32*0.5</f>
        <v>0</v>
      </c>
      <c r="D32">
        <f>'Inventory ELV'!D32*0.5</f>
        <v>6.5</v>
      </c>
      <c r="E32">
        <f>'Inventory ELV'!E32*0.5</f>
        <v>6.5</v>
      </c>
      <c r="G32">
        <f>'Inventory ELV'!G32*0.5</f>
        <v>2.5</v>
      </c>
      <c r="H32">
        <f>'Inventory ELV'!H32*0.5</f>
        <v>0</v>
      </c>
      <c r="I32">
        <f>'Inventory ELV'!I32*0.5</f>
        <v>6.5</v>
      </c>
      <c r="J32">
        <f>'Inventory ELV'!J32*0.5</f>
        <v>8</v>
      </c>
      <c r="L32">
        <f>'Inventory ELV'!L32*0.5</f>
        <v>3.5</v>
      </c>
      <c r="M32">
        <f>'Inventory ELV'!M32*0.5</f>
        <v>1</v>
      </c>
      <c r="N32">
        <f>'Inventory ELV'!N32*0.5</f>
        <v>6.5</v>
      </c>
      <c r="O32">
        <f>'Inventory ELV'!O32*0.5</f>
        <v>8</v>
      </c>
      <c r="Q32">
        <f>'Inventory ELV'!Q32*0.5</f>
        <v>6.5</v>
      </c>
      <c r="R32">
        <f>'Inventory ELV'!R32*0.5</f>
        <v>13</v>
      </c>
      <c r="S32">
        <f>'Inventory ELV'!S32*0.5</f>
        <v>6.5</v>
      </c>
      <c r="T32">
        <f>'Inventory ELV'!T32*0.5</f>
        <v>3.5</v>
      </c>
      <c r="V32">
        <f>'Inventory ELV'!V32*0.5</f>
        <v>10</v>
      </c>
      <c r="W32">
        <f>'Inventory ELV'!W32*0.5</f>
        <v>6</v>
      </c>
      <c r="X32">
        <f>'Inventory ELV'!X32*0.5</f>
        <v>5</v>
      </c>
      <c r="Y32">
        <f>'Inventory ELV'!Y32*0.5</f>
        <v>4</v>
      </c>
      <c r="AA32">
        <f>'Inventory ELV'!AA32*0.5</f>
        <v>6</v>
      </c>
      <c r="AB32">
        <f>'Inventory ELV'!AB32*0.5</f>
        <v>7</v>
      </c>
      <c r="AC32">
        <f>'Inventory ELV'!AC32*0.5</f>
        <v>6.5</v>
      </c>
      <c r="AD32">
        <f>'Inventory ELV'!AD32*0.5</f>
        <v>1.5</v>
      </c>
      <c r="AF32">
        <f>'Inventory ELV'!AF32*0.5</f>
        <v>10</v>
      </c>
      <c r="AG32">
        <f>'Inventory ELV'!AG32*0.5</f>
        <v>6</v>
      </c>
      <c r="AH32">
        <f>'Inventory ELV'!AH32*0.5</f>
        <v>6.5</v>
      </c>
      <c r="AI32">
        <f>'Inventory ELV'!AI32*0.5</f>
        <v>2</v>
      </c>
      <c r="AK32">
        <f>'Inventory ELV'!AK32*0.5</f>
        <v>6</v>
      </c>
      <c r="AL32">
        <f>'Inventory ELV'!AL32*0.5</f>
        <v>1.5</v>
      </c>
      <c r="AM32">
        <f>'Inventory ELV'!AM32*0.5</f>
        <v>3.5</v>
      </c>
      <c r="AN32">
        <f>'Inventory ELV'!AN32*0.5</f>
        <v>7</v>
      </c>
      <c r="AP32">
        <f>'Inventory ELV'!AP32*0.5</f>
        <v>3</v>
      </c>
      <c r="AQ32">
        <f>'Inventory ELV'!AQ32*0.5</f>
        <v>2</v>
      </c>
      <c r="AR32">
        <f>'Inventory ELV'!AR32*0.5</f>
        <v>6.5</v>
      </c>
      <c r="AS32">
        <f>'Inventory ELV'!AS32*0.5</f>
        <v>6.5</v>
      </c>
      <c r="AU32">
        <f>'Inventory ELV'!AU32*0.5</f>
        <v>5</v>
      </c>
      <c r="AV32">
        <f>'Inventory ELV'!AV32*0.5</f>
        <v>1</v>
      </c>
      <c r="AW32">
        <f>'Inventory ELV'!AW32*0.5</f>
        <v>6.5</v>
      </c>
      <c r="AX32">
        <f>'Inventory ELV'!AX32*0.5</f>
        <v>8</v>
      </c>
      <c r="AZ32">
        <f t="shared" si="0"/>
        <v>5.75</v>
      </c>
      <c r="BA32">
        <f t="shared" si="1"/>
        <v>3.75</v>
      </c>
      <c r="BB32">
        <f t="shared" si="2"/>
        <v>6.05</v>
      </c>
      <c r="BC32">
        <f t="shared" si="3"/>
        <v>5.5</v>
      </c>
    </row>
    <row r="33" spans="1:57" x14ac:dyDescent="0.35">
      <c r="A33">
        <v>31</v>
      </c>
      <c r="B33">
        <f>'Inventory ELV'!B33*0.5</f>
        <v>5</v>
      </c>
      <c r="C33">
        <f>'Inventory ELV'!C33*0.5</f>
        <v>0</v>
      </c>
      <c r="D33">
        <f>'Inventory ELV'!D33*0.5</f>
        <v>6.5</v>
      </c>
      <c r="E33">
        <f>'Inventory ELV'!E33*0.5</f>
        <v>7.5</v>
      </c>
      <c r="G33">
        <f>'Inventory ELV'!G33*0.5</f>
        <v>9.5</v>
      </c>
      <c r="H33">
        <f>'Inventory ELV'!H33*0.5</f>
        <v>6</v>
      </c>
      <c r="I33">
        <f>'Inventory ELV'!I33*0.5</f>
        <v>6.5</v>
      </c>
      <c r="J33">
        <f>'Inventory ELV'!J33*0.5</f>
        <v>6.5</v>
      </c>
      <c r="L33">
        <f>'Inventory ELV'!L33*0.5</f>
        <v>11.5</v>
      </c>
      <c r="M33">
        <f>'Inventory ELV'!M33*0.5</f>
        <v>0</v>
      </c>
      <c r="N33">
        <f>'Inventory ELV'!N33*0.5</f>
        <v>6</v>
      </c>
      <c r="O33">
        <f>'Inventory ELV'!O33*0.5</f>
        <v>7</v>
      </c>
      <c r="Q33">
        <f>'Inventory ELV'!Q33*0.5</f>
        <v>9.5</v>
      </c>
      <c r="R33">
        <f>'Inventory ELV'!R33*0.5</f>
        <v>11</v>
      </c>
      <c r="S33">
        <f>'Inventory ELV'!S33*0.5</f>
        <v>6</v>
      </c>
      <c r="T33">
        <f>'Inventory ELV'!T33*0.5</f>
        <v>3.5</v>
      </c>
      <c r="V33">
        <f>'Inventory ELV'!V33*0.5</f>
        <v>8</v>
      </c>
      <c r="W33">
        <f>'Inventory ELV'!W33*0.5</f>
        <v>7</v>
      </c>
      <c r="X33">
        <f>'Inventory ELV'!X33*0.5</f>
        <v>5</v>
      </c>
      <c r="Y33">
        <f>'Inventory ELV'!Y33*0.5</f>
        <v>3</v>
      </c>
      <c r="AA33">
        <f>'Inventory ELV'!AA33*0.5</f>
        <v>5.5</v>
      </c>
      <c r="AB33">
        <f>'Inventory ELV'!AB33*0.5</f>
        <v>15</v>
      </c>
      <c r="AC33">
        <f>'Inventory ELV'!AC33*0.5</f>
        <v>6.5</v>
      </c>
      <c r="AD33">
        <f>'Inventory ELV'!AD33*0.5</f>
        <v>1.5</v>
      </c>
      <c r="AF33">
        <f>'Inventory ELV'!AF33*0.5</f>
        <v>6.5</v>
      </c>
      <c r="AG33">
        <f>'Inventory ELV'!AG33*0.5</f>
        <v>10</v>
      </c>
      <c r="AH33">
        <f>'Inventory ELV'!AH33*0.5</f>
        <v>6.5</v>
      </c>
      <c r="AI33">
        <f>'Inventory ELV'!AI33*0.5</f>
        <v>6.5</v>
      </c>
      <c r="AK33">
        <f>'Inventory ELV'!AK33*0.5</f>
        <v>6.5</v>
      </c>
      <c r="AL33">
        <f>'Inventory ELV'!AL33*0.5</f>
        <v>6</v>
      </c>
      <c r="AM33">
        <f>'Inventory ELV'!AM33*0.5</f>
        <v>5</v>
      </c>
      <c r="AN33">
        <f>'Inventory ELV'!AN33*0.5</f>
        <v>3.5</v>
      </c>
      <c r="AP33">
        <f>'Inventory ELV'!AP33*0.5</f>
        <v>3.5</v>
      </c>
      <c r="AQ33">
        <f>'Inventory ELV'!AQ33*0.5</f>
        <v>6</v>
      </c>
      <c r="AR33">
        <f>'Inventory ELV'!AR33*0.5</f>
        <v>6.5</v>
      </c>
      <c r="AS33">
        <f>'Inventory ELV'!AS33*0.5</f>
        <v>5.5</v>
      </c>
      <c r="AU33">
        <f>'Inventory ELV'!AU33*0.5</f>
        <v>14.5</v>
      </c>
      <c r="AV33">
        <f>'Inventory ELV'!AV33*0.5</f>
        <v>1</v>
      </c>
      <c r="AW33">
        <f>'Inventory ELV'!AW33*0.5</f>
        <v>6</v>
      </c>
      <c r="AX33">
        <f>'Inventory ELV'!AX33*0.5</f>
        <v>4.5</v>
      </c>
      <c r="AZ33">
        <f t="shared" si="0"/>
        <v>8</v>
      </c>
      <c r="BA33">
        <f t="shared" si="1"/>
        <v>6.2</v>
      </c>
      <c r="BB33">
        <f t="shared" si="2"/>
        <v>6.05</v>
      </c>
      <c r="BC33">
        <f t="shared" si="3"/>
        <v>4.9000000000000004</v>
      </c>
    </row>
    <row r="34" spans="1:57" x14ac:dyDescent="0.35">
      <c r="A34">
        <v>32</v>
      </c>
      <c r="B34">
        <f>'Inventory ELV'!B34*0.5</f>
        <v>8.5</v>
      </c>
      <c r="C34">
        <f>'Inventory ELV'!C34*0.5</f>
        <v>7</v>
      </c>
      <c r="D34">
        <f>'Inventory ELV'!D34*0.5</f>
        <v>6.5</v>
      </c>
      <c r="E34">
        <f>'Inventory ELV'!E34*0.5</f>
        <v>4</v>
      </c>
      <c r="G34">
        <f>'Inventory ELV'!G34*0.5</f>
        <v>10.5</v>
      </c>
      <c r="H34">
        <f>'Inventory ELV'!H34*0.5</f>
        <v>15</v>
      </c>
      <c r="I34">
        <f>'Inventory ELV'!I34*0.5</f>
        <v>6</v>
      </c>
      <c r="J34">
        <f>'Inventory ELV'!J34*0.5</f>
        <v>5</v>
      </c>
      <c r="L34">
        <f>'Inventory ELV'!L34*0.5</f>
        <v>9</v>
      </c>
      <c r="M34">
        <f>'Inventory ELV'!M34*0.5</f>
        <v>22</v>
      </c>
      <c r="N34">
        <f>'Inventory ELV'!N34*0.5</f>
        <v>6</v>
      </c>
      <c r="O34">
        <f>'Inventory ELV'!O34*0.5</f>
        <v>4</v>
      </c>
      <c r="Q34">
        <f>'Inventory ELV'!Q34*0.5</f>
        <v>1</v>
      </c>
      <c r="R34">
        <f>'Inventory ELV'!R34*0.5</f>
        <v>6</v>
      </c>
      <c r="S34">
        <f>'Inventory ELV'!S34*0.5</f>
        <v>6</v>
      </c>
      <c r="T34">
        <f>'Inventory ELV'!T34*0.5</f>
        <v>7</v>
      </c>
      <c r="V34">
        <f>'Inventory ELV'!V34*0.5</f>
        <v>1</v>
      </c>
      <c r="W34">
        <f>'Inventory ELV'!W34*0.5</f>
        <v>9.5</v>
      </c>
      <c r="X34">
        <f>'Inventory ELV'!X34*0.5</f>
        <v>5</v>
      </c>
      <c r="Y34">
        <f>'Inventory ELV'!Y34*0.5</f>
        <v>3.5</v>
      </c>
      <c r="AA34">
        <f>'Inventory ELV'!AA34*0.5</f>
        <v>0</v>
      </c>
      <c r="AB34">
        <f>'Inventory ELV'!AB34*0.5</f>
        <v>17</v>
      </c>
      <c r="AC34">
        <f>'Inventory ELV'!AC34*0.5</f>
        <v>7</v>
      </c>
      <c r="AD34">
        <f>'Inventory ELV'!AD34*0.5</f>
        <v>7.5</v>
      </c>
      <c r="AF34">
        <f>'Inventory ELV'!AF34*0.5</f>
        <v>0</v>
      </c>
      <c r="AG34">
        <f>'Inventory ELV'!AG34*0.5</f>
        <v>13.5</v>
      </c>
      <c r="AH34">
        <f>'Inventory ELV'!AH34*0.5</f>
        <v>6.5</v>
      </c>
      <c r="AI34">
        <f>'Inventory ELV'!AI34*0.5</f>
        <v>3</v>
      </c>
      <c r="AK34">
        <f>'Inventory ELV'!AK34*0.5</f>
        <v>8</v>
      </c>
      <c r="AL34">
        <f>'Inventory ELV'!AL34*0.5</f>
        <v>6</v>
      </c>
      <c r="AM34">
        <f>'Inventory ELV'!AM34*0.5</f>
        <v>5</v>
      </c>
      <c r="AN34">
        <f>'Inventory ELV'!AN34*0.5</f>
        <v>2.5</v>
      </c>
      <c r="AP34">
        <f>'Inventory ELV'!AP34*0.5</f>
        <v>4.5</v>
      </c>
      <c r="AQ34">
        <f>'Inventory ELV'!AQ34*0.5</f>
        <v>0</v>
      </c>
      <c r="AR34">
        <f>'Inventory ELV'!AR34*0.5</f>
        <v>6.5</v>
      </c>
      <c r="AS34">
        <f>'Inventory ELV'!AS34*0.5</f>
        <v>4.5</v>
      </c>
      <c r="AU34">
        <f>'Inventory ELV'!AU34*0.5</f>
        <v>11.5</v>
      </c>
      <c r="AV34">
        <f>'Inventory ELV'!AV34*0.5</f>
        <v>4</v>
      </c>
      <c r="AW34">
        <f>'Inventory ELV'!AW34*0.5</f>
        <v>6</v>
      </c>
      <c r="AX34">
        <f>'Inventory ELV'!AX34*0.5</f>
        <v>2.5</v>
      </c>
      <c r="AZ34">
        <f t="shared" si="0"/>
        <v>5.4</v>
      </c>
      <c r="BA34">
        <f t="shared" si="1"/>
        <v>10</v>
      </c>
      <c r="BB34">
        <f t="shared" si="2"/>
        <v>6.05</v>
      </c>
      <c r="BC34">
        <f t="shared" si="3"/>
        <v>4.3499999999999996</v>
      </c>
    </row>
    <row r="35" spans="1:57" x14ac:dyDescent="0.35">
      <c r="A35">
        <v>33</v>
      </c>
      <c r="B35">
        <f>'Inventory ELV'!B35*0.5</f>
        <v>9</v>
      </c>
      <c r="C35">
        <f>'Inventory ELV'!C35*0.5</f>
        <v>8</v>
      </c>
      <c r="D35">
        <f>'Inventory ELV'!D35*0.5</f>
        <v>6</v>
      </c>
      <c r="E35">
        <f>'Inventory ELV'!E35*0.5</f>
        <v>5.5</v>
      </c>
      <c r="G35">
        <f>'Inventory ELV'!G35*0.5</f>
        <v>2.5</v>
      </c>
      <c r="H35">
        <f>'Inventory ELV'!H35*0.5</f>
        <v>25</v>
      </c>
      <c r="I35">
        <f>'Inventory ELV'!I35*0.5</f>
        <v>6</v>
      </c>
      <c r="J35">
        <f>'Inventory ELV'!J35*0.5</f>
        <v>4</v>
      </c>
      <c r="L35">
        <f>'Inventory ELV'!L35*0.5</f>
        <v>7.5</v>
      </c>
      <c r="M35">
        <f>'Inventory ELV'!M35*0.5</f>
        <v>11</v>
      </c>
      <c r="N35">
        <f>'Inventory ELV'!N35*0.5</f>
        <v>6.5</v>
      </c>
      <c r="O35">
        <f>'Inventory ELV'!O35*0.5</f>
        <v>2</v>
      </c>
      <c r="Q35">
        <f>'Inventory ELV'!Q35*0.5</f>
        <v>2.5</v>
      </c>
      <c r="R35">
        <f>'Inventory ELV'!R35*0.5</f>
        <v>2.5</v>
      </c>
      <c r="S35">
        <f>'Inventory ELV'!S35*0.5</f>
        <v>6.5</v>
      </c>
      <c r="T35">
        <f>'Inventory ELV'!T35*0.5</f>
        <v>5</v>
      </c>
      <c r="V35">
        <f>'Inventory ELV'!V35*0.5</f>
        <v>3.5</v>
      </c>
      <c r="W35">
        <f>'Inventory ELV'!W35*0.5</f>
        <v>4</v>
      </c>
      <c r="X35">
        <f>'Inventory ELV'!X35*0.5</f>
        <v>5</v>
      </c>
      <c r="Y35">
        <f>'Inventory ELV'!Y35*0.5</f>
        <v>7</v>
      </c>
      <c r="AA35">
        <f>'Inventory ELV'!AA35*0.5</f>
        <v>5</v>
      </c>
      <c r="AB35">
        <f>'Inventory ELV'!AB35*0.5</f>
        <v>0</v>
      </c>
      <c r="AC35">
        <f>'Inventory ELV'!AC35*0.5</f>
        <v>6.5</v>
      </c>
      <c r="AD35">
        <f>'Inventory ELV'!AD35*0.5</f>
        <v>8</v>
      </c>
      <c r="AF35">
        <f>'Inventory ELV'!AF35*0.5</f>
        <v>8</v>
      </c>
      <c r="AG35">
        <f>'Inventory ELV'!AG35*0.5</f>
        <v>0</v>
      </c>
      <c r="AH35">
        <f>'Inventory ELV'!AH35*0.5</f>
        <v>6.5</v>
      </c>
      <c r="AI35">
        <f>'Inventory ELV'!AI35*0.5</f>
        <v>7</v>
      </c>
      <c r="AK35">
        <f>'Inventory ELV'!AK35*0.5</f>
        <v>1.5</v>
      </c>
      <c r="AL35">
        <f>'Inventory ELV'!AL35*0.5</f>
        <v>7.5</v>
      </c>
      <c r="AM35">
        <f>'Inventory ELV'!AM35*0.5</f>
        <v>5</v>
      </c>
      <c r="AN35">
        <f>'Inventory ELV'!AN35*0.5</f>
        <v>5</v>
      </c>
      <c r="AP35">
        <f>'Inventory ELV'!AP35*0.5</f>
        <v>1</v>
      </c>
      <c r="AQ35">
        <f>'Inventory ELV'!AQ35*0.5</f>
        <v>6</v>
      </c>
      <c r="AR35">
        <f>'Inventory ELV'!AR35*0.5</f>
        <v>6.5</v>
      </c>
      <c r="AS35">
        <f>'Inventory ELV'!AS35*0.5</f>
        <v>4</v>
      </c>
      <c r="AU35">
        <f>'Inventory ELV'!AU35*0.5</f>
        <v>0</v>
      </c>
      <c r="AV35">
        <f>'Inventory ELV'!AV35*0.5</f>
        <v>12</v>
      </c>
      <c r="AW35">
        <f>'Inventory ELV'!AW35*0.5</f>
        <v>6.5</v>
      </c>
      <c r="AX35">
        <f>'Inventory ELV'!AX35*0.5</f>
        <v>1.5</v>
      </c>
      <c r="AZ35">
        <f t="shared" si="0"/>
        <v>4.05</v>
      </c>
      <c r="BA35">
        <f t="shared" si="1"/>
        <v>7.6</v>
      </c>
      <c r="BB35">
        <f t="shared" si="2"/>
        <v>6.1</v>
      </c>
      <c r="BC35">
        <f t="shared" si="3"/>
        <v>4.9000000000000004</v>
      </c>
    </row>
    <row r="36" spans="1:57" x14ac:dyDescent="0.35">
      <c r="A36">
        <v>34</v>
      </c>
      <c r="B36">
        <f>'Inventory ELV'!B36*0.5</f>
        <v>1</v>
      </c>
      <c r="C36">
        <f>'Inventory ELV'!C36*0.5</f>
        <v>8</v>
      </c>
      <c r="D36">
        <f>'Inventory ELV'!D36*0.5</f>
        <v>6</v>
      </c>
      <c r="E36">
        <f>'Inventory ELV'!E36*0.5</f>
        <v>5</v>
      </c>
      <c r="G36">
        <f>'Inventory ELV'!G36*0.5</f>
        <v>0.5</v>
      </c>
      <c r="H36">
        <f>'Inventory ELV'!H36*0.5</f>
        <v>6</v>
      </c>
      <c r="I36">
        <f>'Inventory ELV'!I36*0.5</f>
        <v>6.5</v>
      </c>
      <c r="J36">
        <f>'Inventory ELV'!J36*0.5</f>
        <v>3</v>
      </c>
      <c r="L36">
        <f>'Inventory ELV'!L36*0.5</f>
        <v>0</v>
      </c>
      <c r="M36">
        <f>'Inventory ELV'!M36*0.5</f>
        <v>10.5</v>
      </c>
      <c r="N36">
        <f>'Inventory ELV'!N36*0.5</f>
        <v>6.5</v>
      </c>
      <c r="O36">
        <f>'Inventory ELV'!O36*0.5</f>
        <v>3.5</v>
      </c>
      <c r="Q36">
        <f>'Inventory ELV'!Q36*0.5</f>
        <v>8</v>
      </c>
      <c r="R36">
        <f>'Inventory ELV'!R36*0.5</f>
        <v>0</v>
      </c>
      <c r="S36">
        <f>'Inventory ELV'!S36*0.5</f>
        <v>6.5</v>
      </c>
      <c r="T36">
        <f>'Inventory ELV'!T36*0.5</f>
        <v>6.5</v>
      </c>
      <c r="V36">
        <f>'Inventory ELV'!V36*0.5</f>
        <v>6</v>
      </c>
      <c r="W36">
        <f>'Inventory ELV'!W36*0.5</f>
        <v>0</v>
      </c>
      <c r="X36">
        <f>'Inventory ELV'!X36*0.5</f>
        <v>4.5</v>
      </c>
      <c r="Y36">
        <f>'Inventory ELV'!Y36*0.5</f>
        <v>8</v>
      </c>
      <c r="AA36">
        <f>'Inventory ELV'!AA36*0.5</f>
        <v>9</v>
      </c>
      <c r="AB36">
        <f>'Inventory ELV'!AB36*0.5</f>
        <v>0</v>
      </c>
      <c r="AC36">
        <f>'Inventory ELV'!AC36*0.5</f>
        <v>6.5</v>
      </c>
      <c r="AD36">
        <f>'Inventory ELV'!AD36*0.5</f>
        <v>7.5</v>
      </c>
      <c r="AF36">
        <f>'Inventory ELV'!AF36*0.5</f>
        <v>0.5</v>
      </c>
      <c r="AG36">
        <f>'Inventory ELV'!AG36*0.5</f>
        <v>0</v>
      </c>
      <c r="AH36">
        <f>'Inventory ELV'!AH36*0.5</f>
        <v>7</v>
      </c>
      <c r="AI36">
        <f>'Inventory ELV'!AI36*0.5</f>
        <v>7.5</v>
      </c>
      <c r="AK36">
        <f>'Inventory ELV'!AK36*0.5</f>
        <v>2.5</v>
      </c>
      <c r="AL36">
        <f>'Inventory ELV'!AL36*0.5</f>
        <v>6</v>
      </c>
      <c r="AM36">
        <f>'Inventory ELV'!AM36*0.5</f>
        <v>5.5</v>
      </c>
      <c r="AN36">
        <f>'Inventory ELV'!AN36*0.5</f>
        <v>5</v>
      </c>
      <c r="AP36">
        <f>'Inventory ELV'!AP36*0.5</f>
        <v>7</v>
      </c>
      <c r="AQ36">
        <f>'Inventory ELV'!AQ36*0.5</f>
        <v>6</v>
      </c>
      <c r="AR36">
        <f>'Inventory ELV'!AR36*0.5</f>
        <v>6.5</v>
      </c>
      <c r="AS36">
        <f>'Inventory ELV'!AS36*0.5</f>
        <v>5</v>
      </c>
      <c r="AU36">
        <f>'Inventory ELV'!AU36*0.5</f>
        <v>1</v>
      </c>
      <c r="AV36">
        <f>'Inventory ELV'!AV36*0.5</f>
        <v>13</v>
      </c>
      <c r="AW36">
        <f>'Inventory ELV'!AW36*0.5</f>
        <v>6.5</v>
      </c>
      <c r="AX36">
        <f>'Inventory ELV'!AX36*0.5</f>
        <v>3.5</v>
      </c>
      <c r="AZ36">
        <f t="shared" si="0"/>
        <v>3.55</v>
      </c>
      <c r="BA36">
        <f t="shared" si="1"/>
        <v>4.95</v>
      </c>
      <c r="BB36">
        <f t="shared" si="2"/>
        <v>6.2</v>
      </c>
      <c r="BC36">
        <f t="shared" si="3"/>
        <v>5.45</v>
      </c>
    </row>
    <row r="37" spans="1:57" x14ac:dyDescent="0.35">
      <c r="A37">
        <v>35</v>
      </c>
      <c r="B37">
        <f>'Inventory ELV'!B37*0.5</f>
        <v>4.5</v>
      </c>
      <c r="C37">
        <f>'Inventory ELV'!C37*0.5</f>
        <v>3.5</v>
      </c>
      <c r="D37">
        <f>'Inventory ELV'!D37*0.5</f>
        <v>6.5</v>
      </c>
      <c r="E37">
        <f>'Inventory ELV'!E37*0.5</f>
        <v>4.5</v>
      </c>
      <c r="G37">
        <f>'Inventory ELV'!G37*0.5</f>
        <v>1</v>
      </c>
      <c r="H37">
        <f>'Inventory ELV'!H37*0.5</f>
        <v>0</v>
      </c>
      <c r="I37">
        <f>'Inventory ELV'!I37*0.5</f>
        <v>6.5</v>
      </c>
      <c r="J37">
        <f>'Inventory ELV'!J37*0.5</f>
        <v>5</v>
      </c>
      <c r="L37">
        <f>'Inventory ELV'!L37*0.5</f>
        <v>1</v>
      </c>
      <c r="M37">
        <f>'Inventory ELV'!M37*0.5</f>
        <v>0</v>
      </c>
      <c r="N37">
        <f>'Inventory ELV'!N37*0.5</f>
        <v>6.5</v>
      </c>
      <c r="O37">
        <f>'Inventory ELV'!O37*0.5</f>
        <v>7</v>
      </c>
      <c r="Q37">
        <f>'Inventory ELV'!Q37*0.5</f>
        <v>4.5</v>
      </c>
      <c r="R37">
        <f>'Inventory ELV'!R37*0.5</f>
        <v>7</v>
      </c>
      <c r="S37">
        <f>'Inventory ELV'!S37*0.5</f>
        <v>6.5</v>
      </c>
      <c r="T37">
        <f>'Inventory ELV'!T37*0.5</f>
        <v>5.5</v>
      </c>
      <c r="V37">
        <f>'Inventory ELV'!V37*0.5</f>
        <v>8</v>
      </c>
      <c r="W37">
        <f>'Inventory ELV'!W37*0.5</f>
        <v>4</v>
      </c>
      <c r="X37">
        <f>'Inventory ELV'!X37*0.5</f>
        <v>5</v>
      </c>
      <c r="Y37">
        <f>'Inventory ELV'!Y37*0.5</f>
        <v>5.5</v>
      </c>
      <c r="AA37">
        <f>'Inventory ELV'!AA37*0.5</f>
        <v>6.5</v>
      </c>
      <c r="AB37">
        <f>'Inventory ELV'!AB37*0.5</f>
        <v>6</v>
      </c>
      <c r="AC37">
        <f>'Inventory ELV'!AC37*0.5</f>
        <v>6.5</v>
      </c>
      <c r="AD37">
        <f>'Inventory ELV'!AD37*0.5</f>
        <v>2</v>
      </c>
      <c r="AF37">
        <f>'Inventory ELV'!AF37*0.5</f>
        <v>10</v>
      </c>
      <c r="AG37">
        <f>'Inventory ELV'!AG37*0.5</f>
        <v>6</v>
      </c>
      <c r="AH37">
        <f>'Inventory ELV'!AH37*0.5</f>
        <v>6.5</v>
      </c>
      <c r="AI37">
        <f>'Inventory ELV'!AI37*0.5</f>
        <v>2.5</v>
      </c>
      <c r="AK37">
        <f>'Inventory ELV'!AK37*0.5</f>
        <v>6</v>
      </c>
      <c r="AL37">
        <f>'Inventory ELV'!AL37*0.5</f>
        <v>0.5</v>
      </c>
      <c r="AM37">
        <f>'Inventory ELV'!AM37*0.5</f>
        <v>4.5</v>
      </c>
      <c r="AN37">
        <f>'Inventory ELV'!AN37*0.5</f>
        <v>7.5</v>
      </c>
      <c r="AP37">
        <f>'Inventory ELV'!AP37*0.5</f>
        <v>2</v>
      </c>
      <c r="AQ37">
        <f>'Inventory ELV'!AQ37*0.5</f>
        <v>0</v>
      </c>
      <c r="AR37">
        <f>'Inventory ELV'!AR37*0.5</f>
        <v>6.5</v>
      </c>
      <c r="AS37">
        <f>'Inventory ELV'!AS37*0.5</f>
        <v>6.5</v>
      </c>
      <c r="AU37">
        <f>'Inventory ELV'!AU37*0.5</f>
        <v>2.5</v>
      </c>
      <c r="AV37">
        <f>'Inventory ELV'!AV37*0.5</f>
        <v>0.5</v>
      </c>
      <c r="AW37">
        <f>'Inventory ELV'!AW37*0.5</f>
        <v>6.5</v>
      </c>
      <c r="AX37">
        <f>'Inventory ELV'!AX37*0.5</f>
        <v>8</v>
      </c>
      <c r="AZ37">
        <f t="shared" si="0"/>
        <v>4.5999999999999996</v>
      </c>
      <c r="BA37">
        <f t="shared" si="1"/>
        <v>2.75</v>
      </c>
      <c r="BB37">
        <f t="shared" si="2"/>
        <v>6.15</v>
      </c>
      <c r="BC37">
        <f t="shared" si="3"/>
        <v>5.4</v>
      </c>
    </row>
    <row r="38" spans="1:57" x14ac:dyDescent="0.35">
      <c r="A38">
        <v>36</v>
      </c>
      <c r="B38">
        <f>'Inventory ELV'!B38*0.5</f>
        <v>4</v>
      </c>
      <c r="C38">
        <f>'Inventory ELV'!C38*0.5</f>
        <v>0</v>
      </c>
      <c r="D38">
        <f>'Inventory ELV'!D38*0.5</f>
        <v>6.5</v>
      </c>
      <c r="E38">
        <f>'Inventory ELV'!E38*0.5</f>
        <v>6.5</v>
      </c>
      <c r="G38">
        <f>'Inventory ELV'!G38*0.5</f>
        <v>2</v>
      </c>
      <c r="H38">
        <f>'Inventory ELV'!H38*0.5</f>
        <v>0</v>
      </c>
      <c r="I38">
        <f>'Inventory ELV'!I38*0.5</f>
        <v>6.5</v>
      </c>
      <c r="J38">
        <f>'Inventory ELV'!J38*0.5</f>
        <v>7.5</v>
      </c>
      <c r="L38">
        <f>'Inventory ELV'!L38*0.5</f>
        <v>3.5</v>
      </c>
      <c r="M38">
        <f>'Inventory ELV'!M38*0.5</f>
        <v>0</v>
      </c>
      <c r="N38">
        <f>'Inventory ELV'!N38*0.5</f>
        <v>6.5</v>
      </c>
      <c r="O38">
        <f>'Inventory ELV'!O38*0.5</f>
        <v>8</v>
      </c>
      <c r="Q38">
        <f>'Inventory ELV'!Q38*0.5</f>
        <v>8</v>
      </c>
      <c r="R38">
        <f>'Inventory ELV'!R38*0.5</f>
        <v>10.5</v>
      </c>
      <c r="S38">
        <f>'Inventory ELV'!S38*0.5</f>
        <v>6.5</v>
      </c>
      <c r="T38">
        <f>'Inventory ELV'!T38*0.5</f>
        <v>4</v>
      </c>
      <c r="V38">
        <f>'Inventory ELV'!V38*0.5</f>
        <v>9.5</v>
      </c>
      <c r="W38">
        <f>'Inventory ELV'!W38*0.5</f>
        <v>6</v>
      </c>
      <c r="X38">
        <f>'Inventory ELV'!X38*0.5</f>
        <v>5</v>
      </c>
      <c r="Y38">
        <f>'Inventory ELV'!Y38*0.5</f>
        <v>3</v>
      </c>
      <c r="AA38">
        <f>'Inventory ELV'!AA38*0.5</f>
        <v>5.5</v>
      </c>
      <c r="AB38">
        <f>'Inventory ELV'!AB38*0.5</f>
        <v>16.5</v>
      </c>
      <c r="AC38">
        <f>'Inventory ELV'!AC38*0.5</f>
        <v>6.5</v>
      </c>
      <c r="AD38">
        <f>'Inventory ELV'!AD38*0.5</f>
        <v>1.5</v>
      </c>
      <c r="AF38">
        <f>'Inventory ELV'!AF38*0.5</f>
        <v>7.5</v>
      </c>
      <c r="AG38">
        <f>'Inventory ELV'!AG38*0.5</f>
        <v>6</v>
      </c>
      <c r="AH38">
        <f>'Inventory ELV'!AH38*0.5</f>
        <v>6.5</v>
      </c>
      <c r="AI38">
        <f>'Inventory ELV'!AI38*0.5</f>
        <v>7.5</v>
      </c>
      <c r="AK38">
        <f>'Inventory ELV'!AK38*0.5</f>
        <v>6</v>
      </c>
      <c r="AL38">
        <f>'Inventory ELV'!AL38*0.5</f>
        <v>2.5</v>
      </c>
      <c r="AM38">
        <f>'Inventory ELV'!AM38*0.5</f>
        <v>4.5</v>
      </c>
      <c r="AN38">
        <f>'Inventory ELV'!AN38*0.5</f>
        <v>6.5</v>
      </c>
      <c r="AP38">
        <f>'Inventory ELV'!AP38*0.5</f>
        <v>3</v>
      </c>
      <c r="AQ38">
        <f>'Inventory ELV'!AQ38*0.5</f>
        <v>6</v>
      </c>
      <c r="AR38">
        <f>'Inventory ELV'!AR38*0.5</f>
        <v>6.5</v>
      </c>
      <c r="AS38">
        <f>'Inventory ELV'!AS38*0.5</f>
        <v>6</v>
      </c>
      <c r="AU38">
        <f>'Inventory ELV'!AU38*0.5</f>
        <v>5</v>
      </c>
      <c r="AV38">
        <f>'Inventory ELV'!AV38*0.5</f>
        <v>0</v>
      </c>
      <c r="AW38">
        <f>'Inventory ELV'!AW38*0.5</f>
        <v>6.5</v>
      </c>
      <c r="AX38">
        <f>'Inventory ELV'!AX38*0.5</f>
        <v>7</v>
      </c>
      <c r="AZ38">
        <f t="shared" si="0"/>
        <v>5.4</v>
      </c>
      <c r="BA38">
        <f t="shared" si="1"/>
        <v>4.75</v>
      </c>
      <c r="BB38">
        <f t="shared" si="2"/>
        <v>6.15</v>
      </c>
      <c r="BC38">
        <f t="shared" si="3"/>
        <v>5.75</v>
      </c>
    </row>
    <row r="40" spans="1:57" x14ac:dyDescent="0.35">
      <c r="A40" t="s">
        <v>9</v>
      </c>
      <c r="B40">
        <f>SUM(B2:B38)</f>
        <v>187.5</v>
      </c>
      <c r="C40">
        <f t="shared" ref="C40:E40" si="4">SUM(C2:C38)</f>
        <v>185</v>
      </c>
      <c r="D40">
        <f t="shared" si="4"/>
        <v>220.5</v>
      </c>
      <c r="E40">
        <f t="shared" si="4"/>
        <v>189</v>
      </c>
      <c r="G40">
        <f>SUM(G2:G38)</f>
        <v>173.5</v>
      </c>
      <c r="H40">
        <f t="shared" ref="H40:J40" si="5">SUM(H2:H38)</f>
        <v>274.5</v>
      </c>
      <c r="I40">
        <f t="shared" si="5"/>
        <v>219</v>
      </c>
      <c r="J40">
        <f t="shared" si="5"/>
        <v>183</v>
      </c>
      <c r="L40">
        <f>SUM(L2:L38)</f>
        <v>179</v>
      </c>
      <c r="M40">
        <f t="shared" ref="M40:O40" si="6">SUM(M2:M38)</f>
        <v>254</v>
      </c>
      <c r="N40">
        <f t="shared" si="6"/>
        <v>220.5</v>
      </c>
      <c r="O40">
        <f t="shared" si="6"/>
        <v>183.5</v>
      </c>
      <c r="Q40">
        <f>SUM(Q2:Q38)</f>
        <v>191</v>
      </c>
      <c r="R40">
        <f t="shared" ref="R40:T40" si="7">SUM(R2:R38)</f>
        <v>208</v>
      </c>
      <c r="S40">
        <f t="shared" si="7"/>
        <v>220.5</v>
      </c>
      <c r="T40">
        <f t="shared" si="7"/>
        <v>187</v>
      </c>
      <c r="V40">
        <f>SUM(V2:V38)</f>
        <v>207.5</v>
      </c>
      <c r="W40">
        <f t="shared" ref="W40:Y40" si="8">SUM(W2:W38)</f>
        <v>185</v>
      </c>
      <c r="X40">
        <f t="shared" si="8"/>
        <v>177.5</v>
      </c>
      <c r="Y40">
        <f t="shared" si="8"/>
        <v>189.5</v>
      </c>
      <c r="AA40">
        <f>SUM(AA2:AA38)</f>
        <v>182.5</v>
      </c>
      <c r="AB40">
        <f t="shared" ref="AB40:AD40" si="9">SUM(AB2:AB38)</f>
        <v>248.5</v>
      </c>
      <c r="AC40">
        <f t="shared" si="9"/>
        <v>227.5</v>
      </c>
      <c r="AD40">
        <f t="shared" si="9"/>
        <v>181</v>
      </c>
      <c r="AF40">
        <f>SUM(AF2:AF38)</f>
        <v>186.5</v>
      </c>
      <c r="AG40">
        <f t="shared" ref="AG40:AI40" si="10">SUM(AG2:AG38)</f>
        <v>201</v>
      </c>
      <c r="AH40">
        <f t="shared" si="10"/>
        <v>229</v>
      </c>
      <c r="AI40">
        <f t="shared" si="10"/>
        <v>186</v>
      </c>
      <c r="AK40">
        <f>SUM(AK2:AK38)</f>
        <v>191</v>
      </c>
      <c r="AL40">
        <f t="shared" ref="AL40:AN40" si="11">SUM(AL2:AL38)</f>
        <v>190</v>
      </c>
      <c r="AM40">
        <f t="shared" si="11"/>
        <v>175</v>
      </c>
      <c r="AN40">
        <f t="shared" si="11"/>
        <v>169.5</v>
      </c>
      <c r="AP40">
        <f>SUM(AP2:AP38)</f>
        <v>149</v>
      </c>
      <c r="AQ40">
        <f t="shared" ref="AQ40:AS40" si="12">SUM(AQ2:AQ38)</f>
        <v>152.5</v>
      </c>
      <c r="AR40">
        <f t="shared" si="12"/>
        <v>226.5</v>
      </c>
      <c r="AS40">
        <f t="shared" si="12"/>
        <v>173.5</v>
      </c>
      <c r="AU40">
        <f>SUM(AU2:AU38)</f>
        <v>223.5</v>
      </c>
      <c r="AV40">
        <f t="shared" ref="AV40:BA40" si="13">SUM(AV2:AV38)</f>
        <v>279</v>
      </c>
      <c r="AW40">
        <f t="shared" si="13"/>
        <v>220</v>
      </c>
      <c r="AX40">
        <f t="shared" si="13"/>
        <v>169</v>
      </c>
      <c r="AZ40">
        <f t="shared" si="13"/>
        <v>187.1</v>
      </c>
      <c r="BA40">
        <f t="shared" si="13"/>
        <v>217.74999999999991</v>
      </c>
      <c r="BB40">
        <f>SUM(BB2:BB38)</f>
        <v>213.60000000000002</v>
      </c>
      <c r="BC40">
        <f t="shared" ref="BC40:BE40" si="14">SUM(BC2:BC38)</f>
        <v>181.10000000000002</v>
      </c>
      <c r="BD40">
        <f t="shared" si="14"/>
        <v>0</v>
      </c>
      <c r="BE40">
        <f t="shared" si="14"/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566A-C02C-4CBE-944A-9FEC2749EF87}">
  <dimension ref="A1:BD40"/>
  <sheetViews>
    <sheetView topLeftCell="AF1" workbookViewId="0">
      <selection activeCell="AY1" sqref="AY1:BB1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0" max="50" width="8.7265625" style="5"/>
  </cols>
  <sheetData>
    <row r="1" spans="1:54" x14ac:dyDescent="0.35">
      <c r="A1" t="s">
        <v>19</v>
      </c>
      <c r="B1" t="s">
        <v>47</v>
      </c>
      <c r="C1" t="s">
        <v>48</v>
      </c>
      <c r="D1" t="s">
        <v>49</v>
      </c>
      <c r="E1" t="s">
        <v>50</v>
      </c>
      <c r="F1" s="5">
        <v>1</v>
      </c>
      <c r="G1" t="s">
        <v>47</v>
      </c>
      <c r="H1" t="s">
        <v>48</v>
      </c>
      <c r="I1" t="s">
        <v>49</v>
      </c>
      <c r="J1" t="s">
        <v>50</v>
      </c>
      <c r="K1" s="5">
        <v>2</v>
      </c>
      <c r="L1" t="s">
        <v>47</v>
      </c>
      <c r="M1" t="s">
        <v>48</v>
      </c>
      <c r="N1" t="s">
        <v>49</v>
      </c>
      <c r="O1" t="s">
        <v>50</v>
      </c>
      <c r="P1" s="5">
        <v>3</v>
      </c>
      <c r="Q1" t="s">
        <v>47</v>
      </c>
      <c r="R1" t="s">
        <v>48</v>
      </c>
      <c r="S1" t="s">
        <v>49</v>
      </c>
      <c r="T1" t="s">
        <v>50</v>
      </c>
      <c r="U1" s="5">
        <v>4</v>
      </c>
      <c r="V1" t="s">
        <v>47</v>
      </c>
      <c r="W1" t="s">
        <v>48</v>
      </c>
      <c r="X1" t="s">
        <v>49</v>
      </c>
      <c r="Y1" t="s">
        <v>50</v>
      </c>
      <c r="Z1" s="5">
        <v>5</v>
      </c>
      <c r="AA1" t="s">
        <v>47</v>
      </c>
      <c r="AB1" t="s">
        <v>48</v>
      </c>
      <c r="AC1" t="s">
        <v>49</v>
      </c>
      <c r="AD1" t="s">
        <v>50</v>
      </c>
      <c r="AE1" s="5">
        <v>6</v>
      </c>
      <c r="AF1" t="s">
        <v>47</v>
      </c>
      <c r="AG1" t="s">
        <v>48</v>
      </c>
      <c r="AH1" t="s">
        <v>49</v>
      </c>
      <c r="AI1" t="s">
        <v>50</v>
      </c>
      <c r="AJ1" s="5">
        <v>7</v>
      </c>
      <c r="AK1" t="s">
        <v>47</v>
      </c>
      <c r="AL1" t="s">
        <v>48</v>
      </c>
      <c r="AM1" t="s">
        <v>49</v>
      </c>
      <c r="AN1" t="s">
        <v>50</v>
      </c>
      <c r="AO1" s="5">
        <v>8</v>
      </c>
      <c r="AP1" t="s">
        <v>47</v>
      </c>
      <c r="AQ1" t="s">
        <v>48</v>
      </c>
      <c r="AR1" t="s">
        <v>49</v>
      </c>
      <c r="AS1" t="s">
        <v>50</v>
      </c>
      <c r="AT1" s="5">
        <v>9</v>
      </c>
      <c r="AU1" t="s">
        <v>47</v>
      </c>
      <c r="AV1" t="s">
        <v>48</v>
      </c>
      <c r="AW1" t="s">
        <v>49</v>
      </c>
      <c r="AX1" s="5">
        <v>10</v>
      </c>
      <c r="AY1" t="s">
        <v>111</v>
      </c>
      <c r="AZ1" t="s">
        <v>135</v>
      </c>
      <c r="BA1" t="s">
        <v>109</v>
      </c>
      <c r="BB1" t="s">
        <v>136</v>
      </c>
    </row>
    <row r="2" spans="1:54" x14ac:dyDescent="0.35">
      <c r="A2">
        <v>0</v>
      </c>
      <c r="B2">
        <v>0</v>
      </c>
      <c r="C2">
        <v>0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L2">
        <v>0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V2">
        <v>0</v>
      </c>
      <c r="W2">
        <v>0</v>
      </c>
      <c r="X2">
        <v>0</v>
      </c>
      <c r="Y2">
        <v>0</v>
      </c>
      <c r="AA2">
        <v>0</v>
      </c>
      <c r="AB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K2">
        <v>0</v>
      </c>
      <c r="AL2">
        <v>0</v>
      </c>
      <c r="AM2">
        <v>0</v>
      </c>
      <c r="AN2">
        <v>0</v>
      </c>
      <c r="AP2">
        <v>0</v>
      </c>
      <c r="AQ2">
        <v>0</v>
      </c>
      <c r="AR2">
        <v>0</v>
      </c>
      <c r="AS2">
        <v>0</v>
      </c>
      <c r="AU2">
        <v>0</v>
      </c>
      <c r="AV2">
        <v>0</v>
      </c>
      <c r="AW2">
        <v>0</v>
      </c>
      <c r="AX2">
        <v>0</v>
      </c>
      <c r="AY2">
        <f>AVERAGE(B2,G2,L2,Q2,V2,AA2,AF2,AK2,AP2,AU2)</f>
        <v>0</v>
      </c>
      <c r="AZ2">
        <f t="shared" ref="AZ2:BB2" si="0">AVERAGE(C2,H2,M2,R2,W2,AB2,AG2,AL2,AQ2,AV2)</f>
        <v>0</v>
      </c>
      <c r="BA2">
        <f t="shared" si="0"/>
        <v>0</v>
      </c>
      <c r="BB2">
        <f t="shared" si="0"/>
        <v>0</v>
      </c>
    </row>
    <row r="3" spans="1:54" x14ac:dyDescent="0.35">
      <c r="A3">
        <v>1</v>
      </c>
      <c r="B3">
        <f>'Backlog ELV'!B3*1</f>
        <v>0</v>
      </c>
      <c r="C3">
        <f>'Backlog ELV'!C3*1</f>
        <v>0</v>
      </c>
      <c r="D3">
        <f>'Backlog ELV'!D3*1</f>
        <v>0</v>
      </c>
      <c r="E3">
        <f>'Backlog ELV'!E3*1</f>
        <v>0</v>
      </c>
      <c r="G3">
        <f>'Backlog ELV'!G3*1</f>
        <v>0</v>
      </c>
      <c r="H3">
        <f>'Backlog ELV'!H3*1</f>
        <v>0</v>
      </c>
      <c r="I3">
        <f>'Backlog ELV'!I3*1</f>
        <v>0</v>
      </c>
      <c r="J3">
        <f>'Backlog ELV'!J3*1</f>
        <v>0</v>
      </c>
      <c r="L3">
        <f>'Backlog ELV'!L3*1</f>
        <v>0</v>
      </c>
      <c r="M3">
        <f>'Backlog ELV'!M3*1</f>
        <v>0</v>
      </c>
      <c r="N3">
        <f>'Backlog ELV'!N3*1</f>
        <v>0</v>
      </c>
      <c r="O3">
        <f>'Backlog ELV'!O3*1</f>
        <v>0</v>
      </c>
      <c r="Q3">
        <f>'Backlog ELV'!Q3*1</f>
        <v>0</v>
      </c>
      <c r="R3">
        <f>'Backlog ELV'!R3*1</f>
        <v>0</v>
      </c>
      <c r="S3">
        <f>'Backlog ELV'!S3*1</f>
        <v>0</v>
      </c>
      <c r="T3">
        <f>'Backlog ELV'!T3*1</f>
        <v>0</v>
      </c>
      <c r="V3">
        <f>'Backlog ELV'!V3*1</f>
        <v>0</v>
      </c>
      <c r="W3">
        <f>'Backlog ELV'!W3*1</f>
        <v>0</v>
      </c>
      <c r="X3">
        <f>'Backlog ELV'!X3*1</f>
        <v>0</v>
      </c>
      <c r="Y3">
        <f>'Backlog ELV'!Y3*1</f>
        <v>0</v>
      </c>
      <c r="AA3">
        <f>'Backlog ELV'!AA3*1</f>
        <v>0</v>
      </c>
      <c r="AB3">
        <f>'Backlog ELV'!AB3*1</f>
        <v>0</v>
      </c>
      <c r="AC3">
        <f>'Backlog ELV'!AC3*1</f>
        <v>0</v>
      </c>
      <c r="AD3">
        <f>'Backlog ELV'!AD3*1</f>
        <v>0</v>
      </c>
      <c r="AF3">
        <f>'Backlog ELV'!AF3*1</f>
        <v>0</v>
      </c>
      <c r="AG3">
        <f>'Backlog ELV'!AG3*1</f>
        <v>0</v>
      </c>
      <c r="AH3">
        <f>'Backlog ELV'!AH3*1</f>
        <v>0</v>
      </c>
      <c r="AI3">
        <f>'Backlog ELV'!AI3*1</f>
        <v>0</v>
      </c>
      <c r="AK3">
        <f>'Backlog ELV'!AK3*1</f>
        <v>0</v>
      </c>
      <c r="AL3">
        <f>'Backlog ELV'!AL3*1</f>
        <v>0</v>
      </c>
      <c r="AM3">
        <f>'Backlog ELV'!AM3*1</f>
        <v>0</v>
      </c>
      <c r="AN3">
        <f>'Backlog ELV'!AN3*1</f>
        <v>0</v>
      </c>
      <c r="AP3">
        <f>'Backlog ELV'!AP3*1</f>
        <v>0</v>
      </c>
      <c r="AQ3">
        <f>'Backlog ELV'!AQ3*1</f>
        <v>0</v>
      </c>
      <c r="AR3">
        <f>'Backlog ELV'!AR3*1</f>
        <v>0</v>
      </c>
      <c r="AS3">
        <f>'Backlog ELV'!AS3*1</f>
        <v>0</v>
      </c>
      <c r="AU3">
        <f>'Backlog ELV'!AU3*1</f>
        <v>0</v>
      </c>
      <c r="AV3">
        <f>'Backlog ELV'!AV3*1</f>
        <v>0</v>
      </c>
      <c r="AW3">
        <f>'Backlog ELV'!AW3*1</f>
        <v>0</v>
      </c>
      <c r="AX3">
        <f>'Backlog ELV'!AX3*1</f>
        <v>0</v>
      </c>
      <c r="AY3">
        <f t="shared" ref="AY3:BB38" si="1">AVERAGE(B3,G3,L3,Q3,V3,AA3,AF3,AK3,AP3,AU3)</f>
        <v>0</v>
      </c>
      <c r="AZ3">
        <f t="shared" ref="AZ3:BB17" si="2">AVERAGE(C3,H3,M3,R3,W3,AB3,AG3,AL3,AQ3,AV3)</f>
        <v>0</v>
      </c>
      <c r="BA3">
        <f t="shared" si="2"/>
        <v>0</v>
      </c>
      <c r="BB3">
        <f t="shared" si="2"/>
        <v>0</v>
      </c>
    </row>
    <row r="4" spans="1:54" x14ac:dyDescent="0.35">
      <c r="A4">
        <v>2</v>
      </c>
      <c r="B4">
        <f>'Backlog ELV'!B4*1</f>
        <v>0</v>
      </c>
      <c r="C4">
        <f>'Backlog ELV'!C4*1</f>
        <v>0</v>
      </c>
      <c r="D4">
        <f>'Backlog ELV'!D4*1</f>
        <v>0</v>
      </c>
      <c r="E4">
        <f>'Backlog ELV'!E4*1</f>
        <v>0</v>
      </c>
      <c r="G4">
        <f>'Backlog ELV'!G4*1</f>
        <v>0</v>
      </c>
      <c r="H4">
        <f>'Backlog ELV'!H4*1</f>
        <v>0</v>
      </c>
      <c r="I4">
        <f>'Backlog ELV'!I4*1</f>
        <v>0</v>
      </c>
      <c r="J4">
        <f>'Backlog ELV'!J4*1</f>
        <v>0</v>
      </c>
      <c r="L4">
        <f>'Backlog ELV'!L4*1</f>
        <v>0</v>
      </c>
      <c r="M4">
        <f>'Backlog ELV'!M4*1</f>
        <v>0</v>
      </c>
      <c r="N4">
        <f>'Backlog ELV'!N4*1</f>
        <v>0</v>
      </c>
      <c r="O4">
        <f>'Backlog ELV'!O4*1</f>
        <v>0</v>
      </c>
      <c r="Q4">
        <f>'Backlog ELV'!Q4*1</f>
        <v>0</v>
      </c>
      <c r="R4">
        <f>'Backlog ELV'!R4*1</f>
        <v>0</v>
      </c>
      <c r="S4">
        <f>'Backlog ELV'!S4*1</f>
        <v>0</v>
      </c>
      <c r="T4">
        <f>'Backlog ELV'!T4*1</f>
        <v>0</v>
      </c>
      <c r="V4">
        <f>'Backlog ELV'!V4*1</f>
        <v>0</v>
      </c>
      <c r="W4">
        <f>'Backlog ELV'!W4*1</f>
        <v>0</v>
      </c>
      <c r="X4">
        <f>'Backlog ELV'!X4*1</f>
        <v>0</v>
      </c>
      <c r="Y4">
        <f>'Backlog ELV'!Y4*1</f>
        <v>0</v>
      </c>
      <c r="AA4">
        <f>'Backlog ELV'!AA4*1</f>
        <v>0</v>
      </c>
      <c r="AB4">
        <f>'Backlog ELV'!AB4*1</f>
        <v>0</v>
      </c>
      <c r="AC4">
        <f>'Backlog ELV'!AC4*1</f>
        <v>0</v>
      </c>
      <c r="AD4">
        <f>'Backlog ELV'!AD4*1</f>
        <v>0</v>
      </c>
      <c r="AF4">
        <f>'Backlog ELV'!AF4*1</f>
        <v>0</v>
      </c>
      <c r="AG4">
        <f>'Backlog ELV'!AG4*1</f>
        <v>0</v>
      </c>
      <c r="AH4">
        <f>'Backlog ELV'!AH4*1</f>
        <v>0</v>
      </c>
      <c r="AI4">
        <f>'Backlog ELV'!AI4*1</f>
        <v>0</v>
      </c>
      <c r="AK4">
        <f>'Backlog ELV'!AK4*1</f>
        <v>0</v>
      </c>
      <c r="AL4">
        <f>'Backlog ELV'!AL4*1</f>
        <v>0</v>
      </c>
      <c r="AM4">
        <f>'Backlog ELV'!AM4*1</f>
        <v>0</v>
      </c>
      <c r="AN4">
        <f>'Backlog ELV'!AN4*1</f>
        <v>0</v>
      </c>
      <c r="AP4">
        <f>'Backlog ELV'!AP4*1</f>
        <v>0</v>
      </c>
      <c r="AQ4">
        <f>'Backlog ELV'!AQ4*1</f>
        <v>0</v>
      </c>
      <c r="AR4">
        <f>'Backlog ELV'!AR4*1</f>
        <v>0</v>
      </c>
      <c r="AS4">
        <f>'Backlog ELV'!AS4*1</f>
        <v>0</v>
      </c>
      <c r="AU4">
        <f>'Backlog ELV'!AU4*1</f>
        <v>0</v>
      </c>
      <c r="AV4">
        <f>'Backlog ELV'!AV4*1</f>
        <v>0</v>
      </c>
      <c r="AW4">
        <f>'Backlog ELV'!AW4*1</f>
        <v>0</v>
      </c>
      <c r="AX4">
        <f>'Backlog ELV'!AX4*1</f>
        <v>0</v>
      </c>
      <c r="AY4">
        <f t="shared" si="1"/>
        <v>0</v>
      </c>
      <c r="AZ4">
        <f t="shared" si="2"/>
        <v>0</v>
      </c>
      <c r="BA4">
        <f t="shared" si="2"/>
        <v>0</v>
      </c>
      <c r="BB4">
        <f t="shared" si="2"/>
        <v>0</v>
      </c>
    </row>
    <row r="5" spans="1:54" x14ac:dyDescent="0.35">
      <c r="A5">
        <v>3</v>
      </c>
      <c r="B5">
        <f>'Backlog ELV'!B5*1</f>
        <v>0</v>
      </c>
      <c r="C5">
        <f>'Backlog ELV'!C5*1</f>
        <v>0</v>
      </c>
      <c r="D5">
        <f>'Backlog ELV'!D5*1</f>
        <v>0</v>
      </c>
      <c r="E5">
        <f>'Backlog ELV'!E5*1</f>
        <v>0</v>
      </c>
      <c r="G5">
        <f>'Backlog ELV'!G5*1</f>
        <v>0</v>
      </c>
      <c r="H5">
        <f>'Backlog ELV'!H5*1</f>
        <v>0</v>
      </c>
      <c r="I5">
        <f>'Backlog ELV'!I5*1</f>
        <v>0</v>
      </c>
      <c r="J5">
        <f>'Backlog ELV'!J5*1</f>
        <v>0</v>
      </c>
      <c r="L5">
        <f>'Backlog ELV'!L5*1</f>
        <v>0</v>
      </c>
      <c r="M5">
        <f>'Backlog ELV'!M5*1</f>
        <v>0</v>
      </c>
      <c r="N5">
        <f>'Backlog ELV'!N5*1</f>
        <v>0</v>
      </c>
      <c r="O5">
        <f>'Backlog ELV'!O5*1</f>
        <v>0</v>
      </c>
      <c r="Q5">
        <f>'Backlog ELV'!Q5*1</f>
        <v>0</v>
      </c>
      <c r="R5">
        <f>'Backlog ELV'!R5*1</f>
        <v>0</v>
      </c>
      <c r="S5">
        <f>'Backlog ELV'!S5*1</f>
        <v>0</v>
      </c>
      <c r="T5">
        <f>'Backlog ELV'!T5*1</f>
        <v>0</v>
      </c>
      <c r="V5">
        <f>'Backlog ELV'!V5*1</f>
        <v>0</v>
      </c>
      <c r="W5">
        <f>'Backlog ELV'!W5*1</f>
        <v>0</v>
      </c>
      <c r="X5">
        <f>'Backlog ELV'!X5*1</f>
        <v>0</v>
      </c>
      <c r="Y5">
        <f>'Backlog ELV'!Y5*1</f>
        <v>0</v>
      </c>
      <c r="AA5">
        <f>'Backlog ELV'!AA5*1</f>
        <v>0</v>
      </c>
      <c r="AB5">
        <f>'Backlog ELV'!AB5*1</f>
        <v>0</v>
      </c>
      <c r="AC5">
        <f>'Backlog ELV'!AC5*1</f>
        <v>0</v>
      </c>
      <c r="AD5">
        <f>'Backlog ELV'!AD5*1</f>
        <v>0</v>
      </c>
      <c r="AF5">
        <f>'Backlog ELV'!AF5*1</f>
        <v>0</v>
      </c>
      <c r="AG5">
        <f>'Backlog ELV'!AG5*1</f>
        <v>0</v>
      </c>
      <c r="AH5">
        <f>'Backlog ELV'!AH5*1</f>
        <v>0</v>
      </c>
      <c r="AI5">
        <f>'Backlog ELV'!AI5*1</f>
        <v>0</v>
      </c>
      <c r="AK5">
        <f>'Backlog ELV'!AK5*1</f>
        <v>0</v>
      </c>
      <c r="AL5">
        <f>'Backlog ELV'!AL5*1</f>
        <v>0</v>
      </c>
      <c r="AM5">
        <f>'Backlog ELV'!AM5*1</f>
        <v>0</v>
      </c>
      <c r="AN5">
        <f>'Backlog ELV'!AN5*1</f>
        <v>0</v>
      </c>
      <c r="AP5">
        <f>'Backlog ELV'!AP5*1</f>
        <v>0</v>
      </c>
      <c r="AQ5">
        <f>'Backlog ELV'!AQ5*1</f>
        <v>0</v>
      </c>
      <c r="AR5">
        <f>'Backlog ELV'!AR5*1</f>
        <v>0</v>
      </c>
      <c r="AS5">
        <f>'Backlog ELV'!AS5*1</f>
        <v>0</v>
      </c>
      <c r="AU5">
        <f>'Backlog ELV'!AU5*1</f>
        <v>0</v>
      </c>
      <c r="AV5">
        <f>'Backlog ELV'!AV5*1</f>
        <v>0</v>
      </c>
      <c r="AW5">
        <f>'Backlog ELV'!AW5*1</f>
        <v>0</v>
      </c>
      <c r="AX5">
        <f>'Backlog ELV'!AX5*1</f>
        <v>0</v>
      </c>
      <c r="AY5">
        <f t="shared" si="1"/>
        <v>0</v>
      </c>
      <c r="AZ5">
        <f t="shared" si="2"/>
        <v>0</v>
      </c>
      <c r="BA5">
        <f t="shared" si="2"/>
        <v>0</v>
      </c>
      <c r="BB5">
        <f t="shared" si="2"/>
        <v>0</v>
      </c>
    </row>
    <row r="6" spans="1:54" x14ac:dyDescent="0.35">
      <c r="A6">
        <v>4</v>
      </c>
      <c r="B6">
        <f>'Backlog ELV'!B6*1</f>
        <v>0</v>
      </c>
      <c r="C6">
        <f>'Backlog ELV'!C6*1</f>
        <v>0</v>
      </c>
      <c r="D6">
        <f>'Backlog ELV'!D6*1</f>
        <v>0</v>
      </c>
      <c r="E6">
        <f>'Backlog ELV'!E6*1</f>
        <v>0</v>
      </c>
      <c r="G6">
        <f>'Backlog ELV'!G6*1</f>
        <v>0</v>
      </c>
      <c r="H6">
        <f>'Backlog ELV'!H6*1</f>
        <v>0</v>
      </c>
      <c r="I6">
        <f>'Backlog ELV'!I6*1</f>
        <v>0</v>
      </c>
      <c r="J6">
        <f>'Backlog ELV'!J6*1</f>
        <v>0</v>
      </c>
      <c r="L6">
        <f>'Backlog ELV'!L6*1</f>
        <v>0</v>
      </c>
      <c r="M6">
        <f>'Backlog ELV'!M6*1</f>
        <v>0</v>
      </c>
      <c r="N6">
        <f>'Backlog ELV'!N6*1</f>
        <v>0</v>
      </c>
      <c r="O6">
        <f>'Backlog ELV'!O6*1</f>
        <v>0</v>
      </c>
      <c r="Q6">
        <f>'Backlog ELV'!Q6*1</f>
        <v>0</v>
      </c>
      <c r="R6">
        <f>'Backlog ELV'!R6*1</f>
        <v>0</v>
      </c>
      <c r="S6">
        <f>'Backlog ELV'!S6*1</f>
        <v>0</v>
      </c>
      <c r="T6">
        <f>'Backlog ELV'!T6*1</f>
        <v>0</v>
      </c>
      <c r="V6">
        <f>'Backlog ELV'!V6*1</f>
        <v>0</v>
      </c>
      <c r="W6">
        <f>'Backlog ELV'!W6*1</f>
        <v>0</v>
      </c>
      <c r="X6">
        <f>'Backlog ELV'!X6*1</f>
        <v>0</v>
      </c>
      <c r="Y6">
        <f>'Backlog ELV'!Y6*1</f>
        <v>0</v>
      </c>
      <c r="AA6">
        <f>'Backlog ELV'!AA6*1</f>
        <v>0</v>
      </c>
      <c r="AB6">
        <f>'Backlog ELV'!AB6*1</f>
        <v>0</v>
      </c>
      <c r="AC6">
        <f>'Backlog ELV'!AC6*1</f>
        <v>0</v>
      </c>
      <c r="AD6">
        <f>'Backlog ELV'!AD6*1</f>
        <v>0</v>
      </c>
      <c r="AF6">
        <f>'Backlog ELV'!AF6*1</f>
        <v>0</v>
      </c>
      <c r="AG6">
        <f>'Backlog ELV'!AG6*1</f>
        <v>0</v>
      </c>
      <c r="AH6">
        <f>'Backlog ELV'!AH6*1</f>
        <v>0</v>
      </c>
      <c r="AI6">
        <f>'Backlog ELV'!AI6*1</f>
        <v>0</v>
      </c>
      <c r="AK6">
        <f>'Backlog ELV'!AK6*1</f>
        <v>0</v>
      </c>
      <c r="AL6">
        <f>'Backlog ELV'!AL6*1</f>
        <v>0</v>
      </c>
      <c r="AM6">
        <f>'Backlog ELV'!AM6*1</f>
        <v>0</v>
      </c>
      <c r="AN6">
        <f>'Backlog ELV'!AN6*1</f>
        <v>0</v>
      </c>
      <c r="AP6">
        <f>'Backlog ELV'!AP6*1</f>
        <v>0</v>
      </c>
      <c r="AQ6">
        <f>'Backlog ELV'!AQ6*1</f>
        <v>0</v>
      </c>
      <c r="AR6">
        <f>'Backlog ELV'!AR6*1</f>
        <v>0</v>
      </c>
      <c r="AS6">
        <f>'Backlog ELV'!AS6*1</f>
        <v>0</v>
      </c>
      <c r="AU6">
        <f>'Backlog ELV'!AU6*1</f>
        <v>0</v>
      </c>
      <c r="AV6">
        <f>'Backlog ELV'!AV6*1</f>
        <v>0</v>
      </c>
      <c r="AW6">
        <f>'Backlog ELV'!AW6*1</f>
        <v>0</v>
      </c>
      <c r="AX6">
        <f>'Backlog ELV'!AX6*1</f>
        <v>0</v>
      </c>
      <c r="AY6">
        <f t="shared" si="1"/>
        <v>0</v>
      </c>
      <c r="AZ6">
        <f t="shared" si="2"/>
        <v>0</v>
      </c>
      <c r="BA6">
        <f t="shared" si="2"/>
        <v>0</v>
      </c>
      <c r="BB6">
        <f t="shared" si="2"/>
        <v>0</v>
      </c>
    </row>
    <row r="7" spans="1:54" x14ac:dyDescent="0.35">
      <c r="A7">
        <v>5</v>
      </c>
      <c r="B7">
        <f>'Backlog ELV'!B7*1</f>
        <v>0</v>
      </c>
      <c r="C7">
        <f>'Backlog ELV'!C7*1</f>
        <v>0</v>
      </c>
      <c r="D7">
        <f>'Backlog ELV'!D7*1</f>
        <v>0</v>
      </c>
      <c r="E7">
        <f>'Backlog ELV'!E7*1</f>
        <v>0</v>
      </c>
      <c r="G7">
        <f>'Backlog ELV'!G7*1</f>
        <v>0</v>
      </c>
      <c r="H7">
        <f>'Backlog ELV'!H7*1</f>
        <v>0</v>
      </c>
      <c r="I7">
        <f>'Backlog ELV'!I7*1</f>
        <v>0</v>
      </c>
      <c r="J7">
        <f>'Backlog ELV'!J7*1</f>
        <v>0</v>
      </c>
      <c r="L7">
        <f>'Backlog ELV'!L7*1</f>
        <v>0</v>
      </c>
      <c r="M7">
        <f>'Backlog ELV'!M7*1</f>
        <v>0</v>
      </c>
      <c r="N7">
        <f>'Backlog ELV'!N7*1</f>
        <v>0</v>
      </c>
      <c r="O7">
        <f>'Backlog ELV'!O7*1</f>
        <v>0</v>
      </c>
      <c r="Q7">
        <f>'Backlog ELV'!Q7*1</f>
        <v>0</v>
      </c>
      <c r="R7">
        <f>'Backlog ELV'!R7*1</f>
        <v>0</v>
      </c>
      <c r="S7">
        <f>'Backlog ELV'!S7*1</f>
        <v>0</v>
      </c>
      <c r="T7">
        <f>'Backlog ELV'!T7*1</f>
        <v>0</v>
      </c>
      <c r="V7">
        <f>'Backlog ELV'!V7*1</f>
        <v>0</v>
      </c>
      <c r="W7">
        <f>'Backlog ELV'!W7*1</f>
        <v>0</v>
      </c>
      <c r="X7">
        <f>'Backlog ELV'!X7*1</f>
        <v>0</v>
      </c>
      <c r="Y7">
        <f>'Backlog ELV'!Y7*1</f>
        <v>0</v>
      </c>
      <c r="AA7">
        <f>'Backlog ELV'!AA7*1</f>
        <v>0</v>
      </c>
      <c r="AB7">
        <f>'Backlog ELV'!AB7*1</f>
        <v>0</v>
      </c>
      <c r="AC7">
        <f>'Backlog ELV'!AC7*1</f>
        <v>0</v>
      </c>
      <c r="AD7">
        <f>'Backlog ELV'!AD7*1</f>
        <v>0</v>
      </c>
      <c r="AF7">
        <f>'Backlog ELV'!AF7*1</f>
        <v>0</v>
      </c>
      <c r="AG7">
        <f>'Backlog ELV'!AG7*1</f>
        <v>0</v>
      </c>
      <c r="AH7">
        <f>'Backlog ELV'!AH7*1</f>
        <v>0</v>
      </c>
      <c r="AI7">
        <f>'Backlog ELV'!AI7*1</f>
        <v>0</v>
      </c>
      <c r="AK7">
        <f>'Backlog ELV'!AK7*1</f>
        <v>0</v>
      </c>
      <c r="AL7">
        <f>'Backlog ELV'!AL7*1</f>
        <v>0</v>
      </c>
      <c r="AM7">
        <f>'Backlog ELV'!AM7*1</f>
        <v>0</v>
      </c>
      <c r="AN7">
        <f>'Backlog ELV'!AN7*1</f>
        <v>0</v>
      </c>
      <c r="AP7">
        <f>'Backlog ELV'!AP7*1</f>
        <v>0</v>
      </c>
      <c r="AQ7">
        <f>'Backlog ELV'!AQ7*1</f>
        <v>0</v>
      </c>
      <c r="AR7">
        <f>'Backlog ELV'!AR7*1</f>
        <v>0</v>
      </c>
      <c r="AS7">
        <f>'Backlog ELV'!AS7*1</f>
        <v>0</v>
      </c>
      <c r="AU7">
        <f>'Backlog ELV'!AU7*1</f>
        <v>0</v>
      </c>
      <c r="AV7">
        <f>'Backlog ELV'!AV7*1</f>
        <v>0</v>
      </c>
      <c r="AW7">
        <f>'Backlog ELV'!AW7*1</f>
        <v>0</v>
      </c>
      <c r="AX7">
        <f>'Backlog ELV'!AX7*1</f>
        <v>0</v>
      </c>
      <c r="AY7">
        <f t="shared" si="1"/>
        <v>0</v>
      </c>
      <c r="AZ7">
        <f t="shared" si="2"/>
        <v>0</v>
      </c>
      <c r="BA7">
        <f t="shared" si="2"/>
        <v>0</v>
      </c>
      <c r="BB7">
        <f t="shared" si="2"/>
        <v>0</v>
      </c>
    </row>
    <row r="8" spans="1:54" x14ac:dyDescent="0.35">
      <c r="A8">
        <v>6</v>
      </c>
      <c r="B8">
        <f>'Backlog ELV'!B8*1</f>
        <v>0</v>
      </c>
      <c r="C8">
        <f>'Backlog ELV'!C8*1</f>
        <v>0</v>
      </c>
      <c r="D8">
        <f>'Backlog ELV'!D8*1</f>
        <v>0</v>
      </c>
      <c r="E8">
        <f>'Backlog ELV'!E8*1</f>
        <v>0</v>
      </c>
      <c r="G8">
        <f>'Backlog ELV'!G8*1</f>
        <v>0</v>
      </c>
      <c r="H8">
        <f>'Backlog ELV'!H8*1</f>
        <v>0</v>
      </c>
      <c r="I8">
        <f>'Backlog ELV'!I8*1</f>
        <v>0</v>
      </c>
      <c r="J8">
        <f>'Backlog ELV'!J8*1</f>
        <v>0</v>
      </c>
      <c r="L8">
        <f>'Backlog ELV'!L8*1</f>
        <v>0</v>
      </c>
      <c r="M8">
        <f>'Backlog ELV'!M8*1</f>
        <v>0</v>
      </c>
      <c r="N8">
        <f>'Backlog ELV'!N8*1</f>
        <v>0</v>
      </c>
      <c r="O8">
        <f>'Backlog ELV'!O8*1</f>
        <v>0</v>
      </c>
      <c r="Q8">
        <f>'Backlog ELV'!Q8*1</f>
        <v>0</v>
      </c>
      <c r="R8">
        <f>'Backlog ELV'!R8*1</f>
        <v>0</v>
      </c>
      <c r="S8">
        <f>'Backlog ELV'!S8*1</f>
        <v>0</v>
      </c>
      <c r="T8">
        <f>'Backlog ELV'!T8*1</f>
        <v>0</v>
      </c>
      <c r="V8">
        <f>'Backlog ELV'!V8*1</f>
        <v>0</v>
      </c>
      <c r="W8">
        <f>'Backlog ELV'!W8*1</f>
        <v>0</v>
      </c>
      <c r="X8">
        <f>'Backlog ELV'!X8*1</f>
        <v>0</v>
      </c>
      <c r="Y8">
        <f>'Backlog ELV'!Y8*1</f>
        <v>0</v>
      </c>
      <c r="AA8">
        <f>'Backlog ELV'!AA8*1</f>
        <v>0</v>
      </c>
      <c r="AB8">
        <f>'Backlog ELV'!AB8*1</f>
        <v>0</v>
      </c>
      <c r="AC8">
        <f>'Backlog ELV'!AC8*1</f>
        <v>0</v>
      </c>
      <c r="AD8">
        <f>'Backlog ELV'!AD8*1</f>
        <v>0</v>
      </c>
      <c r="AF8">
        <f>'Backlog ELV'!AF8*1</f>
        <v>0</v>
      </c>
      <c r="AG8">
        <f>'Backlog ELV'!AG8*1</f>
        <v>0</v>
      </c>
      <c r="AH8">
        <f>'Backlog ELV'!AH8*1</f>
        <v>0</v>
      </c>
      <c r="AI8">
        <f>'Backlog ELV'!AI8*1</f>
        <v>0</v>
      </c>
      <c r="AK8">
        <f>'Backlog ELV'!AK8*1</f>
        <v>0</v>
      </c>
      <c r="AL8">
        <f>'Backlog ELV'!AL8*1</f>
        <v>0</v>
      </c>
      <c r="AM8">
        <f>'Backlog ELV'!AM8*1</f>
        <v>0</v>
      </c>
      <c r="AN8">
        <f>'Backlog ELV'!AN8*1</f>
        <v>0</v>
      </c>
      <c r="AP8">
        <f>'Backlog ELV'!AP8*1</f>
        <v>0</v>
      </c>
      <c r="AQ8">
        <f>'Backlog ELV'!AQ8*1</f>
        <v>0</v>
      </c>
      <c r="AR8">
        <f>'Backlog ELV'!AR8*1</f>
        <v>0</v>
      </c>
      <c r="AS8">
        <f>'Backlog ELV'!AS8*1</f>
        <v>0</v>
      </c>
      <c r="AU8">
        <f>'Backlog ELV'!AU8*1</f>
        <v>0</v>
      </c>
      <c r="AV8">
        <f>'Backlog ELV'!AV8*1</f>
        <v>0</v>
      </c>
      <c r="AW8">
        <f>'Backlog ELV'!AW8*1</f>
        <v>0</v>
      </c>
      <c r="AX8">
        <f>'Backlog ELV'!AX8*1</f>
        <v>0</v>
      </c>
      <c r="AY8">
        <f t="shared" si="1"/>
        <v>0</v>
      </c>
      <c r="AZ8">
        <f t="shared" si="2"/>
        <v>0</v>
      </c>
      <c r="BA8">
        <f t="shared" si="2"/>
        <v>0</v>
      </c>
      <c r="BB8">
        <f t="shared" si="2"/>
        <v>0</v>
      </c>
    </row>
    <row r="9" spans="1:54" x14ac:dyDescent="0.35">
      <c r="A9">
        <v>7</v>
      </c>
      <c r="B9">
        <f>'Backlog ELV'!B9*1</f>
        <v>0</v>
      </c>
      <c r="C9">
        <f>'Backlog ELV'!C9*1</f>
        <v>0</v>
      </c>
      <c r="D9">
        <f>'Backlog ELV'!D9*1</f>
        <v>0</v>
      </c>
      <c r="E9">
        <f>'Backlog ELV'!E9*1</f>
        <v>0</v>
      </c>
      <c r="G9">
        <f>'Backlog ELV'!G9*1</f>
        <v>0</v>
      </c>
      <c r="H9">
        <f>'Backlog ELV'!H9*1</f>
        <v>0</v>
      </c>
      <c r="I9">
        <f>'Backlog ELV'!I9*1</f>
        <v>0</v>
      </c>
      <c r="J9">
        <f>'Backlog ELV'!J9*1</f>
        <v>0</v>
      </c>
      <c r="L9">
        <f>'Backlog ELV'!L9*1</f>
        <v>0</v>
      </c>
      <c r="M9">
        <f>'Backlog ELV'!M9*1</f>
        <v>0</v>
      </c>
      <c r="N9">
        <f>'Backlog ELV'!N9*1</f>
        <v>0</v>
      </c>
      <c r="O9">
        <f>'Backlog ELV'!O9*1</f>
        <v>0</v>
      </c>
      <c r="Q9">
        <f>'Backlog ELV'!Q9*1</f>
        <v>0</v>
      </c>
      <c r="R9">
        <f>'Backlog ELV'!R9*1</f>
        <v>0</v>
      </c>
      <c r="S9">
        <f>'Backlog ELV'!S9*1</f>
        <v>0</v>
      </c>
      <c r="T9">
        <f>'Backlog ELV'!T9*1</f>
        <v>0</v>
      </c>
      <c r="V9">
        <f>'Backlog ELV'!V9*1</f>
        <v>0</v>
      </c>
      <c r="W9">
        <f>'Backlog ELV'!W9*1</f>
        <v>0</v>
      </c>
      <c r="X9">
        <f>'Backlog ELV'!X9*1</f>
        <v>0</v>
      </c>
      <c r="Y9">
        <f>'Backlog ELV'!Y9*1</f>
        <v>0</v>
      </c>
      <c r="AA9">
        <f>'Backlog ELV'!AA9*1</f>
        <v>0</v>
      </c>
      <c r="AB9">
        <f>'Backlog ELV'!AB9*1</f>
        <v>0</v>
      </c>
      <c r="AC9">
        <f>'Backlog ELV'!AC9*1</f>
        <v>0</v>
      </c>
      <c r="AD9">
        <f>'Backlog ELV'!AD9*1</f>
        <v>0</v>
      </c>
      <c r="AF9">
        <f>'Backlog ELV'!AF9*1</f>
        <v>0</v>
      </c>
      <c r="AG9">
        <f>'Backlog ELV'!AG9*1</f>
        <v>0</v>
      </c>
      <c r="AH9">
        <f>'Backlog ELV'!AH9*1</f>
        <v>0</v>
      </c>
      <c r="AI9">
        <f>'Backlog ELV'!AI9*1</f>
        <v>0</v>
      </c>
      <c r="AK9">
        <f>'Backlog ELV'!AK9*1</f>
        <v>0</v>
      </c>
      <c r="AL9">
        <f>'Backlog ELV'!AL9*1</f>
        <v>0</v>
      </c>
      <c r="AM9">
        <f>'Backlog ELV'!AM9*1</f>
        <v>0</v>
      </c>
      <c r="AN9">
        <f>'Backlog ELV'!AN9*1</f>
        <v>0</v>
      </c>
      <c r="AP9">
        <f>'Backlog ELV'!AP9*1</f>
        <v>0</v>
      </c>
      <c r="AQ9">
        <f>'Backlog ELV'!AQ9*1</f>
        <v>0</v>
      </c>
      <c r="AR9">
        <f>'Backlog ELV'!AR9*1</f>
        <v>0</v>
      </c>
      <c r="AS9">
        <f>'Backlog ELV'!AS9*1</f>
        <v>0</v>
      </c>
      <c r="AU9">
        <f>'Backlog ELV'!AU9*1</f>
        <v>0</v>
      </c>
      <c r="AV9">
        <f>'Backlog ELV'!AV9*1</f>
        <v>0</v>
      </c>
      <c r="AW9">
        <f>'Backlog ELV'!AW9*1</f>
        <v>0</v>
      </c>
      <c r="AX9">
        <f>'Backlog ELV'!AX9*1</f>
        <v>0</v>
      </c>
      <c r="AY9">
        <f t="shared" si="1"/>
        <v>0</v>
      </c>
      <c r="AZ9">
        <f t="shared" si="2"/>
        <v>0</v>
      </c>
      <c r="BA9">
        <f t="shared" si="2"/>
        <v>0</v>
      </c>
      <c r="BB9">
        <f t="shared" si="2"/>
        <v>0</v>
      </c>
    </row>
    <row r="10" spans="1:54" x14ac:dyDescent="0.35">
      <c r="A10">
        <v>8</v>
      </c>
      <c r="B10">
        <f>'Backlog ELV'!B10*1</f>
        <v>0</v>
      </c>
      <c r="C10">
        <f>'Backlog ELV'!C10*1</f>
        <v>0</v>
      </c>
      <c r="D10">
        <f>'Backlog ELV'!D10*1</f>
        <v>0</v>
      </c>
      <c r="E10">
        <f>'Backlog ELV'!E10*1</f>
        <v>0</v>
      </c>
      <c r="G10">
        <f>'Backlog ELV'!G10*1</f>
        <v>0</v>
      </c>
      <c r="H10">
        <f>'Backlog ELV'!H10*1</f>
        <v>0</v>
      </c>
      <c r="I10">
        <f>'Backlog ELV'!I10*1</f>
        <v>0</v>
      </c>
      <c r="J10">
        <f>'Backlog ELV'!J10*1</f>
        <v>0</v>
      </c>
      <c r="L10">
        <f>'Backlog ELV'!L10*1</f>
        <v>0</v>
      </c>
      <c r="M10">
        <f>'Backlog ELV'!M10*1</f>
        <v>0</v>
      </c>
      <c r="N10">
        <f>'Backlog ELV'!N10*1</f>
        <v>0</v>
      </c>
      <c r="O10">
        <f>'Backlog ELV'!O10*1</f>
        <v>0</v>
      </c>
      <c r="Q10">
        <f>'Backlog ELV'!Q10*1</f>
        <v>0</v>
      </c>
      <c r="R10">
        <f>'Backlog ELV'!R10*1</f>
        <v>0</v>
      </c>
      <c r="S10">
        <f>'Backlog ELV'!S10*1</f>
        <v>0</v>
      </c>
      <c r="T10">
        <f>'Backlog ELV'!T10*1</f>
        <v>0</v>
      </c>
      <c r="V10">
        <f>'Backlog ELV'!V10*1</f>
        <v>0</v>
      </c>
      <c r="W10">
        <f>'Backlog ELV'!W10*1</f>
        <v>0</v>
      </c>
      <c r="X10">
        <f>'Backlog ELV'!X10*1</f>
        <v>0</v>
      </c>
      <c r="Y10">
        <f>'Backlog ELV'!Y10*1</f>
        <v>0</v>
      </c>
      <c r="AA10">
        <f>'Backlog ELV'!AA10*1</f>
        <v>0</v>
      </c>
      <c r="AB10">
        <f>'Backlog ELV'!AB10*1</f>
        <v>0</v>
      </c>
      <c r="AC10">
        <f>'Backlog ELV'!AC10*1</f>
        <v>0</v>
      </c>
      <c r="AD10">
        <f>'Backlog ELV'!AD10*1</f>
        <v>0</v>
      </c>
      <c r="AF10">
        <f>'Backlog ELV'!AF10*1</f>
        <v>0</v>
      </c>
      <c r="AG10">
        <f>'Backlog ELV'!AG10*1</f>
        <v>0</v>
      </c>
      <c r="AH10">
        <f>'Backlog ELV'!AH10*1</f>
        <v>0</v>
      </c>
      <c r="AI10">
        <f>'Backlog ELV'!AI10*1</f>
        <v>0</v>
      </c>
      <c r="AK10">
        <f>'Backlog ELV'!AK10*1</f>
        <v>0</v>
      </c>
      <c r="AL10">
        <f>'Backlog ELV'!AL10*1</f>
        <v>0</v>
      </c>
      <c r="AM10">
        <f>'Backlog ELV'!AM10*1</f>
        <v>0</v>
      </c>
      <c r="AN10">
        <f>'Backlog ELV'!AN10*1</f>
        <v>0</v>
      </c>
      <c r="AP10">
        <f>'Backlog ELV'!AP10*1</f>
        <v>0</v>
      </c>
      <c r="AQ10">
        <f>'Backlog ELV'!AQ10*1</f>
        <v>0</v>
      </c>
      <c r="AR10">
        <f>'Backlog ELV'!AR10*1</f>
        <v>0</v>
      </c>
      <c r="AS10">
        <f>'Backlog ELV'!AS10*1</f>
        <v>0</v>
      </c>
      <c r="AU10">
        <f>'Backlog ELV'!AU10*1</f>
        <v>0</v>
      </c>
      <c r="AV10">
        <f>'Backlog ELV'!AV10*1</f>
        <v>0</v>
      </c>
      <c r="AW10">
        <f>'Backlog ELV'!AW10*1</f>
        <v>0</v>
      </c>
      <c r="AX10">
        <f>'Backlog ELV'!AX10*1</f>
        <v>0</v>
      </c>
      <c r="AY10">
        <f t="shared" si="1"/>
        <v>0</v>
      </c>
      <c r="AZ10">
        <f t="shared" si="2"/>
        <v>0</v>
      </c>
      <c r="BA10">
        <f t="shared" si="2"/>
        <v>0</v>
      </c>
      <c r="BB10">
        <f t="shared" si="2"/>
        <v>0</v>
      </c>
    </row>
    <row r="11" spans="1:54" x14ac:dyDescent="0.35">
      <c r="A11">
        <v>9</v>
      </c>
      <c r="B11">
        <f>'Backlog ELV'!B11*1</f>
        <v>0</v>
      </c>
      <c r="C11">
        <f>'Backlog ELV'!C11*1</f>
        <v>0</v>
      </c>
      <c r="D11">
        <f>'Backlog ELV'!D11*1</f>
        <v>0</v>
      </c>
      <c r="E11">
        <f>'Backlog ELV'!E11*1</f>
        <v>0</v>
      </c>
      <c r="G11">
        <f>'Backlog ELV'!G11*1</f>
        <v>0</v>
      </c>
      <c r="H11">
        <f>'Backlog ELV'!H11*1</f>
        <v>0</v>
      </c>
      <c r="I11">
        <f>'Backlog ELV'!I11*1</f>
        <v>0</v>
      </c>
      <c r="J11">
        <f>'Backlog ELV'!J11*1</f>
        <v>0</v>
      </c>
      <c r="L11">
        <f>'Backlog ELV'!L11*1</f>
        <v>0</v>
      </c>
      <c r="M11">
        <f>'Backlog ELV'!M11*1</f>
        <v>0</v>
      </c>
      <c r="N11">
        <f>'Backlog ELV'!N11*1</f>
        <v>0</v>
      </c>
      <c r="O11">
        <f>'Backlog ELV'!O11*1</f>
        <v>0</v>
      </c>
      <c r="Q11">
        <f>'Backlog ELV'!Q11*1</f>
        <v>0</v>
      </c>
      <c r="R11">
        <f>'Backlog ELV'!R11*1</f>
        <v>0</v>
      </c>
      <c r="S11">
        <f>'Backlog ELV'!S11*1</f>
        <v>0</v>
      </c>
      <c r="T11">
        <f>'Backlog ELV'!T11*1</f>
        <v>0</v>
      </c>
      <c r="V11">
        <f>'Backlog ELV'!V11*1</f>
        <v>0</v>
      </c>
      <c r="W11">
        <f>'Backlog ELV'!W11*1</f>
        <v>0</v>
      </c>
      <c r="X11">
        <f>'Backlog ELV'!X11*1</f>
        <v>0</v>
      </c>
      <c r="Y11">
        <f>'Backlog ELV'!Y11*1</f>
        <v>0</v>
      </c>
      <c r="AA11">
        <f>'Backlog ELV'!AA11*1</f>
        <v>3</v>
      </c>
      <c r="AB11">
        <f>'Backlog ELV'!AB11*1</f>
        <v>0</v>
      </c>
      <c r="AC11">
        <f>'Backlog ELV'!AC11*1</f>
        <v>0</v>
      </c>
      <c r="AD11">
        <f>'Backlog ELV'!AD11*1</f>
        <v>0</v>
      </c>
      <c r="AF11">
        <f>'Backlog ELV'!AF11*1</f>
        <v>3</v>
      </c>
      <c r="AG11">
        <f>'Backlog ELV'!AG11*1</f>
        <v>0</v>
      </c>
      <c r="AH11">
        <f>'Backlog ELV'!AH11*1</f>
        <v>0</v>
      </c>
      <c r="AI11">
        <f>'Backlog ELV'!AI11*1</f>
        <v>0</v>
      </c>
      <c r="AK11">
        <f>'Backlog ELV'!AK11*1</f>
        <v>0</v>
      </c>
      <c r="AL11">
        <f>'Backlog ELV'!AL11*1</f>
        <v>0</v>
      </c>
      <c r="AM11">
        <f>'Backlog ELV'!AM11*1</f>
        <v>0</v>
      </c>
      <c r="AN11">
        <f>'Backlog ELV'!AN11*1</f>
        <v>0</v>
      </c>
      <c r="AP11">
        <f>'Backlog ELV'!AP11*1</f>
        <v>0</v>
      </c>
      <c r="AQ11">
        <f>'Backlog ELV'!AQ11*1</f>
        <v>0</v>
      </c>
      <c r="AR11">
        <f>'Backlog ELV'!AR11*1</f>
        <v>0</v>
      </c>
      <c r="AS11">
        <f>'Backlog ELV'!AS11*1</f>
        <v>0</v>
      </c>
      <c r="AU11">
        <f>'Backlog ELV'!AU11*1</f>
        <v>9</v>
      </c>
      <c r="AV11">
        <f>'Backlog ELV'!AV11*1</f>
        <v>0</v>
      </c>
      <c r="AW11">
        <f>'Backlog ELV'!AW11*1</f>
        <v>0</v>
      </c>
      <c r="AX11">
        <f>'Backlog ELV'!AX11*1</f>
        <v>0</v>
      </c>
      <c r="AY11">
        <f t="shared" si="1"/>
        <v>1.5</v>
      </c>
      <c r="AZ11">
        <f t="shared" si="2"/>
        <v>0</v>
      </c>
      <c r="BA11">
        <f t="shared" si="2"/>
        <v>0</v>
      </c>
      <c r="BB11">
        <f t="shared" si="2"/>
        <v>0</v>
      </c>
    </row>
    <row r="12" spans="1:54" x14ac:dyDescent="0.35">
      <c r="A12">
        <v>10</v>
      </c>
      <c r="B12">
        <f>'Backlog ELV'!B12*1</f>
        <v>0</v>
      </c>
      <c r="C12">
        <f>'Backlog ELV'!C12*1</f>
        <v>0</v>
      </c>
      <c r="D12">
        <f>'Backlog ELV'!D12*1</f>
        <v>0</v>
      </c>
      <c r="E12">
        <f>'Backlog ELV'!E12*1</f>
        <v>0</v>
      </c>
      <c r="G12">
        <f>'Backlog ELV'!G12*1</f>
        <v>1</v>
      </c>
      <c r="H12">
        <f>'Backlog ELV'!H12*1</f>
        <v>0</v>
      </c>
      <c r="I12">
        <f>'Backlog ELV'!I12*1</f>
        <v>0</v>
      </c>
      <c r="J12">
        <f>'Backlog ELV'!J12*1</f>
        <v>0</v>
      </c>
      <c r="L12">
        <f>'Backlog ELV'!L12*1</f>
        <v>0</v>
      </c>
      <c r="M12">
        <f>'Backlog ELV'!M12*1</f>
        <v>0</v>
      </c>
      <c r="N12">
        <f>'Backlog ELV'!N12*1</f>
        <v>0</v>
      </c>
      <c r="O12">
        <f>'Backlog ELV'!O12*1</f>
        <v>0</v>
      </c>
      <c r="Q12">
        <f>'Backlog ELV'!Q12*1</f>
        <v>0</v>
      </c>
      <c r="R12">
        <f>'Backlog ELV'!R12*1</f>
        <v>0</v>
      </c>
      <c r="S12">
        <f>'Backlog ELV'!S12*1</f>
        <v>0</v>
      </c>
      <c r="T12">
        <f>'Backlog ELV'!T12*1</f>
        <v>0</v>
      </c>
      <c r="V12">
        <f>'Backlog ELV'!V12*1</f>
        <v>0</v>
      </c>
      <c r="W12">
        <f>'Backlog ELV'!W12*1</f>
        <v>0</v>
      </c>
      <c r="X12">
        <f>'Backlog ELV'!X12*1</f>
        <v>0</v>
      </c>
      <c r="Y12">
        <f>'Backlog ELV'!Y12*1</f>
        <v>0</v>
      </c>
      <c r="AA12">
        <f>'Backlog ELV'!AA12*1</f>
        <v>5</v>
      </c>
      <c r="AB12">
        <f>'Backlog ELV'!AB12*1</f>
        <v>0</v>
      </c>
      <c r="AC12">
        <f>'Backlog ELV'!AC12*1</f>
        <v>0</v>
      </c>
      <c r="AD12">
        <f>'Backlog ELV'!AD12*1</f>
        <v>0</v>
      </c>
      <c r="AF12">
        <f>'Backlog ELV'!AF12*1</f>
        <v>3</v>
      </c>
      <c r="AG12">
        <f>'Backlog ELV'!AG12*1</f>
        <v>0</v>
      </c>
      <c r="AH12">
        <f>'Backlog ELV'!AH12*1</f>
        <v>0</v>
      </c>
      <c r="AI12">
        <f>'Backlog ELV'!AI12*1</f>
        <v>0</v>
      </c>
      <c r="AK12">
        <f>'Backlog ELV'!AK12*1</f>
        <v>0</v>
      </c>
      <c r="AL12">
        <f>'Backlog ELV'!AL12*1</f>
        <v>0</v>
      </c>
      <c r="AM12">
        <f>'Backlog ELV'!AM12*1</f>
        <v>0</v>
      </c>
      <c r="AN12">
        <f>'Backlog ELV'!AN12*1</f>
        <v>0</v>
      </c>
      <c r="AP12">
        <f>'Backlog ELV'!AP12*1</f>
        <v>1</v>
      </c>
      <c r="AQ12">
        <f>'Backlog ELV'!AQ12*1</f>
        <v>0</v>
      </c>
      <c r="AR12">
        <f>'Backlog ELV'!AR12*1</f>
        <v>0</v>
      </c>
      <c r="AS12">
        <f>'Backlog ELV'!AS12*1</f>
        <v>0</v>
      </c>
      <c r="AU12">
        <f>'Backlog ELV'!AU12*1</f>
        <v>3</v>
      </c>
      <c r="AV12">
        <f>'Backlog ELV'!AV12*1</f>
        <v>0</v>
      </c>
      <c r="AW12">
        <f>'Backlog ELV'!AW12*1</f>
        <v>0</v>
      </c>
      <c r="AX12">
        <f>'Backlog ELV'!AX12*1</f>
        <v>0</v>
      </c>
      <c r="AY12">
        <f t="shared" si="1"/>
        <v>1.3</v>
      </c>
      <c r="AZ12">
        <f t="shared" si="2"/>
        <v>0</v>
      </c>
      <c r="BA12">
        <f t="shared" si="2"/>
        <v>0</v>
      </c>
      <c r="BB12">
        <f t="shared" si="2"/>
        <v>0</v>
      </c>
    </row>
    <row r="13" spans="1:54" x14ac:dyDescent="0.35">
      <c r="A13">
        <v>11</v>
      </c>
      <c r="B13">
        <f>'Backlog ELV'!B13*1</f>
        <v>4</v>
      </c>
      <c r="C13">
        <f>'Backlog ELV'!C13*1</f>
        <v>0</v>
      </c>
      <c r="D13">
        <f>'Backlog ELV'!D13*1</f>
        <v>0</v>
      </c>
      <c r="E13">
        <f>'Backlog ELV'!E13*1</f>
        <v>0</v>
      </c>
      <c r="G13">
        <f>'Backlog ELV'!G13*1</f>
        <v>1</v>
      </c>
      <c r="H13">
        <f>'Backlog ELV'!H13*1</f>
        <v>0</v>
      </c>
      <c r="I13">
        <f>'Backlog ELV'!I13*1</f>
        <v>0</v>
      </c>
      <c r="J13">
        <f>'Backlog ELV'!J13*1</f>
        <v>0</v>
      </c>
      <c r="L13">
        <f>'Backlog ELV'!L13*1</f>
        <v>0</v>
      </c>
      <c r="M13">
        <f>'Backlog ELV'!M13*1</f>
        <v>3</v>
      </c>
      <c r="N13">
        <f>'Backlog ELV'!N13*1</f>
        <v>0</v>
      </c>
      <c r="O13">
        <f>'Backlog ELV'!O13*1</f>
        <v>0</v>
      </c>
      <c r="Q13">
        <f>'Backlog ELV'!Q13*1</f>
        <v>11</v>
      </c>
      <c r="R13">
        <f>'Backlog ELV'!R13*1</f>
        <v>0</v>
      </c>
      <c r="S13">
        <f>'Backlog ELV'!S13*1</f>
        <v>0</v>
      </c>
      <c r="T13">
        <f>'Backlog ELV'!T13*1</f>
        <v>0</v>
      </c>
      <c r="V13">
        <f>'Backlog ELV'!V13*1</f>
        <v>0</v>
      </c>
      <c r="W13">
        <f>'Backlog ELV'!W13*1</f>
        <v>0</v>
      </c>
      <c r="X13">
        <f>'Backlog ELV'!X13*1</f>
        <v>0</v>
      </c>
      <c r="Y13">
        <f>'Backlog ELV'!Y13*1</f>
        <v>0</v>
      </c>
      <c r="AA13">
        <f>'Backlog ELV'!AA13*1</f>
        <v>0</v>
      </c>
      <c r="AB13">
        <f>'Backlog ELV'!AB13*1</f>
        <v>5</v>
      </c>
      <c r="AC13">
        <f>'Backlog ELV'!AC13*1</f>
        <v>0</v>
      </c>
      <c r="AD13">
        <f>'Backlog ELV'!AD13*1</f>
        <v>0</v>
      </c>
      <c r="AF13">
        <f>'Backlog ELV'!AF13*1</f>
        <v>0</v>
      </c>
      <c r="AG13">
        <f>'Backlog ELV'!AG13*1</f>
        <v>8</v>
      </c>
      <c r="AH13">
        <f>'Backlog ELV'!AH13*1</f>
        <v>0</v>
      </c>
      <c r="AI13">
        <f>'Backlog ELV'!AI13*1</f>
        <v>0</v>
      </c>
      <c r="AK13">
        <f>'Backlog ELV'!AK13*1</f>
        <v>0</v>
      </c>
      <c r="AL13">
        <f>'Backlog ELV'!AL13*1</f>
        <v>0</v>
      </c>
      <c r="AM13">
        <f>'Backlog ELV'!AM13*1</f>
        <v>0</v>
      </c>
      <c r="AN13">
        <f>'Backlog ELV'!AN13*1</f>
        <v>0</v>
      </c>
      <c r="AP13">
        <f>'Backlog ELV'!AP13*1</f>
        <v>0</v>
      </c>
      <c r="AQ13">
        <f>'Backlog ELV'!AQ13*1</f>
        <v>30</v>
      </c>
      <c r="AR13">
        <f>'Backlog ELV'!AR13*1</f>
        <v>0</v>
      </c>
      <c r="AS13">
        <f>'Backlog ELV'!AS13*1</f>
        <v>0</v>
      </c>
      <c r="AU13">
        <f>'Backlog ELV'!AU13*1</f>
        <v>0</v>
      </c>
      <c r="AV13">
        <f>'Backlog ELV'!AV13*1</f>
        <v>30</v>
      </c>
      <c r="AW13">
        <f>'Backlog ELV'!AW13*1</f>
        <v>0</v>
      </c>
      <c r="AX13">
        <f>'Backlog ELV'!AX13*1</f>
        <v>0</v>
      </c>
      <c r="AY13">
        <f t="shared" si="1"/>
        <v>1.6</v>
      </c>
      <c r="AZ13">
        <f t="shared" si="2"/>
        <v>7.6</v>
      </c>
      <c r="BA13">
        <f t="shared" si="2"/>
        <v>0</v>
      </c>
      <c r="BB13">
        <f t="shared" si="2"/>
        <v>0</v>
      </c>
    </row>
    <row r="14" spans="1:54" x14ac:dyDescent="0.35">
      <c r="A14">
        <v>12</v>
      </c>
      <c r="B14">
        <f>'Backlog ELV'!B14*1</f>
        <v>0</v>
      </c>
      <c r="C14">
        <f>'Backlog ELV'!C14*1</f>
        <v>3</v>
      </c>
      <c r="D14">
        <f>'Backlog ELV'!D14*1</f>
        <v>0</v>
      </c>
      <c r="E14">
        <f>'Backlog ELV'!E14*1</f>
        <v>0</v>
      </c>
      <c r="G14">
        <f>'Backlog ELV'!G14*1</f>
        <v>0</v>
      </c>
      <c r="H14">
        <f>'Backlog ELV'!H14*1</f>
        <v>14</v>
      </c>
      <c r="I14">
        <f>'Backlog ELV'!I14*1</f>
        <v>0</v>
      </c>
      <c r="J14">
        <f>'Backlog ELV'!J14*1</f>
        <v>0</v>
      </c>
      <c r="L14">
        <f>'Backlog ELV'!L14*1</f>
        <v>0</v>
      </c>
      <c r="M14">
        <f>'Backlog ELV'!M14*1</f>
        <v>7</v>
      </c>
      <c r="N14">
        <f>'Backlog ELV'!N14*1</f>
        <v>0</v>
      </c>
      <c r="O14">
        <f>'Backlog ELV'!O14*1</f>
        <v>0</v>
      </c>
      <c r="Q14">
        <f>'Backlog ELV'!Q14*1</f>
        <v>0</v>
      </c>
      <c r="R14">
        <f>'Backlog ELV'!R14*1</f>
        <v>5</v>
      </c>
      <c r="S14">
        <f>'Backlog ELV'!S14*1</f>
        <v>0</v>
      </c>
      <c r="T14">
        <f>'Backlog ELV'!T14*1</f>
        <v>0</v>
      </c>
      <c r="V14">
        <f>'Backlog ELV'!V14*1</f>
        <v>0</v>
      </c>
      <c r="W14">
        <f>'Backlog ELV'!W14*1</f>
        <v>0</v>
      </c>
      <c r="X14">
        <f>'Backlog ELV'!X14*1</f>
        <v>0</v>
      </c>
      <c r="Y14">
        <f>'Backlog ELV'!Y14*1</f>
        <v>0</v>
      </c>
      <c r="AA14">
        <f>'Backlog ELV'!AA14*1</f>
        <v>0</v>
      </c>
      <c r="AB14">
        <f>'Backlog ELV'!AB14*1</f>
        <v>8</v>
      </c>
      <c r="AC14">
        <f>'Backlog ELV'!AC14*1</f>
        <v>0</v>
      </c>
      <c r="AD14">
        <f>'Backlog ELV'!AD14*1</f>
        <v>0</v>
      </c>
      <c r="AF14">
        <f>'Backlog ELV'!AF14*1</f>
        <v>0</v>
      </c>
      <c r="AG14">
        <f>'Backlog ELV'!AG14*1</f>
        <v>12</v>
      </c>
      <c r="AH14">
        <f>'Backlog ELV'!AH14*1</f>
        <v>0</v>
      </c>
      <c r="AI14">
        <f>'Backlog ELV'!AI14*1</f>
        <v>0</v>
      </c>
      <c r="AK14">
        <f>'Backlog ELV'!AK14*1</f>
        <v>0</v>
      </c>
      <c r="AL14">
        <f>'Backlog ELV'!AL14*1</f>
        <v>0</v>
      </c>
      <c r="AM14">
        <f>'Backlog ELV'!AM14*1</f>
        <v>0</v>
      </c>
      <c r="AN14">
        <f>'Backlog ELV'!AN14*1</f>
        <v>0</v>
      </c>
      <c r="AP14">
        <f>'Backlog ELV'!AP14*1</f>
        <v>0</v>
      </c>
      <c r="AQ14">
        <f>'Backlog ELV'!AQ14*1</f>
        <v>32</v>
      </c>
      <c r="AR14">
        <f>'Backlog ELV'!AR14*1</f>
        <v>0</v>
      </c>
      <c r="AS14">
        <f>'Backlog ELV'!AS14*1</f>
        <v>0</v>
      </c>
      <c r="AU14">
        <f>'Backlog ELV'!AU14*1</f>
        <v>0</v>
      </c>
      <c r="AV14">
        <f>'Backlog ELV'!AV14*1</f>
        <v>57</v>
      </c>
      <c r="AW14">
        <f>'Backlog ELV'!AW14*1</f>
        <v>0</v>
      </c>
      <c r="AX14">
        <f>'Backlog ELV'!AX14*1</f>
        <v>0</v>
      </c>
      <c r="AY14">
        <f t="shared" si="1"/>
        <v>0</v>
      </c>
      <c r="AZ14">
        <f t="shared" si="2"/>
        <v>13.8</v>
      </c>
      <c r="BA14">
        <f t="shared" si="2"/>
        <v>0</v>
      </c>
      <c r="BB14">
        <f t="shared" si="2"/>
        <v>0</v>
      </c>
    </row>
    <row r="15" spans="1:54" x14ac:dyDescent="0.35">
      <c r="A15">
        <v>13</v>
      </c>
      <c r="B15">
        <f>'Backlog ELV'!B15*1</f>
        <v>0</v>
      </c>
      <c r="C15">
        <f>'Backlog ELV'!C15*1</f>
        <v>10</v>
      </c>
      <c r="D15">
        <f>'Backlog ELV'!D15*1</f>
        <v>0</v>
      </c>
      <c r="E15">
        <f>'Backlog ELV'!E15*1</f>
        <v>0</v>
      </c>
      <c r="G15">
        <f>'Backlog ELV'!G15*1</f>
        <v>0</v>
      </c>
      <c r="H15">
        <f>'Backlog ELV'!H15*1</f>
        <v>0</v>
      </c>
      <c r="I15">
        <f>'Backlog ELV'!I15*1</f>
        <v>0</v>
      </c>
      <c r="J15">
        <f>'Backlog ELV'!J15*1</f>
        <v>0</v>
      </c>
      <c r="L15">
        <f>'Backlog ELV'!L15*1</f>
        <v>0</v>
      </c>
      <c r="M15">
        <f>'Backlog ELV'!M15*1</f>
        <v>0</v>
      </c>
      <c r="N15">
        <f>'Backlog ELV'!N15*1</f>
        <v>0</v>
      </c>
      <c r="O15">
        <f>'Backlog ELV'!O15*1</f>
        <v>0</v>
      </c>
      <c r="Q15">
        <f>'Backlog ELV'!Q15*1</f>
        <v>0</v>
      </c>
      <c r="R15">
        <f>'Backlog ELV'!R15*1</f>
        <v>6</v>
      </c>
      <c r="S15">
        <f>'Backlog ELV'!S15*1</f>
        <v>0</v>
      </c>
      <c r="T15">
        <f>'Backlog ELV'!T15*1</f>
        <v>0</v>
      </c>
      <c r="V15">
        <f>'Backlog ELV'!V15*1</f>
        <v>0</v>
      </c>
      <c r="W15">
        <f>'Backlog ELV'!W15*1</f>
        <v>0</v>
      </c>
      <c r="X15">
        <f>'Backlog ELV'!X15*1</f>
        <v>0</v>
      </c>
      <c r="Y15">
        <f>'Backlog ELV'!Y15*1</f>
        <v>0</v>
      </c>
      <c r="AA15">
        <f>'Backlog ELV'!AA15*1</f>
        <v>0</v>
      </c>
      <c r="AB15">
        <f>'Backlog ELV'!AB15*1</f>
        <v>0</v>
      </c>
      <c r="AC15">
        <f>'Backlog ELV'!AC15*1</f>
        <v>0</v>
      </c>
      <c r="AD15">
        <f>'Backlog ELV'!AD15*1</f>
        <v>0</v>
      </c>
      <c r="AF15">
        <f>'Backlog ELV'!AF15*1</f>
        <v>0</v>
      </c>
      <c r="AG15">
        <f>'Backlog ELV'!AG15*1</f>
        <v>0</v>
      </c>
      <c r="AH15">
        <f>'Backlog ELV'!AH15*1</f>
        <v>0</v>
      </c>
      <c r="AI15">
        <f>'Backlog ELV'!AI15*1</f>
        <v>0</v>
      </c>
      <c r="AK15">
        <f>'Backlog ELV'!AK15*1</f>
        <v>0</v>
      </c>
      <c r="AL15">
        <f>'Backlog ELV'!AL15*1</f>
        <v>0</v>
      </c>
      <c r="AM15">
        <f>'Backlog ELV'!AM15*1</f>
        <v>0</v>
      </c>
      <c r="AN15">
        <f>'Backlog ELV'!AN15*1</f>
        <v>0</v>
      </c>
      <c r="AP15">
        <f>'Backlog ELV'!AP15*1</f>
        <v>0</v>
      </c>
      <c r="AQ15">
        <f>'Backlog ELV'!AQ15*1</f>
        <v>0</v>
      </c>
      <c r="AR15">
        <f>'Backlog ELV'!AR15*1</f>
        <v>0</v>
      </c>
      <c r="AS15">
        <f>'Backlog ELV'!AS15*1</f>
        <v>0</v>
      </c>
      <c r="AU15">
        <f>'Backlog ELV'!AU15*1</f>
        <v>0</v>
      </c>
      <c r="AV15">
        <f>'Backlog ELV'!AV15*1</f>
        <v>57</v>
      </c>
      <c r="AW15">
        <f>'Backlog ELV'!AW15*1</f>
        <v>0</v>
      </c>
      <c r="AX15">
        <f>'Backlog ELV'!AX15*1</f>
        <v>0</v>
      </c>
      <c r="AY15">
        <f t="shared" si="1"/>
        <v>0</v>
      </c>
      <c r="AZ15">
        <f t="shared" si="2"/>
        <v>7.3</v>
      </c>
      <c r="BA15">
        <f t="shared" si="2"/>
        <v>0</v>
      </c>
      <c r="BB15">
        <f t="shared" si="2"/>
        <v>0</v>
      </c>
    </row>
    <row r="16" spans="1:54" x14ac:dyDescent="0.35">
      <c r="A16">
        <v>14</v>
      </c>
      <c r="B16">
        <f>'Backlog ELV'!B16*1</f>
        <v>0</v>
      </c>
      <c r="C16">
        <f>'Backlog ELV'!C16*1</f>
        <v>0</v>
      </c>
      <c r="D16">
        <f>'Backlog ELV'!D16*1</f>
        <v>0</v>
      </c>
      <c r="E16">
        <f>'Backlog ELV'!E16*1</f>
        <v>0</v>
      </c>
      <c r="G16">
        <f>'Backlog ELV'!G16*1</f>
        <v>0</v>
      </c>
      <c r="H16">
        <f>'Backlog ELV'!H16*1</f>
        <v>0</v>
      </c>
      <c r="I16">
        <f>'Backlog ELV'!I16*1</f>
        <v>0</v>
      </c>
      <c r="J16">
        <f>'Backlog ELV'!J16*1</f>
        <v>0</v>
      </c>
      <c r="L16">
        <f>'Backlog ELV'!L16*1</f>
        <v>0</v>
      </c>
      <c r="M16">
        <f>'Backlog ELV'!M16*1</f>
        <v>0</v>
      </c>
      <c r="N16">
        <f>'Backlog ELV'!N16*1</f>
        <v>0</v>
      </c>
      <c r="O16">
        <f>'Backlog ELV'!O16*1</f>
        <v>0</v>
      </c>
      <c r="Q16">
        <f>'Backlog ELV'!Q16*1</f>
        <v>0</v>
      </c>
      <c r="R16">
        <f>'Backlog ELV'!R16*1</f>
        <v>0</v>
      </c>
      <c r="S16">
        <f>'Backlog ELV'!S16*1</f>
        <v>0</v>
      </c>
      <c r="T16">
        <f>'Backlog ELV'!T16*1</f>
        <v>0</v>
      </c>
      <c r="V16">
        <f>'Backlog ELV'!V16*1</f>
        <v>0</v>
      </c>
      <c r="W16">
        <f>'Backlog ELV'!W16*1</f>
        <v>0</v>
      </c>
      <c r="X16">
        <f>'Backlog ELV'!X16*1</f>
        <v>0</v>
      </c>
      <c r="Y16">
        <f>'Backlog ELV'!Y16*1</f>
        <v>0</v>
      </c>
      <c r="AA16">
        <f>'Backlog ELV'!AA16*1</f>
        <v>0</v>
      </c>
      <c r="AB16">
        <f>'Backlog ELV'!AB16*1</f>
        <v>0</v>
      </c>
      <c r="AC16">
        <f>'Backlog ELV'!AC16*1</f>
        <v>0</v>
      </c>
      <c r="AD16">
        <f>'Backlog ELV'!AD16*1</f>
        <v>0</v>
      </c>
      <c r="AF16">
        <f>'Backlog ELV'!AF16*1</f>
        <v>0</v>
      </c>
      <c r="AG16">
        <f>'Backlog ELV'!AG16*1</f>
        <v>0</v>
      </c>
      <c r="AH16">
        <f>'Backlog ELV'!AH16*1</f>
        <v>0</v>
      </c>
      <c r="AI16">
        <f>'Backlog ELV'!AI16*1</f>
        <v>0</v>
      </c>
      <c r="AK16">
        <f>'Backlog ELV'!AK16*1</f>
        <v>0</v>
      </c>
      <c r="AL16">
        <f>'Backlog ELV'!AL16*1</f>
        <v>0</v>
      </c>
      <c r="AM16">
        <f>'Backlog ELV'!AM16*1</f>
        <v>0</v>
      </c>
      <c r="AN16">
        <f>'Backlog ELV'!AN16*1</f>
        <v>0</v>
      </c>
      <c r="AP16">
        <f>'Backlog ELV'!AP16*1</f>
        <v>0</v>
      </c>
      <c r="AQ16">
        <f>'Backlog ELV'!AQ16*1</f>
        <v>0</v>
      </c>
      <c r="AR16">
        <f>'Backlog ELV'!AR16*1</f>
        <v>0</v>
      </c>
      <c r="AS16">
        <f>'Backlog ELV'!AS16*1</f>
        <v>0</v>
      </c>
      <c r="AU16">
        <f>'Backlog ELV'!AU16*1</f>
        <v>0</v>
      </c>
      <c r="AV16">
        <f>'Backlog ELV'!AV16*1</f>
        <v>9</v>
      </c>
      <c r="AW16">
        <f>'Backlog ELV'!AW16*1</f>
        <v>0</v>
      </c>
      <c r="AX16">
        <f>'Backlog ELV'!AX16*1</f>
        <v>0</v>
      </c>
      <c r="AY16">
        <f t="shared" si="1"/>
        <v>0</v>
      </c>
      <c r="AZ16">
        <f t="shared" si="2"/>
        <v>0.9</v>
      </c>
      <c r="BA16">
        <f t="shared" si="2"/>
        <v>0</v>
      </c>
      <c r="BB16">
        <f t="shared" si="2"/>
        <v>0</v>
      </c>
    </row>
    <row r="17" spans="1:54" x14ac:dyDescent="0.35">
      <c r="A17">
        <v>15</v>
      </c>
      <c r="B17">
        <f>'Backlog ELV'!B17*1</f>
        <v>0</v>
      </c>
      <c r="C17">
        <f>'Backlog ELV'!C17*1</f>
        <v>0</v>
      </c>
      <c r="D17">
        <f>'Backlog ELV'!D17*1</f>
        <v>0</v>
      </c>
      <c r="E17">
        <f>'Backlog ELV'!E17*1</f>
        <v>0</v>
      </c>
      <c r="G17">
        <f>'Backlog ELV'!G17*1</f>
        <v>0</v>
      </c>
      <c r="H17">
        <f>'Backlog ELV'!H17*1</f>
        <v>0</v>
      </c>
      <c r="I17">
        <f>'Backlog ELV'!I17*1</f>
        <v>0</v>
      </c>
      <c r="J17">
        <f>'Backlog ELV'!J17*1</f>
        <v>0</v>
      </c>
      <c r="L17">
        <f>'Backlog ELV'!L17*1</f>
        <v>0</v>
      </c>
      <c r="M17">
        <f>'Backlog ELV'!M17*1</f>
        <v>0</v>
      </c>
      <c r="N17">
        <f>'Backlog ELV'!N17*1</f>
        <v>0</v>
      </c>
      <c r="O17">
        <f>'Backlog ELV'!O17*1</f>
        <v>0</v>
      </c>
      <c r="Q17">
        <f>'Backlog ELV'!Q17*1</f>
        <v>0</v>
      </c>
      <c r="R17">
        <f>'Backlog ELV'!R17*1</f>
        <v>0</v>
      </c>
      <c r="S17">
        <f>'Backlog ELV'!S17*1</f>
        <v>0</v>
      </c>
      <c r="T17">
        <f>'Backlog ELV'!T17*1</f>
        <v>0</v>
      </c>
      <c r="V17">
        <f>'Backlog ELV'!V17*1</f>
        <v>0</v>
      </c>
      <c r="W17">
        <f>'Backlog ELV'!W17*1</f>
        <v>0</v>
      </c>
      <c r="X17">
        <f>'Backlog ELV'!X17*1</f>
        <v>0</v>
      </c>
      <c r="Y17">
        <f>'Backlog ELV'!Y17*1</f>
        <v>0</v>
      </c>
      <c r="AA17">
        <f>'Backlog ELV'!AA17*1</f>
        <v>0</v>
      </c>
      <c r="AB17">
        <f>'Backlog ELV'!AB17*1</f>
        <v>0</v>
      </c>
      <c r="AC17">
        <f>'Backlog ELV'!AC17*1</f>
        <v>0</v>
      </c>
      <c r="AD17">
        <f>'Backlog ELV'!AD17*1</f>
        <v>0</v>
      </c>
      <c r="AF17">
        <f>'Backlog ELV'!AF17*1</f>
        <v>0</v>
      </c>
      <c r="AG17">
        <f>'Backlog ELV'!AG17*1</f>
        <v>0</v>
      </c>
      <c r="AH17">
        <f>'Backlog ELV'!AH17*1</f>
        <v>0</v>
      </c>
      <c r="AI17">
        <f>'Backlog ELV'!AI17*1</f>
        <v>0</v>
      </c>
      <c r="AK17">
        <f>'Backlog ELV'!AK17*1</f>
        <v>0</v>
      </c>
      <c r="AL17">
        <f>'Backlog ELV'!AL17*1</f>
        <v>0</v>
      </c>
      <c r="AM17">
        <f>'Backlog ELV'!AM17*1</f>
        <v>0</v>
      </c>
      <c r="AN17">
        <f>'Backlog ELV'!AN17*1</f>
        <v>0</v>
      </c>
      <c r="AP17">
        <f>'Backlog ELV'!AP17*1</f>
        <v>0</v>
      </c>
      <c r="AQ17">
        <f>'Backlog ELV'!AQ17*1</f>
        <v>0</v>
      </c>
      <c r="AR17">
        <f>'Backlog ELV'!AR17*1</f>
        <v>0</v>
      </c>
      <c r="AS17">
        <f>'Backlog ELV'!AS17*1</f>
        <v>0</v>
      </c>
      <c r="AU17">
        <f>'Backlog ELV'!AU17*1</f>
        <v>5</v>
      </c>
      <c r="AV17">
        <f>'Backlog ELV'!AV17*1</f>
        <v>0</v>
      </c>
      <c r="AW17">
        <f>'Backlog ELV'!AW17*1</f>
        <v>0</v>
      </c>
      <c r="AX17">
        <f>'Backlog ELV'!AX17*1</f>
        <v>0</v>
      </c>
      <c r="AY17">
        <f t="shared" si="1"/>
        <v>0.5</v>
      </c>
      <c r="AZ17">
        <f t="shared" si="2"/>
        <v>0</v>
      </c>
      <c r="BA17">
        <f t="shared" si="2"/>
        <v>0</v>
      </c>
      <c r="BB17">
        <f t="shared" si="2"/>
        <v>0</v>
      </c>
    </row>
    <row r="18" spans="1:54" x14ac:dyDescent="0.35">
      <c r="A18">
        <v>16</v>
      </c>
      <c r="B18">
        <f>'Backlog ELV'!B18*1</f>
        <v>0</v>
      </c>
      <c r="C18">
        <f>'Backlog ELV'!C18*1</f>
        <v>0</v>
      </c>
      <c r="D18">
        <f>'Backlog ELV'!D18*1</f>
        <v>0</v>
      </c>
      <c r="E18">
        <f>'Backlog ELV'!E18*1</f>
        <v>0</v>
      </c>
      <c r="G18">
        <f>'Backlog ELV'!G18*1</f>
        <v>1</v>
      </c>
      <c r="H18">
        <f>'Backlog ELV'!H18*1</f>
        <v>0</v>
      </c>
      <c r="I18">
        <f>'Backlog ELV'!I18*1</f>
        <v>0</v>
      </c>
      <c r="J18">
        <f>'Backlog ELV'!J18*1</f>
        <v>0</v>
      </c>
      <c r="L18">
        <f>'Backlog ELV'!L18*1</f>
        <v>1</v>
      </c>
      <c r="M18">
        <f>'Backlog ELV'!M18*1</f>
        <v>0</v>
      </c>
      <c r="N18">
        <f>'Backlog ELV'!N18*1</f>
        <v>0</v>
      </c>
      <c r="O18">
        <f>'Backlog ELV'!O18*1</f>
        <v>0</v>
      </c>
      <c r="Q18">
        <f>'Backlog ELV'!Q18*1</f>
        <v>0</v>
      </c>
      <c r="R18">
        <f>'Backlog ELV'!R18*1</f>
        <v>0</v>
      </c>
      <c r="S18">
        <f>'Backlog ELV'!S18*1</f>
        <v>0</v>
      </c>
      <c r="T18">
        <f>'Backlog ELV'!T18*1</f>
        <v>0</v>
      </c>
      <c r="V18">
        <f>'Backlog ELV'!V18*1</f>
        <v>0</v>
      </c>
      <c r="W18">
        <f>'Backlog ELV'!W18*1</f>
        <v>0</v>
      </c>
      <c r="X18">
        <f>'Backlog ELV'!X18*1</f>
        <v>0</v>
      </c>
      <c r="Y18">
        <f>'Backlog ELV'!Y18*1</f>
        <v>0</v>
      </c>
      <c r="AA18">
        <f>'Backlog ELV'!AA18*1</f>
        <v>1</v>
      </c>
      <c r="AB18">
        <f>'Backlog ELV'!AB18*1</f>
        <v>0</v>
      </c>
      <c r="AC18">
        <f>'Backlog ELV'!AC18*1</f>
        <v>0</v>
      </c>
      <c r="AD18">
        <f>'Backlog ELV'!AD18*1</f>
        <v>0</v>
      </c>
      <c r="AF18">
        <f>'Backlog ELV'!AF18*1</f>
        <v>6</v>
      </c>
      <c r="AG18">
        <f>'Backlog ELV'!AG18*1</f>
        <v>0</v>
      </c>
      <c r="AH18">
        <f>'Backlog ELV'!AH18*1</f>
        <v>0</v>
      </c>
      <c r="AI18">
        <f>'Backlog ELV'!AI18*1</f>
        <v>0</v>
      </c>
      <c r="AK18">
        <f>'Backlog ELV'!AK18*1</f>
        <v>0</v>
      </c>
      <c r="AL18">
        <f>'Backlog ELV'!AL18*1</f>
        <v>0</v>
      </c>
      <c r="AM18">
        <f>'Backlog ELV'!AM18*1</f>
        <v>0</v>
      </c>
      <c r="AN18">
        <f>'Backlog ELV'!AN18*1</f>
        <v>0</v>
      </c>
      <c r="AP18">
        <f>'Backlog ELV'!AP18*1</f>
        <v>3</v>
      </c>
      <c r="AQ18">
        <f>'Backlog ELV'!AQ18*1</f>
        <v>0</v>
      </c>
      <c r="AR18">
        <f>'Backlog ELV'!AR18*1</f>
        <v>0</v>
      </c>
      <c r="AS18">
        <f>'Backlog ELV'!AS18*1</f>
        <v>0</v>
      </c>
      <c r="AU18">
        <f>'Backlog ELV'!AU18*1</f>
        <v>0</v>
      </c>
      <c r="AV18">
        <f>'Backlog ELV'!AV18*1</f>
        <v>0</v>
      </c>
      <c r="AW18">
        <f>'Backlog ELV'!AW18*1</f>
        <v>0</v>
      </c>
      <c r="AX18">
        <f>'Backlog ELV'!AX18*1</f>
        <v>0</v>
      </c>
      <c r="AY18">
        <f t="shared" si="1"/>
        <v>1.2</v>
      </c>
      <c r="AZ18">
        <f t="shared" si="1"/>
        <v>0</v>
      </c>
      <c r="BA18">
        <f t="shared" si="1"/>
        <v>0</v>
      </c>
      <c r="BB18">
        <f t="shared" si="1"/>
        <v>0</v>
      </c>
    </row>
    <row r="19" spans="1:54" x14ac:dyDescent="0.35">
      <c r="A19">
        <v>17</v>
      </c>
      <c r="B19">
        <f>'Backlog ELV'!B19*1</f>
        <v>0</v>
      </c>
      <c r="C19">
        <f>'Backlog ELV'!C19*1</f>
        <v>0</v>
      </c>
      <c r="D19">
        <f>'Backlog ELV'!D19*1</f>
        <v>0</v>
      </c>
      <c r="E19">
        <f>'Backlog ELV'!E19*1</f>
        <v>0</v>
      </c>
      <c r="G19">
        <f>'Backlog ELV'!G19*1</f>
        <v>3</v>
      </c>
      <c r="H19">
        <f>'Backlog ELV'!H19*1</f>
        <v>0</v>
      </c>
      <c r="I19">
        <f>'Backlog ELV'!I19*1</f>
        <v>0</v>
      </c>
      <c r="J19">
        <f>'Backlog ELV'!J19*1</f>
        <v>0</v>
      </c>
      <c r="L19">
        <f>'Backlog ELV'!L19*1</f>
        <v>0</v>
      </c>
      <c r="M19">
        <f>'Backlog ELV'!M19*1</f>
        <v>0</v>
      </c>
      <c r="N19">
        <f>'Backlog ELV'!N19*1</f>
        <v>0</v>
      </c>
      <c r="O19">
        <f>'Backlog ELV'!O19*1</f>
        <v>0</v>
      </c>
      <c r="Q19">
        <f>'Backlog ELV'!Q19*1</f>
        <v>0</v>
      </c>
      <c r="R19">
        <f>'Backlog ELV'!R19*1</f>
        <v>7</v>
      </c>
      <c r="S19">
        <f>'Backlog ELV'!S19*1</f>
        <v>0</v>
      </c>
      <c r="T19">
        <f>'Backlog ELV'!T19*1</f>
        <v>0</v>
      </c>
      <c r="V19">
        <f>'Backlog ELV'!V19*1</f>
        <v>0</v>
      </c>
      <c r="W19">
        <f>'Backlog ELV'!W19*1</f>
        <v>0</v>
      </c>
      <c r="X19">
        <f>'Backlog ELV'!X19*1</f>
        <v>0</v>
      </c>
      <c r="Y19">
        <f>'Backlog ELV'!Y19*1</f>
        <v>0</v>
      </c>
      <c r="AA19">
        <f>'Backlog ELV'!AA19*1</f>
        <v>0</v>
      </c>
      <c r="AB19">
        <f>'Backlog ELV'!AB19*1</f>
        <v>8</v>
      </c>
      <c r="AC19">
        <f>'Backlog ELV'!AC19*1</f>
        <v>0</v>
      </c>
      <c r="AD19">
        <f>'Backlog ELV'!AD19*1</f>
        <v>0</v>
      </c>
      <c r="AF19">
        <f>'Backlog ELV'!AF19*1</f>
        <v>0</v>
      </c>
      <c r="AG19">
        <f>'Backlog ELV'!AG19*1</f>
        <v>6</v>
      </c>
      <c r="AH19">
        <f>'Backlog ELV'!AH19*1</f>
        <v>0</v>
      </c>
      <c r="AI19">
        <f>'Backlog ELV'!AI19*1</f>
        <v>0</v>
      </c>
      <c r="AK19">
        <f>'Backlog ELV'!AK19*1</f>
        <v>0</v>
      </c>
      <c r="AL19">
        <f>'Backlog ELV'!AL19*1</f>
        <v>0</v>
      </c>
      <c r="AM19">
        <f>'Backlog ELV'!AM19*1</f>
        <v>0</v>
      </c>
      <c r="AN19">
        <f>'Backlog ELV'!AN19*1</f>
        <v>0</v>
      </c>
      <c r="AP19">
        <f>'Backlog ELV'!AP19*1</f>
        <v>0</v>
      </c>
      <c r="AQ19">
        <f>'Backlog ELV'!AQ19*1</f>
        <v>22</v>
      </c>
      <c r="AR19">
        <f>'Backlog ELV'!AR19*1</f>
        <v>0</v>
      </c>
      <c r="AS19">
        <f>'Backlog ELV'!AS19*1</f>
        <v>0</v>
      </c>
      <c r="AU19">
        <f>'Backlog ELV'!AU19*1</f>
        <v>0</v>
      </c>
      <c r="AV19">
        <f>'Backlog ELV'!AV19*1</f>
        <v>0</v>
      </c>
      <c r="AW19">
        <f>'Backlog ELV'!AW19*1</f>
        <v>0</v>
      </c>
      <c r="AX19">
        <f>'Backlog ELV'!AX19*1</f>
        <v>0</v>
      </c>
      <c r="AY19">
        <f t="shared" si="1"/>
        <v>0.3</v>
      </c>
      <c r="AZ19">
        <f t="shared" si="1"/>
        <v>4.3</v>
      </c>
      <c r="BA19">
        <f t="shared" si="1"/>
        <v>0</v>
      </c>
      <c r="BB19">
        <f t="shared" si="1"/>
        <v>0</v>
      </c>
    </row>
    <row r="20" spans="1:54" x14ac:dyDescent="0.35">
      <c r="A20">
        <v>18</v>
      </c>
      <c r="B20">
        <f>'Backlog ELV'!B20*1</f>
        <v>0</v>
      </c>
      <c r="C20">
        <f>'Backlog ELV'!C20*1</f>
        <v>7</v>
      </c>
      <c r="D20">
        <f>'Backlog ELV'!D20*1</f>
        <v>0</v>
      </c>
      <c r="E20">
        <f>'Backlog ELV'!E20*1</f>
        <v>0</v>
      </c>
      <c r="G20">
        <f>'Backlog ELV'!G20*1</f>
        <v>0</v>
      </c>
      <c r="H20">
        <f>'Backlog ELV'!H20*1</f>
        <v>22</v>
      </c>
      <c r="I20">
        <f>'Backlog ELV'!I20*1</f>
        <v>0</v>
      </c>
      <c r="J20">
        <f>'Backlog ELV'!J20*1</f>
        <v>0</v>
      </c>
      <c r="L20">
        <f>'Backlog ELV'!L20*1</f>
        <v>0</v>
      </c>
      <c r="M20">
        <f>'Backlog ELV'!M20*1</f>
        <v>24</v>
      </c>
      <c r="N20">
        <f>'Backlog ELV'!N20*1</f>
        <v>0</v>
      </c>
      <c r="O20">
        <f>'Backlog ELV'!O20*1</f>
        <v>0</v>
      </c>
      <c r="Q20">
        <f>'Backlog ELV'!Q20*1</f>
        <v>0</v>
      </c>
      <c r="R20">
        <f>'Backlog ELV'!R20*1</f>
        <v>0</v>
      </c>
      <c r="S20">
        <f>'Backlog ELV'!S20*1</f>
        <v>0</v>
      </c>
      <c r="T20">
        <f>'Backlog ELV'!T20*1</f>
        <v>0</v>
      </c>
      <c r="V20">
        <f>'Backlog ELV'!V20*1</f>
        <v>0</v>
      </c>
      <c r="W20">
        <f>'Backlog ELV'!W20*1</f>
        <v>0</v>
      </c>
      <c r="X20">
        <f>'Backlog ELV'!X20*1</f>
        <v>0</v>
      </c>
      <c r="Y20">
        <f>'Backlog ELV'!Y20*1</f>
        <v>0</v>
      </c>
      <c r="AA20">
        <f>'Backlog ELV'!AA20*1</f>
        <v>0</v>
      </c>
      <c r="AB20">
        <f>'Backlog ELV'!AB20*1</f>
        <v>4</v>
      </c>
      <c r="AC20">
        <f>'Backlog ELV'!AC20*1</f>
        <v>0</v>
      </c>
      <c r="AD20">
        <f>'Backlog ELV'!AD20*1</f>
        <v>0</v>
      </c>
      <c r="AF20">
        <f>'Backlog ELV'!AF20*1</f>
        <v>0</v>
      </c>
      <c r="AG20">
        <f>'Backlog ELV'!AG20*1</f>
        <v>15</v>
      </c>
      <c r="AH20">
        <f>'Backlog ELV'!AH20*1</f>
        <v>0</v>
      </c>
      <c r="AI20">
        <f>'Backlog ELV'!AI20*1</f>
        <v>0</v>
      </c>
      <c r="AK20">
        <f>'Backlog ELV'!AK20*1</f>
        <v>0</v>
      </c>
      <c r="AL20">
        <f>'Backlog ELV'!AL20*1</f>
        <v>0</v>
      </c>
      <c r="AM20">
        <f>'Backlog ELV'!AM20*1</f>
        <v>0</v>
      </c>
      <c r="AN20">
        <f>'Backlog ELV'!AN20*1</f>
        <v>0</v>
      </c>
      <c r="AP20">
        <f>'Backlog ELV'!AP20*1</f>
        <v>0</v>
      </c>
      <c r="AQ20">
        <f>'Backlog ELV'!AQ20*1</f>
        <v>26</v>
      </c>
      <c r="AR20">
        <f>'Backlog ELV'!AR20*1</f>
        <v>0</v>
      </c>
      <c r="AS20">
        <f>'Backlog ELV'!AS20*1</f>
        <v>0</v>
      </c>
      <c r="AU20">
        <f>'Backlog ELV'!AU20*1</f>
        <v>0</v>
      </c>
      <c r="AV20">
        <f>'Backlog ELV'!AV20*1</f>
        <v>0</v>
      </c>
      <c r="AW20">
        <f>'Backlog ELV'!AW20*1</f>
        <v>0</v>
      </c>
      <c r="AX20">
        <f>'Backlog ELV'!AX20*1</f>
        <v>0</v>
      </c>
      <c r="AY20">
        <f t="shared" si="1"/>
        <v>0</v>
      </c>
      <c r="AZ20">
        <f t="shared" si="1"/>
        <v>9.8000000000000007</v>
      </c>
      <c r="BA20">
        <f t="shared" si="1"/>
        <v>0</v>
      </c>
      <c r="BB20">
        <f t="shared" si="1"/>
        <v>0</v>
      </c>
    </row>
    <row r="21" spans="1:54" x14ac:dyDescent="0.35">
      <c r="A21">
        <v>19</v>
      </c>
      <c r="B21">
        <f>'Backlog ELV'!B21*1</f>
        <v>0</v>
      </c>
      <c r="C21">
        <f>'Backlog ELV'!C21*1</f>
        <v>6</v>
      </c>
      <c r="D21">
        <f>'Backlog ELV'!D21*1</f>
        <v>0</v>
      </c>
      <c r="E21">
        <f>'Backlog ELV'!E21*1</f>
        <v>0</v>
      </c>
      <c r="G21">
        <f>'Backlog ELV'!G21*1</f>
        <v>0</v>
      </c>
      <c r="H21">
        <f>'Backlog ELV'!H21*1</f>
        <v>3</v>
      </c>
      <c r="I21">
        <f>'Backlog ELV'!I21*1</f>
        <v>0</v>
      </c>
      <c r="J21">
        <f>'Backlog ELV'!J21*1</f>
        <v>0</v>
      </c>
      <c r="L21">
        <f>'Backlog ELV'!L21*1</f>
        <v>0</v>
      </c>
      <c r="M21">
        <f>'Backlog ELV'!M21*1</f>
        <v>0</v>
      </c>
      <c r="N21">
        <f>'Backlog ELV'!N21*1</f>
        <v>0</v>
      </c>
      <c r="O21">
        <f>'Backlog ELV'!O21*1</f>
        <v>0</v>
      </c>
      <c r="Q21">
        <f>'Backlog ELV'!Q21*1</f>
        <v>0</v>
      </c>
      <c r="R21">
        <f>'Backlog ELV'!R21*1</f>
        <v>0</v>
      </c>
      <c r="S21">
        <f>'Backlog ELV'!S21*1</f>
        <v>0</v>
      </c>
      <c r="T21">
        <f>'Backlog ELV'!T21*1</f>
        <v>0</v>
      </c>
      <c r="V21">
        <f>'Backlog ELV'!V21*1</f>
        <v>0</v>
      </c>
      <c r="W21">
        <f>'Backlog ELV'!W21*1</f>
        <v>0</v>
      </c>
      <c r="X21">
        <f>'Backlog ELV'!X21*1</f>
        <v>0</v>
      </c>
      <c r="Y21">
        <f>'Backlog ELV'!Y21*1</f>
        <v>0</v>
      </c>
      <c r="AA21">
        <f>'Backlog ELV'!AA21*1</f>
        <v>0</v>
      </c>
      <c r="AB21">
        <f>'Backlog ELV'!AB21*1</f>
        <v>0</v>
      </c>
      <c r="AC21">
        <f>'Backlog ELV'!AC21*1</f>
        <v>0</v>
      </c>
      <c r="AD21">
        <f>'Backlog ELV'!AD21*1</f>
        <v>0</v>
      </c>
      <c r="AF21">
        <f>'Backlog ELV'!AF21*1</f>
        <v>0</v>
      </c>
      <c r="AG21">
        <f>'Backlog ELV'!AG21*1</f>
        <v>0</v>
      </c>
      <c r="AH21">
        <f>'Backlog ELV'!AH21*1</f>
        <v>0</v>
      </c>
      <c r="AI21">
        <f>'Backlog ELV'!AI21*1</f>
        <v>0</v>
      </c>
      <c r="AK21">
        <f>'Backlog ELV'!AK21*1</f>
        <v>0</v>
      </c>
      <c r="AL21">
        <f>'Backlog ELV'!AL21*1</f>
        <v>0</v>
      </c>
      <c r="AM21">
        <f>'Backlog ELV'!AM21*1</f>
        <v>0</v>
      </c>
      <c r="AN21">
        <f>'Backlog ELV'!AN21*1</f>
        <v>0</v>
      </c>
      <c r="AP21">
        <f>'Backlog ELV'!AP21*1</f>
        <v>0</v>
      </c>
      <c r="AQ21">
        <f>'Backlog ELV'!AQ21*1</f>
        <v>0</v>
      </c>
      <c r="AR21">
        <f>'Backlog ELV'!AR21*1</f>
        <v>0</v>
      </c>
      <c r="AS21">
        <f>'Backlog ELV'!AS21*1</f>
        <v>0</v>
      </c>
      <c r="AU21">
        <f>'Backlog ELV'!AU21*1</f>
        <v>0</v>
      </c>
      <c r="AV21">
        <f>'Backlog ELV'!AV21*1</f>
        <v>0</v>
      </c>
      <c r="AW21">
        <f>'Backlog ELV'!AW21*1</f>
        <v>0</v>
      </c>
      <c r="AX21">
        <f>'Backlog ELV'!AX21*1</f>
        <v>0</v>
      </c>
      <c r="AY21">
        <f t="shared" si="1"/>
        <v>0</v>
      </c>
      <c r="AZ21">
        <f t="shared" si="1"/>
        <v>0.9</v>
      </c>
      <c r="BA21">
        <f t="shared" si="1"/>
        <v>0</v>
      </c>
      <c r="BB21">
        <f t="shared" si="1"/>
        <v>0</v>
      </c>
    </row>
    <row r="22" spans="1:54" x14ac:dyDescent="0.35">
      <c r="A22">
        <v>20</v>
      </c>
      <c r="B22">
        <f>'Backlog ELV'!B22*1</f>
        <v>0</v>
      </c>
      <c r="C22">
        <f>'Backlog ELV'!C22*1</f>
        <v>0</v>
      </c>
      <c r="D22">
        <f>'Backlog ELV'!D22*1</f>
        <v>0</v>
      </c>
      <c r="E22">
        <f>'Backlog ELV'!E22*1</f>
        <v>0</v>
      </c>
      <c r="G22">
        <f>'Backlog ELV'!G22*1</f>
        <v>0</v>
      </c>
      <c r="H22">
        <f>'Backlog ELV'!H22*1</f>
        <v>0</v>
      </c>
      <c r="I22">
        <f>'Backlog ELV'!I22*1</f>
        <v>0</v>
      </c>
      <c r="J22">
        <f>'Backlog ELV'!J22*1</f>
        <v>0</v>
      </c>
      <c r="L22">
        <f>'Backlog ELV'!L22*1</f>
        <v>0</v>
      </c>
      <c r="M22">
        <f>'Backlog ELV'!M22*1</f>
        <v>0</v>
      </c>
      <c r="N22">
        <f>'Backlog ELV'!N22*1</f>
        <v>0</v>
      </c>
      <c r="O22">
        <f>'Backlog ELV'!O22*1</f>
        <v>0</v>
      </c>
      <c r="Q22">
        <f>'Backlog ELV'!Q22*1</f>
        <v>0</v>
      </c>
      <c r="R22">
        <f>'Backlog ELV'!R22*1</f>
        <v>0</v>
      </c>
      <c r="S22">
        <f>'Backlog ELV'!S22*1</f>
        <v>0</v>
      </c>
      <c r="T22">
        <f>'Backlog ELV'!T22*1</f>
        <v>0</v>
      </c>
      <c r="V22">
        <f>'Backlog ELV'!V22*1</f>
        <v>0</v>
      </c>
      <c r="W22">
        <f>'Backlog ELV'!W22*1</f>
        <v>0</v>
      </c>
      <c r="X22">
        <f>'Backlog ELV'!X22*1</f>
        <v>0</v>
      </c>
      <c r="Y22">
        <f>'Backlog ELV'!Y22*1</f>
        <v>0</v>
      </c>
      <c r="AA22">
        <f>'Backlog ELV'!AA22*1</f>
        <v>0</v>
      </c>
      <c r="AB22">
        <f>'Backlog ELV'!AB22*1</f>
        <v>0</v>
      </c>
      <c r="AC22">
        <f>'Backlog ELV'!AC22*1</f>
        <v>0</v>
      </c>
      <c r="AD22">
        <f>'Backlog ELV'!AD22*1</f>
        <v>0</v>
      </c>
      <c r="AF22">
        <f>'Backlog ELV'!AF22*1</f>
        <v>0</v>
      </c>
      <c r="AG22">
        <f>'Backlog ELV'!AG22*1</f>
        <v>0</v>
      </c>
      <c r="AH22">
        <f>'Backlog ELV'!AH22*1</f>
        <v>0</v>
      </c>
      <c r="AI22">
        <f>'Backlog ELV'!AI22*1</f>
        <v>0</v>
      </c>
      <c r="AK22">
        <f>'Backlog ELV'!AK22*1</f>
        <v>0</v>
      </c>
      <c r="AL22">
        <f>'Backlog ELV'!AL22*1</f>
        <v>0</v>
      </c>
      <c r="AM22">
        <f>'Backlog ELV'!AM22*1</f>
        <v>0</v>
      </c>
      <c r="AN22">
        <f>'Backlog ELV'!AN22*1</f>
        <v>0</v>
      </c>
      <c r="AP22">
        <f>'Backlog ELV'!AP22*1</f>
        <v>0</v>
      </c>
      <c r="AQ22">
        <f>'Backlog ELV'!AQ22*1</f>
        <v>0</v>
      </c>
      <c r="AR22">
        <f>'Backlog ELV'!AR22*1</f>
        <v>0</v>
      </c>
      <c r="AS22">
        <f>'Backlog ELV'!AS22*1</f>
        <v>0</v>
      </c>
      <c r="AU22">
        <f>'Backlog ELV'!AU22*1</f>
        <v>0</v>
      </c>
      <c r="AV22">
        <f>'Backlog ELV'!AV22*1</f>
        <v>0</v>
      </c>
      <c r="AW22">
        <f>'Backlog ELV'!AW22*1</f>
        <v>0</v>
      </c>
      <c r="AX22">
        <f>'Backlog ELV'!AX22*1</f>
        <v>0</v>
      </c>
      <c r="AY22">
        <f t="shared" si="1"/>
        <v>0</v>
      </c>
      <c r="AZ22">
        <f t="shared" si="1"/>
        <v>0</v>
      </c>
      <c r="BA22">
        <f t="shared" si="1"/>
        <v>0</v>
      </c>
      <c r="BB22">
        <f t="shared" si="1"/>
        <v>0</v>
      </c>
    </row>
    <row r="23" spans="1:54" x14ac:dyDescent="0.35">
      <c r="A23">
        <v>21</v>
      </c>
      <c r="B23">
        <f>'Backlog ELV'!B23*1</f>
        <v>0</v>
      </c>
      <c r="C23">
        <f>'Backlog ELV'!C23*1</f>
        <v>0</v>
      </c>
      <c r="D23">
        <f>'Backlog ELV'!D23*1</f>
        <v>0</v>
      </c>
      <c r="E23">
        <f>'Backlog ELV'!E23*1</f>
        <v>0</v>
      </c>
      <c r="G23">
        <f>'Backlog ELV'!G23*1</f>
        <v>0</v>
      </c>
      <c r="H23">
        <f>'Backlog ELV'!H23*1</f>
        <v>0</v>
      </c>
      <c r="I23">
        <f>'Backlog ELV'!I23*1</f>
        <v>0</v>
      </c>
      <c r="J23">
        <f>'Backlog ELV'!J23*1</f>
        <v>0</v>
      </c>
      <c r="L23">
        <f>'Backlog ELV'!L23*1</f>
        <v>0</v>
      </c>
      <c r="M23">
        <f>'Backlog ELV'!M23*1</f>
        <v>0</v>
      </c>
      <c r="N23">
        <f>'Backlog ELV'!N23*1</f>
        <v>0</v>
      </c>
      <c r="O23">
        <f>'Backlog ELV'!O23*1</f>
        <v>0</v>
      </c>
      <c r="Q23">
        <f>'Backlog ELV'!Q23*1</f>
        <v>0</v>
      </c>
      <c r="R23">
        <f>'Backlog ELV'!R23*1</f>
        <v>0</v>
      </c>
      <c r="S23">
        <f>'Backlog ELV'!S23*1</f>
        <v>0</v>
      </c>
      <c r="T23">
        <f>'Backlog ELV'!T23*1</f>
        <v>0</v>
      </c>
      <c r="V23">
        <f>'Backlog ELV'!V23*1</f>
        <v>0</v>
      </c>
      <c r="W23">
        <f>'Backlog ELV'!W23*1</f>
        <v>0</v>
      </c>
      <c r="X23">
        <f>'Backlog ELV'!X23*1</f>
        <v>0</v>
      </c>
      <c r="Y23">
        <f>'Backlog ELV'!Y23*1</f>
        <v>0</v>
      </c>
      <c r="AA23">
        <f>'Backlog ELV'!AA23*1</f>
        <v>0</v>
      </c>
      <c r="AB23">
        <f>'Backlog ELV'!AB23*1</f>
        <v>0</v>
      </c>
      <c r="AC23">
        <f>'Backlog ELV'!AC23*1</f>
        <v>0</v>
      </c>
      <c r="AD23">
        <f>'Backlog ELV'!AD23*1</f>
        <v>0</v>
      </c>
      <c r="AF23">
        <f>'Backlog ELV'!AF23*1</f>
        <v>0</v>
      </c>
      <c r="AG23">
        <f>'Backlog ELV'!AG23*1</f>
        <v>0</v>
      </c>
      <c r="AH23">
        <f>'Backlog ELV'!AH23*1</f>
        <v>0</v>
      </c>
      <c r="AI23">
        <f>'Backlog ELV'!AI23*1</f>
        <v>0</v>
      </c>
      <c r="AK23">
        <f>'Backlog ELV'!AK23*1</f>
        <v>0</v>
      </c>
      <c r="AL23">
        <f>'Backlog ELV'!AL23*1</f>
        <v>0</v>
      </c>
      <c r="AM23">
        <f>'Backlog ELV'!AM23*1</f>
        <v>0</v>
      </c>
      <c r="AN23">
        <f>'Backlog ELV'!AN23*1</f>
        <v>0</v>
      </c>
      <c r="AP23">
        <f>'Backlog ELV'!AP23*1</f>
        <v>0</v>
      </c>
      <c r="AQ23">
        <f>'Backlog ELV'!AQ23*1</f>
        <v>0</v>
      </c>
      <c r="AR23">
        <f>'Backlog ELV'!AR23*1</f>
        <v>0</v>
      </c>
      <c r="AS23">
        <f>'Backlog ELV'!AS23*1</f>
        <v>0</v>
      </c>
      <c r="AU23">
        <f>'Backlog ELV'!AU23*1</f>
        <v>0</v>
      </c>
      <c r="AV23">
        <f>'Backlog ELV'!AV23*1</f>
        <v>0</v>
      </c>
      <c r="AW23">
        <f>'Backlog ELV'!AW23*1</f>
        <v>0</v>
      </c>
      <c r="AX23">
        <f>'Backlog ELV'!AX23*1</f>
        <v>0</v>
      </c>
      <c r="AY23">
        <f t="shared" si="1"/>
        <v>0</v>
      </c>
      <c r="AZ23">
        <f t="shared" si="1"/>
        <v>0</v>
      </c>
      <c r="BA23">
        <f t="shared" si="1"/>
        <v>0</v>
      </c>
      <c r="BB23">
        <f t="shared" si="1"/>
        <v>0</v>
      </c>
    </row>
    <row r="24" spans="1:54" x14ac:dyDescent="0.35">
      <c r="A24">
        <v>22</v>
      </c>
      <c r="B24">
        <f>'Backlog ELV'!B24*1</f>
        <v>0</v>
      </c>
      <c r="C24">
        <f>'Backlog ELV'!C24*1</f>
        <v>0</v>
      </c>
      <c r="D24">
        <f>'Backlog ELV'!D24*1</f>
        <v>0</v>
      </c>
      <c r="E24">
        <f>'Backlog ELV'!E24*1</f>
        <v>0</v>
      </c>
      <c r="G24">
        <f>'Backlog ELV'!G24*1</f>
        <v>1</v>
      </c>
      <c r="H24">
        <f>'Backlog ELV'!H24*1</f>
        <v>0</v>
      </c>
      <c r="I24">
        <f>'Backlog ELV'!I24*1</f>
        <v>0</v>
      </c>
      <c r="J24">
        <f>'Backlog ELV'!J24*1</f>
        <v>0</v>
      </c>
      <c r="L24">
        <f>'Backlog ELV'!L24*1</f>
        <v>1</v>
      </c>
      <c r="M24">
        <f>'Backlog ELV'!M24*1</f>
        <v>0</v>
      </c>
      <c r="N24">
        <f>'Backlog ELV'!N24*1</f>
        <v>0</v>
      </c>
      <c r="O24">
        <f>'Backlog ELV'!O24*1</f>
        <v>0</v>
      </c>
      <c r="Q24">
        <f>'Backlog ELV'!Q24*1</f>
        <v>0</v>
      </c>
      <c r="R24">
        <f>'Backlog ELV'!R24*1</f>
        <v>8</v>
      </c>
      <c r="S24">
        <f>'Backlog ELV'!S24*1</f>
        <v>0</v>
      </c>
      <c r="T24">
        <f>'Backlog ELV'!T24*1</f>
        <v>0</v>
      </c>
      <c r="V24">
        <f>'Backlog ELV'!V24*1</f>
        <v>0</v>
      </c>
      <c r="W24">
        <f>'Backlog ELV'!W24*1</f>
        <v>0</v>
      </c>
      <c r="X24">
        <f>'Backlog ELV'!X24*1</f>
        <v>0</v>
      </c>
      <c r="Y24">
        <f>'Backlog ELV'!Y24*1</f>
        <v>0</v>
      </c>
      <c r="AA24">
        <f>'Backlog ELV'!AA24*1</f>
        <v>0</v>
      </c>
      <c r="AB24">
        <f>'Backlog ELV'!AB24*1</f>
        <v>2</v>
      </c>
      <c r="AC24">
        <f>'Backlog ELV'!AC24*1</f>
        <v>0</v>
      </c>
      <c r="AD24">
        <f>'Backlog ELV'!AD24*1</f>
        <v>0</v>
      </c>
      <c r="AF24">
        <f>'Backlog ELV'!AF24*1</f>
        <v>0</v>
      </c>
      <c r="AG24">
        <f>'Backlog ELV'!AG24*1</f>
        <v>0</v>
      </c>
      <c r="AH24">
        <f>'Backlog ELV'!AH24*1</f>
        <v>0</v>
      </c>
      <c r="AI24">
        <f>'Backlog ELV'!AI24*1</f>
        <v>0</v>
      </c>
      <c r="AK24">
        <f>'Backlog ELV'!AK24*1</f>
        <v>0</v>
      </c>
      <c r="AL24">
        <f>'Backlog ELV'!AL24*1</f>
        <v>0</v>
      </c>
      <c r="AM24">
        <f>'Backlog ELV'!AM24*1</f>
        <v>0</v>
      </c>
      <c r="AN24">
        <f>'Backlog ELV'!AN24*1</f>
        <v>0</v>
      </c>
      <c r="AP24">
        <f>'Backlog ELV'!AP24*1</f>
        <v>0</v>
      </c>
      <c r="AQ24">
        <f>'Backlog ELV'!AQ24*1</f>
        <v>0</v>
      </c>
      <c r="AR24">
        <f>'Backlog ELV'!AR24*1</f>
        <v>0</v>
      </c>
      <c r="AS24">
        <f>'Backlog ELV'!AS24*1</f>
        <v>0</v>
      </c>
      <c r="AU24">
        <f>'Backlog ELV'!AU24*1</f>
        <v>2</v>
      </c>
      <c r="AV24">
        <f>'Backlog ELV'!AV24*1</f>
        <v>0</v>
      </c>
      <c r="AW24">
        <f>'Backlog ELV'!AW24*1</f>
        <v>0</v>
      </c>
      <c r="AX24">
        <f>'Backlog ELV'!AX24*1</f>
        <v>0</v>
      </c>
      <c r="AY24">
        <f t="shared" si="1"/>
        <v>0.4</v>
      </c>
      <c r="AZ24">
        <f t="shared" si="1"/>
        <v>1</v>
      </c>
      <c r="BA24">
        <f t="shared" si="1"/>
        <v>0</v>
      </c>
      <c r="BB24">
        <f t="shared" si="1"/>
        <v>0</v>
      </c>
    </row>
    <row r="25" spans="1:54" x14ac:dyDescent="0.35">
      <c r="A25">
        <v>23</v>
      </c>
      <c r="B25">
        <f>'Backlog ELV'!B25*1</f>
        <v>2</v>
      </c>
      <c r="C25">
        <f>'Backlog ELV'!C25*1</f>
        <v>0</v>
      </c>
      <c r="D25">
        <f>'Backlog ELV'!D25*1</f>
        <v>0</v>
      </c>
      <c r="E25">
        <f>'Backlog ELV'!E25*1</f>
        <v>0</v>
      </c>
      <c r="G25">
        <f>'Backlog ELV'!G25*1</f>
        <v>0</v>
      </c>
      <c r="H25">
        <f>'Backlog ELV'!H25*1</f>
        <v>0</v>
      </c>
      <c r="I25">
        <f>'Backlog ELV'!I25*1</f>
        <v>0</v>
      </c>
      <c r="J25">
        <f>'Backlog ELV'!J25*1</f>
        <v>0</v>
      </c>
      <c r="L25">
        <f>'Backlog ELV'!L25*1</f>
        <v>0</v>
      </c>
      <c r="M25">
        <f>'Backlog ELV'!M25*1</f>
        <v>20</v>
      </c>
      <c r="N25">
        <f>'Backlog ELV'!N25*1</f>
        <v>0</v>
      </c>
      <c r="O25">
        <f>'Backlog ELV'!O25*1</f>
        <v>0</v>
      </c>
      <c r="Q25">
        <f>'Backlog ELV'!Q25*1</f>
        <v>0</v>
      </c>
      <c r="R25">
        <f>'Backlog ELV'!R25*1</f>
        <v>0</v>
      </c>
      <c r="S25">
        <f>'Backlog ELV'!S25*1</f>
        <v>0</v>
      </c>
      <c r="T25">
        <f>'Backlog ELV'!T25*1</f>
        <v>0</v>
      </c>
      <c r="V25">
        <f>'Backlog ELV'!V25*1</f>
        <v>0</v>
      </c>
      <c r="W25">
        <f>'Backlog ELV'!W25*1</f>
        <v>0</v>
      </c>
      <c r="X25">
        <f>'Backlog ELV'!X25*1</f>
        <v>0</v>
      </c>
      <c r="Y25">
        <f>'Backlog ELV'!Y25*1</f>
        <v>0</v>
      </c>
      <c r="AA25">
        <f>'Backlog ELV'!AA25*1</f>
        <v>0</v>
      </c>
      <c r="AB25">
        <f>'Backlog ELV'!AB25*1</f>
        <v>5</v>
      </c>
      <c r="AC25">
        <f>'Backlog ELV'!AC25*1</f>
        <v>0</v>
      </c>
      <c r="AD25">
        <f>'Backlog ELV'!AD25*1</f>
        <v>0</v>
      </c>
      <c r="AF25">
        <f>'Backlog ELV'!AF25*1</f>
        <v>0</v>
      </c>
      <c r="AG25">
        <f>'Backlog ELV'!AG25*1</f>
        <v>13</v>
      </c>
      <c r="AH25">
        <f>'Backlog ELV'!AH25*1</f>
        <v>0</v>
      </c>
      <c r="AI25">
        <f>'Backlog ELV'!AI25*1</f>
        <v>0</v>
      </c>
      <c r="AK25">
        <f>'Backlog ELV'!AK25*1</f>
        <v>0</v>
      </c>
      <c r="AL25">
        <f>'Backlog ELV'!AL25*1</f>
        <v>0</v>
      </c>
      <c r="AM25">
        <f>'Backlog ELV'!AM25*1</f>
        <v>0</v>
      </c>
      <c r="AN25">
        <f>'Backlog ELV'!AN25*1</f>
        <v>0</v>
      </c>
      <c r="AP25">
        <f>'Backlog ELV'!AP25*1</f>
        <v>0</v>
      </c>
      <c r="AQ25">
        <f>'Backlog ELV'!AQ25*1</f>
        <v>8</v>
      </c>
      <c r="AR25">
        <f>'Backlog ELV'!AR25*1</f>
        <v>0</v>
      </c>
      <c r="AS25">
        <f>'Backlog ELV'!AS25*1</f>
        <v>0</v>
      </c>
      <c r="AU25">
        <f>'Backlog ELV'!AU25*1</f>
        <v>0</v>
      </c>
      <c r="AV25">
        <f>'Backlog ELV'!AV25*1</f>
        <v>0</v>
      </c>
      <c r="AW25">
        <f>'Backlog ELV'!AW25*1</f>
        <v>0</v>
      </c>
      <c r="AX25">
        <f>'Backlog ELV'!AX25*1</f>
        <v>0</v>
      </c>
      <c r="AY25">
        <f t="shared" si="1"/>
        <v>0.2</v>
      </c>
      <c r="AZ25">
        <f t="shared" si="1"/>
        <v>4.5999999999999996</v>
      </c>
      <c r="BA25">
        <f t="shared" si="1"/>
        <v>0</v>
      </c>
      <c r="BB25">
        <f t="shared" si="1"/>
        <v>0</v>
      </c>
    </row>
    <row r="26" spans="1:54" x14ac:dyDescent="0.35">
      <c r="A26">
        <v>24</v>
      </c>
      <c r="B26">
        <f>'Backlog ELV'!B26*1</f>
        <v>0</v>
      </c>
      <c r="C26">
        <f>'Backlog ELV'!C26*1</f>
        <v>0</v>
      </c>
      <c r="D26">
        <f>'Backlog ELV'!D26*1</f>
        <v>0</v>
      </c>
      <c r="E26">
        <f>'Backlog ELV'!E26*1</f>
        <v>0</v>
      </c>
      <c r="G26">
        <f>'Backlog ELV'!G26*1</f>
        <v>0</v>
      </c>
      <c r="H26">
        <f>'Backlog ELV'!H26*1</f>
        <v>25</v>
      </c>
      <c r="I26">
        <f>'Backlog ELV'!I26*1</f>
        <v>0</v>
      </c>
      <c r="J26">
        <f>'Backlog ELV'!J26*1</f>
        <v>0</v>
      </c>
      <c r="L26">
        <f>'Backlog ELV'!L26*1</f>
        <v>0</v>
      </c>
      <c r="M26">
        <f>'Backlog ELV'!M26*1</f>
        <v>2</v>
      </c>
      <c r="N26">
        <f>'Backlog ELV'!N26*1</f>
        <v>0</v>
      </c>
      <c r="O26">
        <f>'Backlog ELV'!O26*1</f>
        <v>0</v>
      </c>
      <c r="Q26">
        <f>'Backlog ELV'!Q26*1</f>
        <v>0</v>
      </c>
      <c r="R26">
        <f>'Backlog ELV'!R26*1</f>
        <v>0</v>
      </c>
      <c r="S26">
        <f>'Backlog ELV'!S26*1</f>
        <v>0</v>
      </c>
      <c r="T26">
        <f>'Backlog ELV'!T26*1</f>
        <v>0</v>
      </c>
      <c r="V26">
        <f>'Backlog ELV'!V26*1</f>
        <v>0</v>
      </c>
      <c r="W26">
        <f>'Backlog ELV'!W26*1</f>
        <v>0</v>
      </c>
      <c r="X26">
        <f>'Backlog ELV'!X26*1</f>
        <v>0</v>
      </c>
      <c r="Y26">
        <f>'Backlog ELV'!Y26*1</f>
        <v>0</v>
      </c>
      <c r="AA26">
        <f>'Backlog ELV'!AA26*1</f>
        <v>0</v>
      </c>
      <c r="AB26">
        <f>'Backlog ELV'!AB26*1</f>
        <v>0</v>
      </c>
      <c r="AC26">
        <f>'Backlog ELV'!AC26*1</f>
        <v>0</v>
      </c>
      <c r="AD26">
        <f>'Backlog ELV'!AD26*1</f>
        <v>0</v>
      </c>
      <c r="AF26">
        <f>'Backlog ELV'!AF26*1</f>
        <v>0</v>
      </c>
      <c r="AG26">
        <f>'Backlog ELV'!AG26*1</f>
        <v>2</v>
      </c>
      <c r="AH26">
        <f>'Backlog ELV'!AH26*1</f>
        <v>0</v>
      </c>
      <c r="AI26">
        <f>'Backlog ELV'!AI26*1</f>
        <v>0</v>
      </c>
      <c r="AK26">
        <f>'Backlog ELV'!AK26*1</f>
        <v>0</v>
      </c>
      <c r="AL26">
        <f>'Backlog ELV'!AL26*1</f>
        <v>0</v>
      </c>
      <c r="AM26">
        <f>'Backlog ELV'!AM26*1</f>
        <v>0</v>
      </c>
      <c r="AN26">
        <f>'Backlog ELV'!AN26*1</f>
        <v>0</v>
      </c>
      <c r="AP26">
        <f>'Backlog ELV'!AP26*1</f>
        <v>0</v>
      </c>
      <c r="AQ26">
        <f>'Backlog ELV'!AQ26*1</f>
        <v>3</v>
      </c>
      <c r="AR26">
        <f>'Backlog ELV'!AR26*1</f>
        <v>0</v>
      </c>
      <c r="AS26">
        <f>'Backlog ELV'!AS26*1</f>
        <v>0</v>
      </c>
      <c r="AU26">
        <f>'Backlog ELV'!AU26*1</f>
        <v>0</v>
      </c>
      <c r="AV26">
        <f>'Backlog ELV'!AV26*1</f>
        <v>16</v>
      </c>
      <c r="AW26">
        <f>'Backlog ELV'!AW26*1</f>
        <v>0</v>
      </c>
      <c r="AX26">
        <f>'Backlog ELV'!AX26*1</f>
        <v>0</v>
      </c>
      <c r="AY26">
        <f t="shared" si="1"/>
        <v>0</v>
      </c>
      <c r="AZ26">
        <f t="shared" si="1"/>
        <v>4.8</v>
      </c>
      <c r="BA26">
        <f t="shared" si="1"/>
        <v>0</v>
      </c>
      <c r="BB26">
        <f t="shared" si="1"/>
        <v>0</v>
      </c>
    </row>
    <row r="27" spans="1:54" x14ac:dyDescent="0.35">
      <c r="A27">
        <v>25</v>
      </c>
      <c r="B27">
        <f>'Backlog ELV'!B27*1</f>
        <v>0</v>
      </c>
      <c r="C27">
        <f>'Backlog ELV'!C27*1</f>
        <v>9</v>
      </c>
      <c r="D27">
        <f>'Backlog ELV'!D27*1</f>
        <v>0</v>
      </c>
      <c r="E27">
        <f>'Backlog ELV'!E27*1</f>
        <v>0</v>
      </c>
      <c r="G27">
        <f>'Backlog ELV'!G27*1</f>
        <v>0</v>
      </c>
      <c r="H27">
        <f>'Backlog ELV'!H27*1</f>
        <v>0</v>
      </c>
      <c r="I27">
        <f>'Backlog ELV'!I27*1</f>
        <v>0</v>
      </c>
      <c r="J27">
        <f>'Backlog ELV'!J27*1</f>
        <v>0</v>
      </c>
      <c r="L27">
        <f>'Backlog ELV'!L27*1</f>
        <v>0</v>
      </c>
      <c r="M27">
        <f>'Backlog ELV'!M27*1</f>
        <v>0</v>
      </c>
      <c r="N27">
        <f>'Backlog ELV'!N27*1</f>
        <v>0</v>
      </c>
      <c r="O27">
        <f>'Backlog ELV'!O27*1</f>
        <v>0</v>
      </c>
      <c r="Q27">
        <f>'Backlog ELV'!Q27*1</f>
        <v>0</v>
      </c>
      <c r="R27">
        <f>'Backlog ELV'!R27*1</f>
        <v>0</v>
      </c>
      <c r="S27">
        <f>'Backlog ELV'!S27*1</f>
        <v>0</v>
      </c>
      <c r="T27">
        <f>'Backlog ELV'!T27*1</f>
        <v>0</v>
      </c>
      <c r="V27">
        <f>'Backlog ELV'!V27*1</f>
        <v>0</v>
      </c>
      <c r="W27">
        <f>'Backlog ELV'!W27*1</f>
        <v>0</v>
      </c>
      <c r="X27">
        <f>'Backlog ELV'!X27*1</f>
        <v>0</v>
      </c>
      <c r="Y27">
        <f>'Backlog ELV'!Y27*1</f>
        <v>0</v>
      </c>
      <c r="AA27">
        <f>'Backlog ELV'!AA27*1</f>
        <v>0</v>
      </c>
      <c r="AB27">
        <f>'Backlog ELV'!AB27*1</f>
        <v>0</v>
      </c>
      <c r="AC27">
        <f>'Backlog ELV'!AC27*1</f>
        <v>0</v>
      </c>
      <c r="AD27">
        <f>'Backlog ELV'!AD27*1</f>
        <v>0</v>
      </c>
      <c r="AF27">
        <f>'Backlog ELV'!AF27*1</f>
        <v>0</v>
      </c>
      <c r="AG27">
        <f>'Backlog ELV'!AG27*1</f>
        <v>0</v>
      </c>
      <c r="AH27">
        <f>'Backlog ELV'!AH27*1</f>
        <v>0</v>
      </c>
      <c r="AI27">
        <f>'Backlog ELV'!AI27*1</f>
        <v>0</v>
      </c>
      <c r="AK27">
        <f>'Backlog ELV'!AK27*1</f>
        <v>0</v>
      </c>
      <c r="AL27">
        <f>'Backlog ELV'!AL27*1</f>
        <v>0</v>
      </c>
      <c r="AM27">
        <f>'Backlog ELV'!AM27*1</f>
        <v>0</v>
      </c>
      <c r="AN27">
        <f>'Backlog ELV'!AN27*1</f>
        <v>0</v>
      </c>
      <c r="AP27">
        <f>'Backlog ELV'!AP27*1</f>
        <v>0</v>
      </c>
      <c r="AQ27">
        <f>'Backlog ELV'!AQ27*1</f>
        <v>0</v>
      </c>
      <c r="AR27">
        <f>'Backlog ELV'!AR27*1</f>
        <v>0</v>
      </c>
      <c r="AS27">
        <f>'Backlog ELV'!AS27*1</f>
        <v>0</v>
      </c>
      <c r="AU27">
        <f>'Backlog ELV'!AU27*1</f>
        <v>0</v>
      </c>
      <c r="AV27">
        <f>'Backlog ELV'!AV27*1</f>
        <v>18</v>
      </c>
      <c r="AW27">
        <f>'Backlog ELV'!AW27*1</f>
        <v>0</v>
      </c>
      <c r="AX27">
        <f>'Backlog ELV'!AX27*1</f>
        <v>0</v>
      </c>
      <c r="AY27">
        <f t="shared" si="1"/>
        <v>0</v>
      </c>
      <c r="AZ27">
        <f t="shared" si="1"/>
        <v>2.7</v>
      </c>
      <c r="BA27">
        <f t="shared" si="1"/>
        <v>0</v>
      </c>
      <c r="BB27">
        <f t="shared" si="1"/>
        <v>0</v>
      </c>
    </row>
    <row r="28" spans="1:54" x14ac:dyDescent="0.35">
      <c r="A28">
        <v>26</v>
      </c>
      <c r="B28">
        <f>'Backlog ELV'!B28*1</f>
        <v>0</v>
      </c>
      <c r="C28">
        <f>'Backlog ELV'!C28*1</f>
        <v>0</v>
      </c>
      <c r="D28">
        <f>'Backlog ELV'!D28*1</f>
        <v>0</v>
      </c>
      <c r="E28">
        <f>'Backlog ELV'!E28*1</f>
        <v>0</v>
      </c>
      <c r="G28">
        <f>'Backlog ELV'!G28*1</f>
        <v>0</v>
      </c>
      <c r="H28">
        <f>'Backlog ELV'!H28*1</f>
        <v>0</v>
      </c>
      <c r="I28">
        <f>'Backlog ELV'!I28*1</f>
        <v>0</v>
      </c>
      <c r="J28">
        <f>'Backlog ELV'!J28*1</f>
        <v>0</v>
      </c>
      <c r="L28">
        <f>'Backlog ELV'!L28*1</f>
        <v>0</v>
      </c>
      <c r="M28">
        <f>'Backlog ELV'!M28*1</f>
        <v>0</v>
      </c>
      <c r="N28">
        <f>'Backlog ELV'!N28*1</f>
        <v>0</v>
      </c>
      <c r="O28">
        <f>'Backlog ELV'!O28*1</f>
        <v>0</v>
      </c>
      <c r="Q28">
        <f>'Backlog ELV'!Q28*1</f>
        <v>0</v>
      </c>
      <c r="R28">
        <f>'Backlog ELV'!R28*1</f>
        <v>0</v>
      </c>
      <c r="S28">
        <f>'Backlog ELV'!S28*1</f>
        <v>0</v>
      </c>
      <c r="T28">
        <f>'Backlog ELV'!T28*1</f>
        <v>0</v>
      </c>
      <c r="V28">
        <f>'Backlog ELV'!V28*1</f>
        <v>0</v>
      </c>
      <c r="W28">
        <f>'Backlog ELV'!W28*1</f>
        <v>0</v>
      </c>
      <c r="X28">
        <f>'Backlog ELV'!X28*1</f>
        <v>0</v>
      </c>
      <c r="Y28">
        <f>'Backlog ELV'!Y28*1</f>
        <v>0</v>
      </c>
      <c r="AA28">
        <f>'Backlog ELV'!AA28*1</f>
        <v>0</v>
      </c>
      <c r="AB28">
        <f>'Backlog ELV'!AB28*1</f>
        <v>0</v>
      </c>
      <c r="AC28">
        <f>'Backlog ELV'!AC28*1</f>
        <v>0</v>
      </c>
      <c r="AD28">
        <f>'Backlog ELV'!AD28*1</f>
        <v>0</v>
      </c>
      <c r="AF28">
        <f>'Backlog ELV'!AF28*1</f>
        <v>0</v>
      </c>
      <c r="AG28">
        <f>'Backlog ELV'!AG28*1</f>
        <v>0</v>
      </c>
      <c r="AH28">
        <f>'Backlog ELV'!AH28*1</f>
        <v>0</v>
      </c>
      <c r="AI28">
        <f>'Backlog ELV'!AI28*1</f>
        <v>0</v>
      </c>
      <c r="AK28">
        <f>'Backlog ELV'!AK28*1</f>
        <v>0</v>
      </c>
      <c r="AL28">
        <f>'Backlog ELV'!AL28*1</f>
        <v>0</v>
      </c>
      <c r="AM28">
        <f>'Backlog ELV'!AM28*1</f>
        <v>0</v>
      </c>
      <c r="AN28">
        <f>'Backlog ELV'!AN28*1</f>
        <v>0</v>
      </c>
      <c r="AP28">
        <f>'Backlog ELV'!AP28*1</f>
        <v>0</v>
      </c>
      <c r="AQ28">
        <f>'Backlog ELV'!AQ28*1</f>
        <v>3</v>
      </c>
      <c r="AR28">
        <f>'Backlog ELV'!AR28*1</f>
        <v>0</v>
      </c>
      <c r="AS28">
        <f>'Backlog ELV'!AS28*1</f>
        <v>0</v>
      </c>
      <c r="AU28">
        <f>'Backlog ELV'!AU28*1</f>
        <v>0</v>
      </c>
      <c r="AV28">
        <f>'Backlog ELV'!AV28*1</f>
        <v>10</v>
      </c>
      <c r="AW28">
        <f>'Backlog ELV'!AW28*1</f>
        <v>0</v>
      </c>
      <c r="AX28">
        <f>'Backlog ELV'!AX28*1</f>
        <v>0</v>
      </c>
      <c r="AY28">
        <f t="shared" si="1"/>
        <v>0</v>
      </c>
      <c r="AZ28">
        <f t="shared" si="1"/>
        <v>1.3</v>
      </c>
      <c r="BA28">
        <f t="shared" si="1"/>
        <v>0</v>
      </c>
      <c r="BB28">
        <f t="shared" si="1"/>
        <v>0</v>
      </c>
    </row>
    <row r="29" spans="1:54" x14ac:dyDescent="0.35">
      <c r="A29">
        <v>27</v>
      </c>
      <c r="B29">
        <f>'Backlog ELV'!B29*1</f>
        <v>0</v>
      </c>
      <c r="C29">
        <f>'Backlog ELV'!C29*1</f>
        <v>0</v>
      </c>
      <c r="D29">
        <f>'Backlog ELV'!D29*1</f>
        <v>0</v>
      </c>
      <c r="E29">
        <f>'Backlog ELV'!E29*1</f>
        <v>0</v>
      </c>
      <c r="G29">
        <f>'Backlog ELV'!G29*1</f>
        <v>0</v>
      </c>
      <c r="H29">
        <f>'Backlog ELV'!H29*1</f>
        <v>0</v>
      </c>
      <c r="I29">
        <f>'Backlog ELV'!I29*1</f>
        <v>0</v>
      </c>
      <c r="J29">
        <f>'Backlog ELV'!J29*1</f>
        <v>0</v>
      </c>
      <c r="L29">
        <f>'Backlog ELV'!L29*1</f>
        <v>0</v>
      </c>
      <c r="M29">
        <f>'Backlog ELV'!M29*1</f>
        <v>0</v>
      </c>
      <c r="N29">
        <f>'Backlog ELV'!N29*1</f>
        <v>0</v>
      </c>
      <c r="O29">
        <f>'Backlog ELV'!O29*1</f>
        <v>0</v>
      </c>
      <c r="Q29">
        <f>'Backlog ELV'!Q29*1</f>
        <v>0</v>
      </c>
      <c r="R29">
        <f>'Backlog ELV'!R29*1</f>
        <v>1</v>
      </c>
      <c r="S29">
        <f>'Backlog ELV'!S29*1</f>
        <v>0</v>
      </c>
      <c r="T29">
        <f>'Backlog ELV'!T29*1</f>
        <v>0</v>
      </c>
      <c r="V29">
        <f>'Backlog ELV'!V29*1</f>
        <v>0</v>
      </c>
      <c r="W29">
        <f>'Backlog ELV'!W29*1</f>
        <v>0</v>
      </c>
      <c r="X29">
        <f>'Backlog ELV'!X29*1</f>
        <v>0</v>
      </c>
      <c r="Y29">
        <f>'Backlog ELV'!Y29*1</f>
        <v>0</v>
      </c>
      <c r="AA29">
        <f>'Backlog ELV'!AA29*1</f>
        <v>5</v>
      </c>
      <c r="AB29">
        <f>'Backlog ELV'!AB29*1</f>
        <v>0</v>
      </c>
      <c r="AC29">
        <f>'Backlog ELV'!AC29*1</f>
        <v>0</v>
      </c>
      <c r="AD29">
        <f>'Backlog ELV'!AD29*1</f>
        <v>0</v>
      </c>
      <c r="AF29">
        <f>'Backlog ELV'!AF29*1</f>
        <v>3</v>
      </c>
      <c r="AG29">
        <f>'Backlog ELV'!AG29*1</f>
        <v>0</v>
      </c>
      <c r="AH29">
        <f>'Backlog ELV'!AH29*1</f>
        <v>0</v>
      </c>
      <c r="AI29">
        <f>'Backlog ELV'!AI29*1</f>
        <v>0</v>
      </c>
      <c r="AK29">
        <f>'Backlog ELV'!AK29*1</f>
        <v>0</v>
      </c>
      <c r="AL29">
        <f>'Backlog ELV'!AL29*1</f>
        <v>0</v>
      </c>
      <c r="AM29">
        <f>'Backlog ELV'!AM29*1</f>
        <v>0</v>
      </c>
      <c r="AN29">
        <f>'Backlog ELV'!AN29*1</f>
        <v>0</v>
      </c>
      <c r="AP29">
        <f>'Backlog ELV'!AP29*1</f>
        <v>0</v>
      </c>
      <c r="AQ29">
        <f>'Backlog ELV'!AQ29*1</f>
        <v>0</v>
      </c>
      <c r="AR29">
        <f>'Backlog ELV'!AR29*1</f>
        <v>0</v>
      </c>
      <c r="AS29">
        <f>'Backlog ELV'!AS29*1</f>
        <v>0</v>
      </c>
      <c r="AU29">
        <f>'Backlog ELV'!AU29*1</f>
        <v>0</v>
      </c>
      <c r="AV29">
        <f>'Backlog ELV'!AV29*1</f>
        <v>0</v>
      </c>
      <c r="AW29">
        <f>'Backlog ELV'!AW29*1</f>
        <v>0</v>
      </c>
      <c r="AX29">
        <f>'Backlog ELV'!AX29*1</f>
        <v>0</v>
      </c>
      <c r="AY29">
        <f t="shared" si="1"/>
        <v>0.8</v>
      </c>
      <c r="AZ29">
        <f t="shared" si="1"/>
        <v>0.1</v>
      </c>
      <c r="BA29">
        <f t="shared" si="1"/>
        <v>0</v>
      </c>
      <c r="BB29">
        <f t="shared" si="1"/>
        <v>0</v>
      </c>
    </row>
    <row r="30" spans="1:54" x14ac:dyDescent="0.35">
      <c r="A30">
        <v>28</v>
      </c>
      <c r="B30">
        <f>'Backlog ELV'!B30*1</f>
        <v>0</v>
      </c>
      <c r="C30">
        <f>'Backlog ELV'!C30*1</f>
        <v>0</v>
      </c>
      <c r="D30">
        <f>'Backlog ELV'!D30*1</f>
        <v>0</v>
      </c>
      <c r="E30">
        <f>'Backlog ELV'!E30*1</f>
        <v>0</v>
      </c>
      <c r="G30">
        <f>'Backlog ELV'!G30*1</f>
        <v>1</v>
      </c>
      <c r="H30">
        <f>'Backlog ELV'!H30*1</f>
        <v>0</v>
      </c>
      <c r="I30">
        <f>'Backlog ELV'!I30*1</f>
        <v>0</v>
      </c>
      <c r="J30">
        <f>'Backlog ELV'!J30*1</f>
        <v>0</v>
      </c>
      <c r="L30">
        <f>'Backlog ELV'!L30*1</f>
        <v>0</v>
      </c>
      <c r="M30">
        <f>'Backlog ELV'!M30*1</f>
        <v>0</v>
      </c>
      <c r="N30">
        <f>'Backlog ELV'!N30*1</f>
        <v>0</v>
      </c>
      <c r="O30">
        <f>'Backlog ELV'!O30*1</f>
        <v>0</v>
      </c>
      <c r="Q30">
        <f>'Backlog ELV'!Q30*1</f>
        <v>0</v>
      </c>
      <c r="R30">
        <f>'Backlog ELV'!R30*1</f>
        <v>0</v>
      </c>
      <c r="S30">
        <f>'Backlog ELV'!S30*1</f>
        <v>0</v>
      </c>
      <c r="T30">
        <f>'Backlog ELV'!T30*1</f>
        <v>0</v>
      </c>
      <c r="V30">
        <f>'Backlog ELV'!V30*1</f>
        <v>0</v>
      </c>
      <c r="W30">
        <f>'Backlog ELV'!W30*1</f>
        <v>0</v>
      </c>
      <c r="X30">
        <f>'Backlog ELV'!X30*1</f>
        <v>0</v>
      </c>
      <c r="Y30">
        <f>'Backlog ELV'!Y30*1</f>
        <v>0</v>
      </c>
      <c r="AA30">
        <f>'Backlog ELV'!AA30*1</f>
        <v>0</v>
      </c>
      <c r="AB30">
        <f>'Backlog ELV'!AB30*1</f>
        <v>1</v>
      </c>
      <c r="AC30">
        <f>'Backlog ELV'!AC30*1</f>
        <v>0</v>
      </c>
      <c r="AD30">
        <f>'Backlog ELV'!AD30*1</f>
        <v>0</v>
      </c>
      <c r="AF30">
        <f>'Backlog ELV'!AF30*1</f>
        <v>0</v>
      </c>
      <c r="AG30">
        <f>'Backlog ELV'!AG30*1</f>
        <v>8</v>
      </c>
      <c r="AH30">
        <f>'Backlog ELV'!AH30*1</f>
        <v>0</v>
      </c>
      <c r="AI30">
        <f>'Backlog ELV'!AI30*1</f>
        <v>0</v>
      </c>
      <c r="AK30">
        <f>'Backlog ELV'!AK30*1</f>
        <v>0</v>
      </c>
      <c r="AL30">
        <f>'Backlog ELV'!AL30*1</f>
        <v>0</v>
      </c>
      <c r="AM30">
        <f>'Backlog ELV'!AM30*1</f>
        <v>0</v>
      </c>
      <c r="AN30">
        <f>'Backlog ELV'!AN30*1</f>
        <v>0</v>
      </c>
      <c r="AP30">
        <f>'Backlog ELV'!AP30*1</f>
        <v>0</v>
      </c>
      <c r="AQ30">
        <f>'Backlog ELV'!AQ30*1</f>
        <v>0</v>
      </c>
      <c r="AR30">
        <f>'Backlog ELV'!AR30*1</f>
        <v>0</v>
      </c>
      <c r="AS30">
        <f>'Backlog ELV'!AS30*1</f>
        <v>0</v>
      </c>
      <c r="AU30">
        <f>'Backlog ELV'!AU30*1</f>
        <v>0</v>
      </c>
      <c r="AV30">
        <f>'Backlog ELV'!AV30*1</f>
        <v>0</v>
      </c>
      <c r="AW30">
        <f>'Backlog ELV'!AW30*1</f>
        <v>0</v>
      </c>
      <c r="AX30">
        <f>'Backlog ELV'!AX30*1</f>
        <v>0</v>
      </c>
      <c r="AY30">
        <f t="shared" si="1"/>
        <v>0.1</v>
      </c>
      <c r="AZ30">
        <f t="shared" si="1"/>
        <v>0.9</v>
      </c>
      <c r="BA30">
        <f t="shared" si="1"/>
        <v>0</v>
      </c>
      <c r="BB30">
        <f t="shared" si="1"/>
        <v>0</v>
      </c>
    </row>
    <row r="31" spans="1:54" x14ac:dyDescent="0.35">
      <c r="A31">
        <v>29</v>
      </c>
      <c r="B31">
        <f>'Backlog ELV'!B31*1</f>
        <v>0</v>
      </c>
      <c r="C31">
        <f>'Backlog ELV'!C31*1</f>
        <v>0</v>
      </c>
      <c r="D31">
        <f>'Backlog ELV'!D31*1</f>
        <v>0</v>
      </c>
      <c r="E31">
        <f>'Backlog ELV'!E31*1</f>
        <v>0</v>
      </c>
      <c r="G31">
        <f>'Backlog ELV'!G31*1</f>
        <v>0</v>
      </c>
      <c r="H31">
        <f>'Backlog ELV'!H31*1</f>
        <v>3</v>
      </c>
      <c r="I31">
        <f>'Backlog ELV'!I31*1</f>
        <v>0</v>
      </c>
      <c r="J31">
        <f>'Backlog ELV'!J31*1</f>
        <v>0</v>
      </c>
      <c r="L31">
        <f>'Backlog ELV'!L31*1</f>
        <v>0</v>
      </c>
      <c r="M31">
        <f>'Backlog ELV'!M31*1</f>
        <v>13</v>
      </c>
      <c r="N31">
        <f>'Backlog ELV'!N31*1</f>
        <v>0</v>
      </c>
      <c r="O31">
        <f>'Backlog ELV'!O31*1</f>
        <v>0</v>
      </c>
      <c r="Q31">
        <f>'Backlog ELV'!Q31*1</f>
        <v>0</v>
      </c>
      <c r="R31">
        <f>'Backlog ELV'!R31*1</f>
        <v>0</v>
      </c>
      <c r="S31">
        <f>'Backlog ELV'!S31*1</f>
        <v>0</v>
      </c>
      <c r="T31">
        <f>'Backlog ELV'!T31*1</f>
        <v>0</v>
      </c>
      <c r="V31">
        <f>'Backlog ELV'!V31*1</f>
        <v>0</v>
      </c>
      <c r="W31">
        <f>'Backlog ELV'!W31*1</f>
        <v>1</v>
      </c>
      <c r="X31">
        <f>'Backlog ELV'!X31*1</f>
        <v>0</v>
      </c>
      <c r="Y31">
        <f>'Backlog ELV'!Y31*1</f>
        <v>0</v>
      </c>
      <c r="AA31">
        <f>'Backlog ELV'!AA31*1</f>
        <v>0</v>
      </c>
      <c r="AB31">
        <f>'Backlog ELV'!AB31*1</f>
        <v>11</v>
      </c>
      <c r="AC31">
        <f>'Backlog ELV'!AC31*1</f>
        <v>0</v>
      </c>
      <c r="AD31">
        <f>'Backlog ELV'!AD31*1</f>
        <v>0</v>
      </c>
      <c r="AF31">
        <f>'Backlog ELV'!AF31*1</f>
        <v>0</v>
      </c>
      <c r="AG31">
        <f>'Backlog ELV'!AG31*1</f>
        <v>12</v>
      </c>
      <c r="AH31">
        <f>'Backlog ELV'!AH31*1</f>
        <v>0</v>
      </c>
      <c r="AI31">
        <f>'Backlog ELV'!AI31*1</f>
        <v>0</v>
      </c>
      <c r="AK31">
        <f>'Backlog ELV'!AK31*1</f>
        <v>0</v>
      </c>
      <c r="AL31">
        <f>'Backlog ELV'!AL31*1</f>
        <v>0</v>
      </c>
      <c r="AM31">
        <f>'Backlog ELV'!AM31*1</f>
        <v>0</v>
      </c>
      <c r="AN31">
        <f>'Backlog ELV'!AN31*1</f>
        <v>0</v>
      </c>
      <c r="AP31">
        <f>'Backlog ELV'!AP31*1</f>
        <v>0</v>
      </c>
      <c r="AQ31">
        <f>'Backlog ELV'!AQ31*1</f>
        <v>34</v>
      </c>
      <c r="AR31">
        <f>'Backlog ELV'!AR31*1</f>
        <v>0</v>
      </c>
      <c r="AS31">
        <f>'Backlog ELV'!AS31*1</f>
        <v>0</v>
      </c>
      <c r="AU31">
        <f>'Backlog ELV'!AU31*1</f>
        <v>0</v>
      </c>
      <c r="AV31">
        <f>'Backlog ELV'!AV31*1</f>
        <v>0</v>
      </c>
      <c r="AW31">
        <f>'Backlog ELV'!AW31*1</f>
        <v>0</v>
      </c>
      <c r="AX31">
        <f>'Backlog ELV'!AX31*1</f>
        <v>0</v>
      </c>
      <c r="AY31">
        <f t="shared" si="1"/>
        <v>0</v>
      </c>
      <c r="AZ31">
        <f t="shared" si="1"/>
        <v>7.4</v>
      </c>
      <c r="BA31">
        <f t="shared" si="1"/>
        <v>0</v>
      </c>
      <c r="BB31">
        <f t="shared" si="1"/>
        <v>0</v>
      </c>
    </row>
    <row r="32" spans="1:54" x14ac:dyDescent="0.35">
      <c r="A32">
        <v>30</v>
      </c>
      <c r="B32">
        <f>'Backlog ELV'!B32*1</f>
        <v>0</v>
      </c>
      <c r="C32">
        <f>'Backlog ELV'!C32*1</f>
        <v>1</v>
      </c>
      <c r="D32">
        <f>'Backlog ELV'!D32*1</f>
        <v>0</v>
      </c>
      <c r="E32">
        <f>'Backlog ELV'!E32*1</f>
        <v>0</v>
      </c>
      <c r="G32">
        <f>'Backlog ELV'!G32*1</f>
        <v>0</v>
      </c>
      <c r="H32">
        <f>'Backlog ELV'!H32*1</f>
        <v>18</v>
      </c>
      <c r="I32">
        <f>'Backlog ELV'!I32*1</f>
        <v>0</v>
      </c>
      <c r="J32">
        <f>'Backlog ELV'!J32*1</f>
        <v>0</v>
      </c>
      <c r="L32">
        <f>'Backlog ELV'!L32*1</f>
        <v>0</v>
      </c>
      <c r="M32">
        <f>'Backlog ELV'!M32*1</f>
        <v>0</v>
      </c>
      <c r="N32">
        <f>'Backlog ELV'!N32*1</f>
        <v>0</v>
      </c>
      <c r="O32">
        <f>'Backlog ELV'!O32*1</f>
        <v>0</v>
      </c>
      <c r="Q32">
        <f>'Backlog ELV'!Q32*1</f>
        <v>0</v>
      </c>
      <c r="R32">
        <f>'Backlog ELV'!R32*1</f>
        <v>0</v>
      </c>
      <c r="S32">
        <f>'Backlog ELV'!S32*1</f>
        <v>0</v>
      </c>
      <c r="T32">
        <f>'Backlog ELV'!T32*1</f>
        <v>0</v>
      </c>
      <c r="V32">
        <f>'Backlog ELV'!V32*1</f>
        <v>0</v>
      </c>
      <c r="W32">
        <f>'Backlog ELV'!W32*1</f>
        <v>0</v>
      </c>
      <c r="X32">
        <f>'Backlog ELV'!X32*1</f>
        <v>0</v>
      </c>
      <c r="Y32">
        <f>'Backlog ELV'!Y32*1</f>
        <v>0</v>
      </c>
      <c r="AA32">
        <f>'Backlog ELV'!AA32*1</f>
        <v>0</v>
      </c>
      <c r="AB32">
        <f>'Backlog ELV'!AB32*1</f>
        <v>0</v>
      </c>
      <c r="AC32">
        <f>'Backlog ELV'!AC32*1</f>
        <v>0</v>
      </c>
      <c r="AD32">
        <f>'Backlog ELV'!AD32*1</f>
        <v>0</v>
      </c>
      <c r="AF32">
        <f>'Backlog ELV'!AF32*1</f>
        <v>0</v>
      </c>
      <c r="AG32">
        <f>'Backlog ELV'!AG32*1</f>
        <v>0</v>
      </c>
      <c r="AH32">
        <f>'Backlog ELV'!AH32*1</f>
        <v>0</v>
      </c>
      <c r="AI32">
        <f>'Backlog ELV'!AI32*1</f>
        <v>0</v>
      </c>
      <c r="AK32">
        <f>'Backlog ELV'!AK32*1</f>
        <v>0</v>
      </c>
      <c r="AL32">
        <f>'Backlog ELV'!AL32*1</f>
        <v>0</v>
      </c>
      <c r="AM32">
        <f>'Backlog ELV'!AM32*1</f>
        <v>0</v>
      </c>
      <c r="AN32">
        <f>'Backlog ELV'!AN32*1</f>
        <v>0</v>
      </c>
      <c r="AP32">
        <f>'Backlog ELV'!AP32*1</f>
        <v>0</v>
      </c>
      <c r="AQ32">
        <f>'Backlog ELV'!AQ32*1</f>
        <v>0</v>
      </c>
      <c r="AR32">
        <f>'Backlog ELV'!AR32*1</f>
        <v>0</v>
      </c>
      <c r="AS32">
        <f>'Backlog ELV'!AS32*1</f>
        <v>0</v>
      </c>
      <c r="AU32">
        <f>'Backlog ELV'!AU32*1</f>
        <v>0</v>
      </c>
      <c r="AV32">
        <f>'Backlog ELV'!AV32*1</f>
        <v>0</v>
      </c>
      <c r="AW32">
        <f>'Backlog ELV'!AW32*1</f>
        <v>0</v>
      </c>
      <c r="AX32">
        <f>'Backlog ELV'!AX32*1</f>
        <v>0</v>
      </c>
      <c r="AY32">
        <f t="shared" si="1"/>
        <v>0</v>
      </c>
      <c r="AZ32">
        <f t="shared" si="1"/>
        <v>1.9</v>
      </c>
      <c r="BA32">
        <f t="shared" si="1"/>
        <v>0</v>
      </c>
      <c r="BB32">
        <f t="shared" si="1"/>
        <v>0</v>
      </c>
    </row>
    <row r="33" spans="1:56" x14ac:dyDescent="0.35">
      <c r="A33">
        <v>31</v>
      </c>
      <c r="B33">
        <f>'Backlog ELV'!B33*1</f>
        <v>0</v>
      </c>
      <c r="C33">
        <f>'Backlog ELV'!C33*1</f>
        <v>3</v>
      </c>
      <c r="D33">
        <f>'Backlog ELV'!D33*1</f>
        <v>0</v>
      </c>
      <c r="E33">
        <f>'Backlog ELV'!E33*1</f>
        <v>0</v>
      </c>
      <c r="G33">
        <f>'Backlog ELV'!G33*1</f>
        <v>0</v>
      </c>
      <c r="H33">
        <f>'Backlog ELV'!H33*1</f>
        <v>0</v>
      </c>
      <c r="I33">
        <f>'Backlog ELV'!I33*1</f>
        <v>0</v>
      </c>
      <c r="J33">
        <f>'Backlog ELV'!J33*1</f>
        <v>0</v>
      </c>
      <c r="L33">
        <f>'Backlog ELV'!L33*1</f>
        <v>0</v>
      </c>
      <c r="M33">
        <f>'Backlog ELV'!M33*1</f>
        <v>0</v>
      </c>
      <c r="N33">
        <f>'Backlog ELV'!N33*1</f>
        <v>0</v>
      </c>
      <c r="O33">
        <f>'Backlog ELV'!O33*1</f>
        <v>0</v>
      </c>
      <c r="Q33">
        <f>'Backlog ELV'!Q33*1</f>
        <v>0</v>
      </c>
      <c r="R33">
        <f>'Backlog ELV'!R33*1</f>
        <v>0</v>
      </c>
      <c r="S33">
        <f>'Backlog ELV'!S33*1</f>
        <v>0</v>
      </c>
      <c r="T33">
        <f>'Backlog ELV'!T33*1</f>
        <v>0</v>
      </c>
      <c r="V33">
        <f>'Backlog ELV'!V33*1</f>
        <v>0</v>
      </c>
      <c r="W33">
        <f>'Backlog ELV'!W33*1</f>
        <v>0</v>
      </c>
      <c r="X33">
        <f>'Backlog ELV'!X33*1</f>
        <v>0</v>
      </c>
      <c r="Y33">
        <f>'Backlog ELV'!Y33*1</f>
        <v>0</v>
      </c>
      <c r="AA33">
        <f>'Backlog ELV'!AA33*1</f>
        <v>0</v>
      </c>
      <c r="AB33">
        <f>'Backlog ELV'!AB33*1</f>
        <v>0</v>
      </c>
      <c r="AC33">
        <f>'Backlog ELV'!AC33*1</f>
        <v>0</v>
      </c>
      <c r="AD33">
        <f>'Backlog ELV'!AD33*1</f>
        <v>0</v>
      </c>
      <c r="AF33">
        <f>'Backlog ELV'!AF33*1</f>
        <v>0</v>
      </c>
      <c r="AG33">
        <f>'Backlog ELV'!AG33*1</f>
        <v>0</v>
      </c>
      <c r="AH33">
        <f>'Backlog ELV'!AH33*1</f>
        <v>0</v>
      </c>
      <c r="AI33">
        <f>'Backlog ELV'!AI33*1</f>
        <v>0</v>
      </c>
      <c r="AK33">
        <f>'Backlog ELV'!AK33*1</f>
        <v>0</v>
      </c>
      <c r="AL33">
        <f>'Backlog ELV'!AL33*1</f>
        <v>0</v>
      </c>
      <c r="AM33">
        <f>'Backlog ELV'!AM33*1</f>
        <v>0</v>
      </c>
      <c r="AN33">
        <f>'Backlog ELV'!AN33*1</f>
        <v>0</v>
      </c>
      <c r="AP33">
        <f>'Backlog ELV'!AP33*1</f>
        <v>0</v>
      </c>
      <c r="AQ33">
        <f>'Backlog ELV'!AQ33*1</f>
        <v>0</v>
      </c>
      <c r="AR33">
        <f>'Backlog ELV'!AR33*1</f>
        <v>0</v>
      </c>
      <c r="AS33">
        <f>'Backlog ELV'!AS33*1</f>
        <v>0</v>
      </c>
      <c r="AU33">
        <f>'Backlog ELV'!AU33*1</f>
        <v>0</v>
      </c>
      <c r="AV33">
        <f>'Backlog ELV'!AV33*1</f>
        <v>0</v>
      </c>
      <c r="AW33">
        <f>'Backlog ELV'!AW33*1</f>
        <v>0</v>
      </c>
      <c r="AX33">
        <f>'Backlog ELV'!AX33*1</f>
        <v>0</v>
      </c>
      <c r="AY33">
        <f t="shared" si="1"/>
        <v>0</v>
      </c>
      <c r="AZ33">
        <f t="shared" si="1"/>
        <v>0.3</v>
      </c>
      <c r="BA33">
        <f t="shared" si="1"/>
        <v>0</v>
      </c>
      <c r="BB33">
        <f t="shared" si="1"/>
        <v>0</v>
      </c>
    </row>
    <row r="34" spans="1:56" x14ac:dyDescent="0.35">
      <c r="A34">
        <v>32</v>
      </c>
      <c r="B34">
        <f>'Backlog ELV'!B34*1</f>
        <v>0</v>
      </c>
      <c r="C34">
        <f>'Backlog ELV'!C34*1</f>
        <v>0</v>
      </c>
      <c r="D34">
        <f>'Backlog ELV'!D34*1</f>
        <v>0</v>
      </c>
      <c r="E34">
        <f>'Backlog ELV'!E34*1</f>
        <v>0</v>
      </c>
      <c r="G34">
        <f>'Backlog ELV'!G34*1</f>
        <v>0</v>
      </c>
      <c r="H34">
        <f>'Backlog ELV'!H34*1</f>
        <v>0</v>
      </c>
      <c r="I34">
        <f>'Backlog ELV'!I34*1</f>
        <v>0</v>
      </c>
      <c r="J34">
        <f>'Backlog ELV'!J34*1</f>
        <v>0</v>
      </c>
      <c r="L34">
        <f>'Backlog ELV'!L34*1</f>
        <v>0</v>
      </c>
      <c r="M34">
        <f>'Backlog ELV'!M34*1</f>
        <v>0</v>
      </c>
      <c r="N34">
        <f>'Backlog ELV'!N34*1</f>
        <v>0</v>
      </c>
      <c r="O34">
        <f>'Backlog ELV'!O34*1</f>
        <v>0</v>
      </c>
      <c r="Q34">
        <f>'Backlog ELV'!Q34*1</f>
        <v>0</v>
      </c>
      <c r="R34">
        <f>'Backlog ELV'!R34*1</f>
        <v>0</v>
      </c>
      <c r="S34">
        <f>'Backlog ELV'!S34*1</f>
        <v>0</v>
      </c>
      <c r="T34">
        <f>'Backlog ELV'!T34*1</f>
        <v>0</v>
      </c>
      <c r="V34">
        <f>'Backlog ELV'!V34*1</f>
        <v>0</v>
      </c>
      <c r="W34">
        <f>'Backlog ELV'!W34*1</f>
        <v>0</v>
      </c>
      <c r="X34">
        <f>'Backlog ELV'!X34*1</f>
        <v>0</v>
      </c>
      <c r="Y34">
        <f>'Backlog ELV'!Y34*1</f>
        <v>0</v>
      </c>
      <c r="AA34">
        <f>'Backlog ELV'!AA34*1</f>
        <v>5</v>
      </c>
      <c r="AB34">
        <f>'Backlog ELV'!AB34*1</f>
        <v>0</v>
      </c>
      <c r="AC34">
        <f>'Backlog ELV'!AC34*1</f>
        <v>0</v>
      </c>
      <c r="AD34">
        <f>'Backlog ELV'!AD34*1</f>
        <v>0</v>
      </c>
      <c r="AF34">
        <f>'Backlog ELV'!AF34*1</f>
        <v>2</v>
      </c>
      <c r="AG34">
        <f>'Backlog ELV'!AG34*1</f>
        <v>0</v>
      </c>
      <c r="AH34">
        <f>'Backlog ELV'!AH34*1</f>
        <v>0</v>
      </c>
      <c r="AI34">
        <f>'Backlog ELV'!AI34*1</f>
        <v>0</v>
      </c>
      <c r="AK34">
        <f>'Backlog ELV'!AK34*1</f>
        <v>0</v>
      </c>
      <c r="AL34">
        <f>'Backlog ELV'!AL34*1</f>
        <v>0</v>
      </c>
      <c r="AM34">
        <f>'Backlog ELV'!AM34*1</f>
        <v>0</v>
      </c>
      <c r="AN34">
        <f>'Backlog ELV'!AN34*1</f>
        <v>0</v>
      </c>
      <c r="AP34">
        <f>'Backlog ELV'!AP34*1</f>
        <v>0</v>
      </c>
      <c r="AQ34">
        <f>'Backlog ELV'!AQ34*1</f>
        <v>20</v>
      </c>
      <c r="AR34">
        <f>'Backlog ELV'!AR34*1</f>
        <v>0</v>
      </c>
      <c r="AS34">
        <f>'Backlog ELV'!AS34*1</f>
        <v>0</v>
      </c>
      <c r="AU34">
        <f>'Backlog ELV'!AU34*1</f>
        <v>0</v>
      </c>
      <c r="AV34">
        <f>'Backlog ELV'!AV34*1</f>
        <v>0</v>
      </c>
      <c r="AW34">
        <f>'Backlog ELV'!AW34*1</f>
        <v>0</v>
      </c>
      <c r="AX34">
        <f>'Backlog ELV'!AX34*1</f>
        <v>0</v>
      </c>
      <c r="AY34">
        <f t="shared" si="1"/>
        <v>0.7</v>
      </c>
      <c r="AZ34">
        <f t="shared" si="1"/>
        <v>2</v>
      </c>
      <c r="BA34">
        <f t="shared" si="1"/>
        <v>0</v>
      </c>
      <c r="BB34">
        <f t="shared" si="1"/>
        <v>0</v>
      </c>
    </row>
    <row r="35" spans="1:56" x14ac:dyDescent="0.35">
      <c r="A35">
        <v>33</v>
      </c>
      <c r="B35">
        <f>'Backlog ELV'!B35*1</f>
        <v>0</v>
      </c>
      <c r="C35">
        <f>'Backlog ELV'!C35*1</f>
        <v>0</v>
      </c>
      <c r="D35">
        <f>'Backlog ELV'!D35*1</f>
        <v>0</v>
      </c>
      <c r="E35">
        <f>'Backlog ELV'!E35*1</f>
        <v>0</v>
      </c>
      <c r="G35">
        <f>'Backlog ELV'!G35*1</f>
        <v>0</v>
      </c>
      <c r="H35">
        <f>'Backlog ELV'!H35*1</f>
        <v>0</v>
      </c>
      <c r="I35">
        <f>'Backlog ELV'!I35*1</f>
        <v>0</v>
      </c>
      <c r="J35">
        <f>'Backlog ELV'!J35*1</f>
        <v>0</v>
      </c>
      <c r="L35">
        <f>'Backlog ELV'!L35*1</f>
        <v>0</v>
      </c>
      <c r="M35">
        <f>'Backlog ELV'!M35*1</f>
        <v>0</v>
      </c>
      <c r="N35">
        <f>'Backlog ELV'!N35*1</f>
        <v>0</v>
      </c>
      <c r="O35">
        <f>'Backlog ELV'!O35*1</f>
        <v>0</v>
      </c>
      <c r="Q35">
        <f>'Backlog ELV'!Q35*1</f>
        <v>0</v>
      </c>
      <c r="R35">
        <f>'Backlog ELV'!R35*1</f>
        <v>0</v>
      </c>
      <c r="S35">
        <f>'Backlog ELV'!S35*1</f>
        <v>0</v>
      </c>
      <c r="T35">
        <f>'Backlog ELV'!T35*1</f>
        <v>0</v>
      </c>
      <c r="V35">
        <f>'Backlog ELV'!V35*1</f>
        <v>0</v>
      </c>
      <c r="W35">
        <f>'Backlog ELV'!W35*1</f>
        <v>0</v>
      </c>
      <c r="X35">
        <f>'Backlog ELV'!X35*1</f>
        <v>0</v>
      </c>
      <c r="Y35">
        <f>'Backlog ELV'!Y35*1</f>
        <v>0</v>
      </c>
      <c r="AA35">
        <f>'Backlog ELV'!AA35*1</f>
        <v>0</v>
      </c>
      <c r="AB35">
        <f>'Backlog ELV'!AB35*1</f>
        <v>2</v>
      </c>
      <c r="AC35">
        <f>'Backlog ELV'!AC35*1</f>
        <v>0</v>
      </c>
      <c r="AD35">
        <f>'Backlog ELV'!AD35*1</f>
        <v>0</v>
      </c>
      <c r="AF35">
        <f>'Backlog ELV'!AF35*1</f>
        <v>0</v>
      </c>
      <c r="AG35">
        <f>'Backlog ELV'!AG35*1</f>
        <v>2</v>
      </c>
      <c r="AH35">
        <f>'Backlog ELV'!AH35*1</f>
        <v>0</v>
      </c>
      <c r="AI35">
        <f>'Backlog ELV'!AI35*1</f>
        <v>0</v>
      </c>
      <c r="AK35">
        <f>'Backlog ELV'!AK35*1</f>
        <v>0</v>
      </c>
      <c r="AL35">
        <f>'Backlog ELV'!AL35*1</f>
        <v>0</v>
      </c>
      <c r="AM35">
        <f>'Backlog ELV'!AM35*1</f>
        <v>0</v>
      </c>
      <c r="AN35">
        <f>'Backlog ELV'!AN35*1</f>
        <v>0</v>
      </c>
      <c r="AP35">
        <f>'Backlog ELV'!AP35*1</f>
        <v>0</v>
      </c>
      <c r="AQ35">
        <f>'Backlog ELV'!AQ35*1</f>
        <v>0</v>
      </c>
      <c r="AR35">
        <f>'Backlog ELV'!AR35*1</f>
        <v>0</v>
      </c>
      <c r="AS35">
        <f>'Backlog ELV'!AS35*1</f>
        <v>0</v>
      </c>
      <c r="AU35">
        <f>'Backlog ELV'!AU35*1</f>
        <v>0</v>
      </c>
      <c r="AV35">
        <f>'Backlog ELV'!AV35*1</f>
        <v>0</v>
      </c>
      <c r="AW35">
        <f>'Backlog ELV'!AW35*1</f>
        <v>0</v>
      </c>
      <c r="AX35">
        <f>'Backlog ELV'!AX35*1</f>
        <v>0</v>
      </c>
      <c r="AY35">
        <f t="shared" si="1"/>
        <v>0</v>
      </c>
      <c r="AZ35">
        <f t="shared" si="1"/>
        <v>0.4</v>
      </c>
      <c r="BA35">
        <f t="shared" si="1"/>
        <v>0</v>
      </c>
      <c r="BB35">
        <f t="shared" si="1"/>
        <v>0</v>
      </c>
    </row>
    <row r="36" spans="1:56" x14ac:dyDescent="0.35">
      <c r="A36">
        <v>34</v>
      </c>
      <c r="B36">
        <f>'Backlog ELV'!B36*1</f>
        <v>0</v>
      </c>
      <c r="C36">
        <f>'Backlog ELV'!C36*1</f>
        <v>0</v>
      </c>
      <c r="D36">
        <f>'Backlog ELV'!D36*1</f>
        <v>0</v>
      </c>
      <c r="E36">
        <f>'Backlog ELV'!E36*1</f>
        <v>0</v>
      </c>
      <c r="G36">
        <f>'Backlog ELV'!G36*1</f>
        <v>0</v>
      </c>
      <c r="H36">
        <f>'Backlog ELV'!H36*1</f>
        <v>0</v>
      </c>
      <c r="I36">
        <f>'Backlog ELV'!I36*1</f>
        <v>0</v>
      </c>
      <c r="J36">
        <f>'Backlog ELV'!J36*1</f>
        <v>0</v>
      </c>
      <c r="L36">
        <f>'Backlog ELV'!L36*1</f>
        <v>1</v>
      </c>
      <c r="M36">
        <f>'Backlog ELV'!M36*1</f>
        <v>0</v>
      </c>
      <c r="N36">
        <f>'Backlog ELV'!N36*1</f>
        <v>0</v>
      </c>
      <c r="O36">
        <f>'Backlog ELV'!O36*1</f>
        <v>0</v>
      </c>
      <c r="Q36">
        <f>'Backlog ELV'!Q36*1</f>
        <v>0</v>
      </c>
      <c r="R36">
        <f>'Backlog ELV'!R36*1</f>
        <v>3</v>
      </c>
      <c r="S36">
        <f>'Backlog ELV'!S36*1</f>
        <v>0</v>
      </c>
      <c r="T36">
        <f>'Backlog ELV'!T36*1</f>
        <v>0</v>
      </c>
      <c r="V36">
        <f>'Backlog ELV'!V36*1</f>
        <v>0</v>
      </c>
      <c r="W36">
        <f>'Backlog ELV'!W36*1</f>
        <v>4</v>
      </c>
      <c r="X36">
        <f>'Backlog ELV'!X36*1</f>
        <v>0</v>
      </c>
      <c r="Y36">
        <f>'Backlog ELV'!Y36*1</f>
        <v>0</v>
      </c>
      <c r="AA36">
        <f>'Backlog ELV'!AA36*1</f>
        <v>0</v>
      </c>
      <c r="AB36">
        <f>'Backlog ELV'!AB36*1</f>
        <v>10</v>
      </c>
      <c r="AC36">
        <f>'Backlog ELV'!AC36*1</f>
        <v>0</v>
      </c>
      <c r="AD36">
        <f>'Backlog ELV'!AD36*1</f>
        <v>0</v>
      </c>
      <c r="AF36">
        <f>'Backlog ELV'!AF36*1</f>
        <v>0</v>
      </c>
      <c r="AG36">
        <f>'Backlog ELV'!AG36*1</f>
        <v>10</v>
      </c>
      <c r="AH36">
        <f>'Backlog ELV'!AH36*1</f>
        <v>0</v>
      </c>
      <c r="AI36">
        <f>'Backlog ELV'!AI36*1</f>
        <v>0</v>
      </c>
      <c r="AK36">
        <f>'Backlog ELV'!AK36*1</f>
        <v>0</v>
      </c>
      <c r="AL36">
        <f>'Backlog ELV'!AL36*1</f>
        <v>0</v>
      </c>
      <c r="AM36">
        <f>'Backlog ELV'!AM36*1</f>
        <v>0</v>
      </c>
      <c r="AN36">
        <f>'Backlog ELV'!AN36*1</f>
        <v>0</v>
      </c>
      <c r="AP36">
        <f>'Backlog ELV'!AP36*1</f>
        <v>0</v>
      </c>
      <c r="AQ36">
        <f>'Backlog ELV'!AQ36*1</f>
        <v>0</v>
      </c>
      <c r="AR36">
        <f>'Backlog ELV'!AR36*1</f>
        <v>0</v>
      </c>
      <c r="AS36">
        <f>'Backlog ELV'!AS36*1</f>
        <v>0</v>
      </c>
      <c r="AU36">
        <f>'Backlog ELV'!AU36*1</f>
        <v>0</v>
      </c>
      <c r="AV36">
        <f>'Backlog ELV'!AV36*1</f>
        <v>0</v>
      </c>
      <c r="AW36">
        <f>'Backlog ELV'!AW36*1</f>
        <v>0</v>
      </c>
      <c r="AX36">
        <f>'Backlog ELV'!AX36*1</f>
        <v>0</v>
      </c>
      <c r="AY36">
        <f t="shared" si="1"/>
        <v>0.1</v>
      </c>
      <c r="AZ36">
        <f t="shared" si="1"/>
        <v>2.7</v>
      </c>
      <c r="BA36">
        <f t="shared" si="1"/>
        <v>0</v>
      </c>
      <c r="BB36">
        <f t="shared" si="1"/>
        <v>0</v>
      </c>
    </row>
    <row r="37" spans="1:56" x14ac:dyDescent="0.35">
      <c r="A37">
        <v>35</v>
      </c>
      <c r="B37">
        <f>'Backlog ELV'!B37*1</f>
        <v>0</v>
      </c>
      <c r="C37">
        <f>'Backlog ELV'!C37*1</f>
        <v>0</v>
      </c>
      <c r="D37">
        <f>'Backlog ELV'!D37*1</f>
        <v>0</v>
      </c>
      <c r="E37">
        <f>'Backlog ELV'!E37*1</f>
        <v>0</v>
      </c>
      <c r="G37">
        <f>'Backlog ELV'!G37*1</f>
        <v>0</v>
      </c>
      <c r="H37">
        <f>'Backlog ELV'!H37*1</f>
        <v>12</v>
      </c>
      <c r="I37">
        <f>'Backlog ELV'!I37*1</f>
        <v>0</v>
      </c>
      <c r="J37">
        <f>'Backlog ELV'!J37*1</f>
        <v>0</v>
      </c>
      <c r="L37">
        <f>'Backlog ELV'!L37*1</f>
        <v>0</v>
      </c>
      <c r="M37">
        <f>'Backlog ELV'!M37*1</f>
        <v>8</v>
      </c>
      <c r="N37">
        <f>'Backlog ELV'!N37*1</f>
        <v>0</v>
      </c>
      <c r="O37">
        <f>'Backlog ELV'!O37*1</f>
        <v>0</v>
      </c>
      <c r="Q37">
        <f>'Backlog ELV'!Q37*1</f>
        <v>0</v>
      </c>
      <c r="R37">
        <f>'Backlog ELV'!R37*1</f>
        <v>0</v>
      </c>
      <c r="S37">
        <f>'Backlog ELV'!S37*1</f>
        <v>0</v>
      </c>
      <c r="T37">
        <f>'Backlog ELV'!T37*1</f>
        <v>0</v>
      </c>
      <c r="V37">
        <f>'Backlog ELV'!V37*1</f>
        <v>0</v>
      </c>
      <c r="W37">
        <f>'Backlog ELV'!W37*1</f>
        <v>0</v>
      </c>
      <c r="X37">
        <f>'Backlog ELV'!X37*1</f>
        <v>0</v>
      </c>
      <c r="Y37">
        <f>'Backlog ELV'!Y37*1</f>
        <v>0</v>
      </c>
      <c r="AA37">
        <f>'Backlog ELV'!AA37*1</f>
        <v>0</v>
      </c>
      <c r="AB37">
        <f>'Backlog ELV'!AB37*1</f>
        <v>0</v>
      </c>
      <c r="AC37">
        <f>'Backlog ELV'!AC37*1</f>
        <v>0</v>
      </c>
      <c r="AD37">
        <f>'Backlog ELV'!AD37*1</f>
        <v>0</v>
      </c>
      <c r="AF37">
        <f>'Backlog ELV'!AF37*1</f>
        <v>0</v>
      </c>
      <c r="AG37">
        <f>'Backlog ELV'!AG37*1</f>
        <v>0</v>
      </c>
      <c r="AH37">
        <f>'Backlog ELV'!AH37*1</f>
        <v>0</v>
      </c>
      <c r="AI37">
        <f>'Backlog ELV'!AI37*1</f>
        <v>0</v>
      </c>
      <c r="AK37">
        <f>'Backlog ELV'!AK37*1</f>
        <v>0</v>
      </c>
      <c r="AL37">
        <f>'Backlog ELV'!AL37*1</f>
        <v>0</v>
      </c>
      <c r="AM37">
        <f>'Backlog ELV'!AM37*1</f>
        <v>0</v>
      </c>
      <c r="AN37">
        <f>'Backlog ELV'!AN37*1</f>
        <v>0</v>
      </c>
      <c r="AP37">
        <f>'Backlog ELV'!AP37*1</f>
        <v>0</v>
      </c>
      <c r="AQ37">
        <f>'Backlog ELV'!AQ37*1</f>
        <v>22</v>
      </c>
      <c r="AR37">
        <f>'Backlog ELV'!AR37*1</f>
        <v>0</v>
      </c>
      <c r="AS37">
        <f>'Backlog ELV'!AS37*1</f>
        <v>0</v>
      </c>
      <c r="AU37">
        <f>'Backlog ELV'!AU37*1</f>
        <v>0</v>
      </c>
      <c r="AV37">
        <f>'Backlog ELV'!AV37*1</f>
        <v>0</v>
      </c>
      <c r="AW37">
        <f>'Backlog ELV'!AW37*1</f>
        <v>0</v>
      </c>
      <c r="AX37">
        <f>'Backlog ELV'!AX37*1</f>
        <v>0</v>
      </c>
      <c r="AY37">
        <f t="shared" si="1"/>
        <v>0</v>
      </c>
      <c r="AZ37">
        <f t="shared" si="1"/>
        <v>4.2</v>
      </c>
      <c r="BA37">
        <f t="shared" si="1"/>
        <v>0</v>
      </c>
      <c r="BB37">
        <f t="shared" si="1"/>
        <v>0</v>
      </c>
    </row>
    <row r="38" spans="1:56" x14ac:dyDescent="0.35">
      <c r="A38">
        <v>36</v>
      </c>
      <c r="B38">
        <f>'Backlog ELV'!B38*1</f>
        <v>0</v>
      </c>
      <c r="C38">
        <f>'Backlog ELV'!C38*1</f>
        <v>3</v>
      </c>
      <c r="D38">
        <f>'Backlog ELV'!D38*1</f>
        <v>0</v>
      </c>
      <c r="E38">
        <f>'Backlog ELV'!E38*1</f>
        <v>0</v>
      </c>
      <c r="G38">
        <f>'Backlog ELV'!G38*1</f>
        <v>0</v>
      </c>
      <c r="H38">
        <f>'Backlog ELV'!H38*1</f>
        <v>3</v>
      </c>
      <c r="I38">
        <f>'Backlog ELV'!I38*1</f>
        <v>0</v>
      </c>
      <c r="J38">
        <f>'Backlog ELV'!J38*1</f>
        <v>0</v>
      </c>
      <c r="L38">
        <f>'Backlog ELV'!L38*1</f>
        <v>0</v>
      </c>
      <c r="M38">
        <f>'Backlog ELV'!M38*1</f>
        <v>19</v>
      </c>
      <c r="N38">
        <f>'Backlog ELV'!N38*1</f>
        <v>0</v>
      </c>
      <c r="O38">
        <f>'Backlog ELV'!O38*1</f>
        <v>0</v>
      </c>
      <c r="Q38">
        <f>'Backlog ELV'!Q38*1</f>
        <v>0</v>
      </c>
      <c r="R38">
        <f>'Backlog ELV'!R38*1</f>
        <v>0</v>
      </c>
      <c r="S38">
        <f>'Backlog ELV'!S38*1</f>
        <v>0</v>
      </c>
      <c r="T38">
        <f>'Backlog ELV'!T38*1</f>
        <v>0</v>
      </c>
      <c r="V38">
        <f>'Backlog ELV'!V38*1</f>
        <v>0</v>
      </c>
      <c r="W38">
        <f>'Backlog ELV'!W38*1</f>
        <v>0</v>
      </c>
      <c r="X38">
        <f>'Backlog ELV'!X38*1</f>
        <v>0</v>
      </c>
      <c r="Y38">
        <f>'Backlog ELV'!Y38*1</f>
        <v>0</v>
      </c>
      <c r="AA38">
        <f>'Backlog ELV'!AA38*1</f>
        <v>0</v>
      </c>
      <c r="AB38">
        <f>'Backlog ELV'!AB38*1</f>
        <v>0</v>
      </c>
      <c r="AC38">
        <f>'Backlog ELV'!AC38*1</f>
        <v>0</v>
      </c>
      <c r="AD38">
        <f>'Backlog ELV'!AD38*1</f>
        <v>0</v>
      </c>
      <c r="AF38">
        <f>'Backlog ELV'!AF38*1</f>
        <v>0</v>
      </c>
      <c r="AG38">
        <f>'Backlog ELV'!AG38*1</f>
        <v>0</v>
      </c>
      <c r="AH38">
        <f>'Backlog ELV'!AH38*1</f>
        <v>0</v>
      </c>
      <c r="AI38">
        <f>'Backlog ELV'!AI38*1</f>
        <v>0</v>
      </c>
      <c r="AK38">
        <f>'Backlog ELV'!AK38*1</f>
        <v>0</v>
      </c>
      <c r="AL38">
        <f>'Backlog ELV'!AL38*1</f>
        <v>0</v>
      </c>
      <c r="AM38">
        <f>'Backlog ELV'!AM38*1</f>
        <v>0</v>
      </c>
      <c r="AN38">
        <f>'Backlog ELV'!AN38*1</f>
        <v>0</v>
      </c>
      <c r="AP38">
        <f>'Backlog ELV'!AP38*1</f>
        <v>0</v>
      </c>
      <c r="AQ38">
        <f>'Backlog ELV'!AQ38*1</f>
        <v>0</v>
      </c>
      <c r="AR38">
        <f>'Backlog ELV'!AR38*1</f>
        <v>0</v>
      </c>
      <c r="AS38">
        <f>'Backlog ELV'!AS38*1</f>
        <v>0</v>
      </c>
      <c r="AU38">
        <f>'Backlog ELV'!AU38*1</f>
        <v>0</v>
      </c>
      <c r="AV38">
        <f>'Backlog ELV'!AV38*1</f>
        <v>14</v>
      </c>
      <c r="AW38">
        <f>'Backlog ELV'!AW38*1</f>
        <v>0</v>
      </c>
      <c r="AX38">
        <f>'Backlog ELV'!AX38*1</f>
        <v>0</v>
      </c>
      <c r="AY38">
        <f t="shared" si="1"/>
        <v>0</v>
      </c>
      <c r="AZ38">
        <f t="shared" si="1"/>
        <v>3.9</v>
      </c>
      <c r="BA38">
        <f t="shared" si="1"/>
        <v>0</v>
      </c>
      <c r="BB38">
        <f t="shared" si="1"/>
        <v>0</v>
      </c>
    </row>
    <row r="40" spans="1:56" x14ac:dyDescent="0.35">
      <c r="A40" t="s">
        <v>9</v>
      </c>
      <c r="B40">
        <f>SUM(B2:B38)</f>
        <v>6</v>
      </c>
      <c r="C40">
        <f t="shared" ref="C40:E40" si="3">SUM(C2:C38)</f>
        <v>42</v>
      </c>
      <c r="D40">
        <f t="shared" si="3"/>
        <v>0</v>
      </c>
      <c r="E40">
        <f t="shared" si="3"/>
        <v>0</v>
      </c>
      <c r="G40">
        <f>SUM(G2:G38)</f>
        <v>8</v>
      </c>
      <c r="H40">
        <f t="shared" ref="H40:J40" si="4">SUM(H2:H38)</f>
        <v>100</v>
      </c>
      <c r="I40">
        <f t="shared" si="4"/>
        <v>0</v>
      </c>
      <c r="J40">
        <f t="shared" si="4"/>
        <v>0</v>
      </c>
      <c r="L40">
        <f>SUM(L2:L38)</f>
        <v>3</v>
      </c>
      <c r="M40">
        <f t="shared" ref="M40:O40" si="5">SUM(M2:M38)</f>
        <v>96</v>
      </c>
      <c r="N40">
        <f t="shared" si="5"/>
        <v>0</v>
      </c>
      <c r="O40">
        <f t="shared" si="5"/>
        <v>0</v>
      </c>
      <c r="Q40">
        <f>SUM(Q2:Q38)</f>
        <v>11</v>
      </c>
      <c r="R40">
        <f t="shared" ref="R40:T40" si="6">SUM(R2:R38)</f>
        <v>30</v>
      </c>
      <c r="S40">
        <f t="shared" si="6"/>
        <v>0</v>
      </c>
      <c r="T40">
        <f t="shared" si="6"/>
        <v>0</v>
      </c>
      <c r="V40">
        <f>SUM(V2:V38)</f>
        <v>0</v>
      </c>
      <c r="W40">
        <f t="shared" ref="W40:Y40" si="7">SUM(W2:W38)</f>
        <v>5</v>
      </c>
      <c r="X40">
        <f t="shared" si="7"/>
        <v>0</v>
      </c>
      <c r="Y40">
        <f t="shared" si="7"/>
        <v>0</v>
      </c>
      <c r="AA40">
        <f>SUM(AA2:AA38)</f>
        <v>19</v>
      </c>
      <c r="AB40">
        <f t="shared" ref="AB40:AD40" si="8">SUM(AB2:AB38)</f>
        <v>56</v>
      </c>
      <c r="AC40">
        <f t="shared" si="8"/>
        <v>0</v>
      </c>
      <c r="AD40">
        <f t="shared" si="8"/>
        <v>0</v>
      </c>
      <c r="AF40">
        <f>SUM(AF2:AF38)</f>
        <v>17</v>
      </c>
      <c r="AG40">
        <f t="shared" ref="AG40:AI40" si="9">SUM(AG2:AG38)</f>
        <v>88</v>
      </c>
      <c r="AH40">
        <f t="shared" si="9"/>
        <v>0</v>
      </c>
      <c r="AI40">
        <f t="shared" si="9"/>
        <v>0</v>
      </c>
      <c r="AK40">
        <f>SUM(AK2:AK38)</f>
        <v>0</v>
      </c>
      <c r="AL40">
        <f t="shared" ref="AL40:AN40" si="10">SUM(AL2:AL38)</f>
        <v>0</v>
      </c>
      <c r="AM40">
        <f t="shared" si="10"/>
        <v>0</v>
      </c>
      <c r="AN40">
        <f t="shared" si="10"/>
        <v>0</v>
      </c>
      <c r="AP40">
        <f>SUM(AP2:AP38)</f>
        <v>4</v>
      </c>
      <c r="AQ40">
        <f t="shared" ref="AQ40:AS40" si="11">SUM(AQ2:AQ38)</f>
        <v>200</v>
      </c>
      <c r="AR40">
        <f t="shared" si="11"/>
        <v>0</v>
      </c>
      <c r="AS40">
        <f t="shared" si="11"/>
        <v>0</v>
      </c>
      <c r="AU40">
        <f>SUM(AU2:AU38)</f>
        <v>19</v>
      </c>
      <c r="AV40">
        <f t="shared" ref="AV40:AZ40" si="12">SUM(AV2:AV38)</f>
        <v>211</v>
      </c>
      <c r="AW40">
        <f t="shared" si="12"/>
        <v>0</v>
      </c>
      <c r="AX40">
        <f t="shared" si="12"/>
        <v>0</v>
      </c>
      <c r="AY40">
        <f t="shared" si="12"/>
        <v>8.6999999999999993</v>
      </c>
      <c r="AZ40">
        <f t="shared" si="12"/>
        <v>82.800000000000026</v>
      </c>
      <c r="BA40">
        <f>SUM(BA2:BA38)</f>
        <v>0</v>
      </c>
      <c r="BB40">
        <f t="shared" ref="BB40:BD40" si="13">SUM(BB2:BB38)</f>
        <v>0</v>
      </c>
      <c r="BC40">
        <f t="shared" si="13"/>
        <v>0</v>
      </c>
      <c r="BD40">
        <f t="shared" si="13"/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20D6-5E85-47E0-B39E-B37703F61FA4}">
  <dimension ref="A1:AD38"/>
  <sheetViews>
    <sheetView topLeftCell="R6" workbookViewId="0">
      <selection activeCell="AE6" sqref="AE6"/>
    </sheetView>
  </sheetViews>
  <sheetFormatPr defaultRowHeight="14.5" x14ac:dyDescent="0.35"/>
  <cols>
    <col min="2" max="2" width="13.54296875" customWidth="1"/>
    <col min="3" max="3" width="16.36328125" customWidth="1"/>
    <col min="4" max="4" width="16" customWidth="1"/>
    <col min="5" max="5" width="14.54296875" customWidth="1"/>
    <col min="7" max="7" width="14.08984375" customWidth="1"/>
    <col min="8" max="8" width="16.90625" customWidth="1"/>
    <col min="9" max="9" width="16.54296875" customWidth="1"/>
    <col min="10" max="10" width="15.08984375" customWidth="1"/>
    <col min="12" max="12" width="14.26953125" customWidth="1"/>
    <col min="13" max="13" width="17.08984375" customWidth="1"/>
    <col min="14" max="14" width="16.7265625" customWidth="1"/>
    <col min="15" max="15" width="15.26953125" customWidth="1"/>
    <col min="17" max="17" width="15.6328125" customWidth="1"/>
    <col min="18" max="18" width="18.453125" customWidth="1"/>
    <col min="19" max="19" width="18.08984375" customWidth="1"/>
    <col min="20" max="20" width="16.6328125" customWidth="1"/>
    <col min="22" max="22" width="16.1796875" customWidth="1"/>
    <col min="23" max="23" width="19" customWidth="1"/>
    <col min="24" max="24" width="18.6328125" customWidth="1"/>
    <col min="25" max="25" width="17.1796875" customWidth="1"/>
    <col min="27" max="27" width="15.1796875" customWidth="1"/>
    <col min="28" max="28" width="18" customWidth="1"/>
    <col min="29" max="29" width="17.6328125" customWidth="1"/>
    <col min="30" max="30" width="16.1796875" customWidth="1"/>
  </cols>
  <sheetData>
    <row r="1" spans="1:30" ht="15" thickBot="1" x14ac:dyDescent="0.4">
      <c r="A1" s="31" t="s">
        <v>19</v>
      </c>
      <c r="B1" s="32" t="s">
        <v>35</v>
      </c>
      <c r="C1" s="33" t="s">
        <v>36</v>
      </c>
      <c r="D1" s="33" t="s">
        <v>37</v>
      </c>
      <c r="E1" s="31" t="s">
        <v>46</v>
      </c>
      <c r="F1" s="34" t="s">
        <v>79</v>
      </c>
      <c r="G1" s="32" t="s">
        <v>38</v>
      </c>
      <c r="H1" s="33" t="s">
        <v>39</v>
      </c>
      <c r="I1" s="33" t="s">
        <v>40</v>
      </c>
      <c r="J1" s="31" t="s">
        <v>41</v>
      </c>
      <c r="K1" s="34" t="s">
        <v>80</v>
      </c>
      <c r="L1" s="32" t="s">
        <v>42</v>
      </c>
      <c r="M1" s="33" t="s">
        <v>43</v>
      </c>
      <c r="N1" s="33" t="s">
        <v>44</v>
      </c>
      <c r="O1" s="31" t="s">
        <v>45</v>
      </c>
      <c r="P1" s="34" t="s">
        <v>81</v>
      </c>
      <c r="Q1" s="32" t="s">
        <v>51</v>
      </c>
      <c r="R1" s="33" t="s">
        <v>52</v>
      </c>
      <c r="S1" s="33" t="s">
        <v>53</v>
      </c>
      <c r="T1" s="31" t="s">
        <v>54</v>
      </c>
      <c r="U1" s="34" t="s">
        <v>82</v>
      </c>
      <c r="V1" s="32" t="s">
        <v>55</v>
      </c>
      <c r="W1" s="33" t="s">
        <v>56</v>
      </c>
      <c r="X1" s="33" t="s">
        <v>57</v>
      </c>
      <c r="Y1" s="31" t="s">
        <v>58</v>
      </c>
      <c r="Z1" s="34" t="s">
        <v>78</v>
      </c>
      <c r="AA1" s="32" t="s">
        <v>59</v>
      </c>
      <c r="AB1" s="33" t="s">
        <v>60</v>
      </c>
      <c r="AC1" s="33" t="s">
        <v>61</v>
      </c>
      <c r="AD1" s="33" t="s">
        <v>62</v>
      </c>
    </row>
    <row r="2" spans="1:30" ht="15" thickBot="1" x14ac:dyDescent="0.4">
      <c r="A2" s="14">
        <v>0</v>
      </c>
      <c r="B2" s="21">
        <f>'Inventory CRP'!BC2</f>
        <v>12</v>
      </c>
      <c r="C2" s="22">
        <f>'Inventory CRP'!BD2</f>
        <v>12</v>
      </c>
      <c r="D2" s="22">
        <f>'Inventory CRP'!BA2</f>
        <v>12</v>
      </c>
      <c r="E2" s="23">
        <f>'Inventory CRP'!BB2</f>
        <v>12</v>
      </c>
      <c r="F2" s="16">
        <v>0</v>
      </c>
      <c r="G2" s="21">
        <f>'Backlog CRP'!BC2</f>
        <v>0</v>
      </c>
      <c r="H2" s="22">
        <f>'Backlog CRP'!BD2</f>
        <v>0</v>
      </c>
      <c r="I2" s="22">
        <f>'Backlog CRP'!BA2</f>
        <v>0</v>
      </c>
      <c r="J2" s="23">
        <f>'Backlog CRP'!BB2</f>
        <v>0</v>
      </c>
      <c r="K2" s="16">
        <v>0</v>
      </c>
      <c r="L2" s="21">
        <f>'Orders CRP'!BB2</f>
        <v>0</v>
      </c>
      <c r="M2" s="22">
        <f>'Orders CRP'!BC2</f>
        <v>0</v>
      </c>
      <c r="N2" s="22">
        <f>'Orders CRP'!AZ2</f>
        <v>0</v>
      </c>
      <c r="O2" s="22">
        <f>'Orders CRP'!BA2</f>
        <v>0</v>
      </c>
      <c r="P2" s="16">
        <v>0</v>
      </c>
      <c r="Q2" s="27">
        <f>ROUND('IHC CRP'!BB2,2)</f>
        <v>0</v>
      </c>
      <c r="R2" s="28">
        <f>ROUND('IHC CRP'!BC2,2)</f>
        <v>0</v>
      </c>
      <c r="S2" s="28">
        <f>ROUND('IHC CRP'!AZ2,2)</f>
        <v>0</v>
      </c>
      <c r="T2" s="29">
        <f>ROUND('IHC CRP'!BA2,2)</f>
        <v>0</v>
      </c>
      <c r="U2" s="16">
        <v>0</v>
      </c>
      <c r="V2" s="11">
        <f>ROUND('UBC CRP'!BB2,2)</f>
        <v>0</v>
      </c>
      <c r="W2" s="11">
        <f>ROUND('UBC CRP'!BC2,2)</f>
        <v>0</v>
      </c>
      <c r="X2" s="11">
        <f>ROUND('UBC CRP'!AZ2,2)</f>
        <v>0</v>
      </c>
      <c r="Y2" s="11">
        <f>ROUND('UBC CRP'!BA2,2)</f>
        <v>0</v>
      </c>
      <c r="Z2" s="16">
        <v>0</v>
      </c>
      <c r="AA2" s="6">
        <f>Q2+V2</f>
        <v>0</v>
      </c>
      <c r="AB2" s="7">
        <f>R2+W2</f>
        <v>0</v>
      </c>
      <c r="AC2" s="7">
        <f>S2+X2</f>
        <v>0</v>
      </c>
      <c r="AD2" s="7">
        <f>T2+Y2</f>
        <v>0</v>
      </c>
    </row>
    <row r="3" spans="1:30" ht="15" thickBot="1" x14ac:dyDescent="0.4">
      <c r="A3" s="14">
        <v>1</v>
      </c>
      <c r="B3" s="21">
        <f>'Inventory CRP'!BC3</f>
        <v>12</v>
      </c>
      <c r="C3" s="22">
        <f>'Inventory CRP'!BD3</f>
        <v>12</v>
      </c>
      <c r="D3" s="22">
        <f>'Inventory CRP'!BA3</f>
        <v>12</v>
      </c>
      <c r="E3" s="23">
        <f>'Inventory CRP'!BB3</f>
        <v>12</v>
      </c>
      <c r="F3" s="16">
        <v>1</v>
      </c>
      <c r="G3" s="21">
        <f>'Backlog CRP'!BC3</f>
        <v>0</v>
      </c>
      <c r="H3" s="22">
        <f>'Backlog CRP'!BD3</f>
        <v>0</v>
      </c>
      <c r="I3" s="22">
        <f>'Backlog CRP'!BA3</f>
        <v>0</v>
      </c>
      <c r="J3" s="23">
        <f>'Backlog CRP'!BB3</f>
        <v>0</v>
      </c>
      <c r="K3" s="16">
        <v>1</v>
      </c>
      <c r="L3" s="21">
        <f>'Orders CRP'!BB3</f>
        <v>4</v>
      </c>
      <c r="M3" s="22">
        <f>'Orders CRP'!BC3</f>
        <v>4</v>
      </c>
      <c r="N3" s="22">
        <f>'Orders CRP'!AZ3</f>
        <v>4</v>
      </c>
      <c r="O3" s="22">
        <f>'Orders CRP'!BA3</f>
        <v>4</v>
      </c>
      <c r="P3" s="16">
        <v>1</v>
      </c>
      <c r="Q3" s="27">
        <f>ROUND('IHC CRP'!BB3,2)</f>
        <v>6</v>
      </c>
      <c r="R3" s="28">
        <f>ROUND('IHC CRP'!BC3,2)</f>
        <v>6</v>
      </c>
      <c r="S3" s="28">
        <f>ROUND('IHC CRP'!AZ3,2)</f>
        <v>6</v>
      </c>
      <c r="T3" s="29">
        <f>ROUND('IHC CRP'!BA3,2)</f>
        <v>6</v>
      </c>
      <c r="U3" s="16">
        <v>1</v>
      </c>
      <c r="V3" s="11">
        <f>ROUND('UBC CRP'!BB3,2)</f>
        <v>0</v>
      </c>
      <c r="W3" s="11">
        <f>ROUND('UBC CRP'!BC3,2)</f>
        <v>0</v>
      </c>
      <c r="X3" s="11">
        <f>ROUND('UBC CRP'!AZ3,2)</f>
        <v>0</v>
      </c>
      <c r="Y3" s="11">
        <f>ROUND('UBC CRP'!BA3,2)</f>
        <v>0</v>
      </c>
      <c r="Z3" s="16">
        <v>1</v>
      </c>
      <c r="AA3" s="6">
        <f>Q3+V3+AA2</f>
        <v>6</v>
      </c>
      <c r="AB3" s="7">
        <f t="shared" ref="AB3:AB38" si="0">R3+W3+AB2</f>
        <v>6</v>
      </c>
      <c r="AC3" s="7">
        <f t="shared" ref="AC3:AC38" si="1">S3+X3+AC2</f>
        <v>6</v>
      </c>
      <c r="AD3" s="7">
        <f t="shared" ref="AD3:AD38" si="2">T3+Y3+AD2</f>
        <v>6</v>
      </c>
    </row>
    <row r="4" spans="1:30" ht="15" thickBot="1" x14ac:dyDescent="0.4">
      <c r="A4" s="14">
        <v>2</v>
      </c>
      <c r="B4" s="21">
        <f>'Inventory CRP'!BC4</f>
        <v>17.600000000000001</v>
      </c>
      <c r="C4" s="22">
        <f>'Inventory CRP'!BD4</f>
        <v>10.8</v>
      </c>
      <c r="D4" s="22">
        <f>'Inventory CRP'!BA4</f>
        <v>12.8</v>
      </c>
      <c r="E4" s="23">
        <f>'Inventory CRP'!BB4</f>
        <v>18.399999999999999</v>
      </c>
      <c r="F4" s="16">
        <v>2</v>
      </c>
      <c r="G4" s="21">
        <f>'Backlog CRP'!BC4</f>
        <v>0</v>
      </c>
      <c r="H4" s="22">
        <f>'Backlog CRP'!BD4</f>
        <v>0</v>
      </c>
      <c r="I4" s="22">
        <f>'Backlog CRP'!BA4</f>
        <v>0</v>
      </c>
      <c r="J4" s="23">
        <f>'Backlog CRP'!BB4</f>
        <v>0</v>
      </c>
      <c r="K4" s="16">
        <v>2</v>
      </c>
      <c r="L4" s="21">
        <f>'Orders CRP'!BB4</f>
        <v>4</v>
      </c>
      <c r="M4" s="22">
        <f>'Orders CRP'!BC4</f>
        <v>4</v>
      </c>
      <c r="N4" s="22">
        <f>'Orders CRP'!AZ4</f>
        <v>4</v>
      </c>
      <c r="O4" s="22">
        <f>'Orders CRP'!BA4</f>
        <v>4</v>
      </c>
      <c r="P4" s="16">
        <v>2</v>
      </c>
      <c r="Q4" s="27">
        <f>ROUND('IHC CRP'!BB4,2)</f>
        <v>8.8000000000000007</v>
      </c>
      <c r="R4" s="28">
        <f>ROUND('IHC CRP'!BC4,2)</f>
        <v>5.4</v>
      </c>
      <c r="S4" s="28">
        <f>ROUND('IHC CRP'!AZ4,2)</f>
        <v>6.4</v>
      </c>
      <c r="T4" s="29">
        <f>ROUND('IHC CRP'!BA4,2)</f>
        <v>9.1999999999999993</v>
      </c>
      <c r="U4" s="16">
        <v>2</v>
      </c>
      <c r="V4" s="11">
        <f>ROUND('UBC CRP'!BB4,2)</f>
        <v>0</v>
      </c>
      <c r="W4" s="11">
        <f>ROUND('UBC CRP'!BC4,2)</f>
        <v>0</v>
      </c>
      <c r="X4" s="11">
        <f>ROUND('UBC CRP'!AZ4,2)</f>
        <v>0</v>
      </c>
      <c r="Y4" s="11">
        <f>ROUND('UBC CRP'!BA4,2)</f>
        <v>0</v>
      </c>
      <c r="Z4" s="16">
        <v>2</v>
      </c>
      <c r="AA4" s="6">
        <f>Q4+V4+AA3</f>
        <v>14.8</v>
      </c>
      <c r="AB4" s="7">
        <f t="shared" si="0"/>
        <v>11.4</v>
      </c>
      <c r="AC4" s="7">
        <f t="shared" si="1"/>
        <v>12.4</v>
      </c>
      <c r="AD4" s="7">
        <f t="shared" si="2"/>
        <v>15.2</v>
      </c>
    </row>
    <row r="5" spans="1:30" ht="15" thickBot="1" x14ac:dyDescent="0.4">
      <c r="A5" s="14">
        <v>3</v>
      </c>
      <c r="B5" s="21">
        <f>'Inventory CRP'!BC5</f>
        <v>13.6</v>
      </c>
      <c r="C5" s="22">
        <f>'Inventory CRP'!BD5</f>
        <v>11.2</v>
      </c>
      <c r="D5" s="22">
        <f>'Inventory CRP'!BA5</f>
        <v>12</v>
      </c>
      <c r="E5" s="23">
        <f>'Inventory CRP'!BB5</f>
        <v>14.4</v>
      </c>
      <c r="F5" s="16">
        <v>3</v>
      </c>
      <c r="G5" s="21">
        <f>'Backlog CRP'!BC5</f>
        <v>0</v>
      </c>
      <c r="H5" s="22">
        <f>'Backlog CRP'!BD5</f>
        <v>0</v>
      </c>
      <c r="I5" s="22">
        <f>'Backlog CRP'!BA5</f>
        <v>0</v>
      </c>
      <c r="J5" s="23">
        <f>'Backlog CRP'!BB5</f>
        <v>0</v>
      </c>
      <c r="K5" s="16">
        <v>3</v>
      </c>
      <c r="L5" s="21">
        <f>'Orders CRP'!BB5</f>
        <v>4</v>
      </c>
      <c r="M5" s="22">
        <f>'Orders CRP'!BC5</f>
        <v>4</v>
      </c>
      <c r="N5" s="22">
        <f>'Orders CRP'!AZ5</f>
        <v>4</v>
      </c>
      <c r="O5" s="22">
        <f>'Orders CRP'!BA5</f>
        <v>4</v>
      </c>
      <c r="P5" s="16">
        <v>3</v>
      </c>
      <c r="Q5" s="27">
        <f>ROUND('IHC CRP'!BB5,2)</f>
        <v>6.8</v>
      </c>
      <c r="R5" s="28">
        <f>ROUND('IHC CRP'!BC5,2)</f>
        <v>5.6</v>
      </c>
      <c r="S5" s="28">
        <f>ROUND('IHC CRP'!AZ5,2)</f>
        <v>6</v>
      </c>
      <c r="T5" s="29">
        <f>ROUND('IHC CRP'!BA5,2)</f>
        <v>7.2</v>
      </c>
      <c r="U5" s="16">
        <v>3</v>
      </c>
      <c r="V5" s="11">
        <f>ROUND('UBC CRP'!BB5,2)</f>
        <v>0</v>
      </c>
      <c r="W5" s="11">
        <f>ROUND('UBC CRP'!BC5,2)</f>
        <v>0</v>
      </c>
      <c r="X5" s="11">
        <f>ROUND('UBC CRP'!AZ5,2)</f>
        <v>0</v>
      </c>
      <c r="Y5" s="11">
        <f>ROUND('UBC CRP'!BA5,2)</f>
        <v>0</v>
      </c>
      <c r="Z5" s="16">
        <v>3</v>
      </c>
      <c r="AA5" s="6">
        <f t="shared" ref="AA5:AA38" si="3">Q5+V5+AA4</f>
        <v>21.6</v>
      </c>
      <c r="AB5" s="7">
        <f t="shared" si="0"/>
        <v>17</v>
      </c>
      <c r="AC5" s="7">
        <f t="shared" si="1"/>
        <v>18.399999999999999</v>
      </c>
      <c r="AD5" s="7">
        <f t="shared" si="2"/>
        <v>22.4</v>
      </c>
    </row>
    <row r="6" spans="1:30" ht="15" thickBot="1" x14ac:dyDescent="0.4">
      <c r="A6" s="14">
        <v>4</v>
      </c>
      <c r="B6" s="21">
        <f>'Inventory CRP'!BC6</f>
        <v>12</v>
      </c>
      <c r="C6" s="22">
        <f>'Inventory CRP'!BD6</f>
        <v>10.8</v>
      </c>
      <c r="D6" s="22">
        <f>'Inventory CRP'!BA6</f>
        <v>8.8000000000000007</v>
      </c>
      <c r="E6" s="23">
        <f>'Inventory CRP'!BB6</f>
        <v>12.8</v>
      </c>
      <c r="F6" s="16">
        <v>4</v>
      </c>
      <c r="G6" s="21">
        <f>'Backlog CRP'!BC6</f>
        <v>0</v>
      </c>
      <c r="H6" s="22">
        <f>'Backlog CRP'!BD6</f>
        <v>0</v>
      </c>
      <c r="I6" s="22">
        <f>'Backlog CRP'!BA6</f>
        <v>0</v>
      </c>
      <c r="J6" s="23">
        <f>'Backlog CRP'!BB6</f>
        <v>0</v>
      </c>
      <c r="K6" s="16">
        <v>4</v>
      </c>
      <c r="L6" s="21">
        <f>'Orders CRP'!BB6</f>
        <v>4</v>
      </c>
      <c r="M6" s="22">
        <f>'Orders CRP'!BC6</f>
        <v>4</v>
      </c>
      <c r="N6" s="22">
        <f>'Orders CRP'!AZ6</f>
        <v>4</v>
      </c>
      <c r="O6" s="22">
        <f>'Orders CRP'!BA6</f>
        <v>4</v>
      </c>
      <c r="P6" s="16">
        <v>4</v>
      </c>
      <c r="Q6" s="27">
        <f>ROUND('IHC CRP'!BB6,2)</f>
        <v>6</v>
      </c>
      <c r="R6" s="28">
        <f>ROUND('IHC CRP'!BC6,2)</f>
        <v>5.4</v>
      </c>
      <c r="S6" s="28">
        <f>ROUND('IHC CRP'!AZ6,2)</f>
        <v>4.4000000000000004</v>
      </c>
      <c r="T6" s="29">
        <f>ROUND('IHC CRP'!BA6,2)</f>
        <v>6.4</v>
      </c>
      <c r="U6" s="16">
        <v>4</v>
      </c>
      <c r="V6" s="11">
        <f>ROUND('UBC CRP'!BB6,2)</f>
        <v>0</v>
      </c>
      <c r="W6" s="11">
        <f>ROUND('UBC CRP'!BC6,2)</f>
        <v>0</v>
      </c>
      <c r="X6" s="11">
        <f>ROUND('UBC CRP'!AZ6,2)</f>
        <v>0</v>
      </c>
      <c r="Y6" s="11">
        <f>ROUND('UBC CRP'!BA6,2)</f>
        <v>0</v>
      </c>
      <c r="Z6" s="16">
        <v>4</v>
      </c>
      <c r="AA6" s="6">
        <f t="shared" si="3"/>
        <v>27.6</v>
      </c>
      <c r="AB6" s="7">
        <f t="shared" si="0"/>
        <v>22.4</v>
      </c>
      <c r="AC6" s="7">
        <f t="shared" si="1"/>
        <v>22.799999999999997</v>
      </c>
      <c r="AD6" s="7">
        <f t="shared" si="2"/>
        <v>28.799999999999997</v>
      </c>
    </row>
    <row r="7" spans="1:30" ht="15" thickBot="1" x14ac:dyDescent="0.4">
      <c r="A7" s="14">
        <v>5</v>
      </c>
      <c r="B7" s="21">
        <f>'Inventory CRP'!BC7</f>
        <v>8</v>
      </c>
      <c r="C7" s="22">
        <f>'Inventory CRP'!BD7</f>
        <v>11.6</v>
      </c>
      <c r="D7" s="22">
        <f>'Inventory CRP'!BA7</f>
        <v>10.8</v>
      </c>
      <c r="E7" s="23">
        <f>'Inventory CRP'!BB7</f>
        <v>12.8</v>
      </c>
      <c r="F7" s="16">
        <v>5</v>
      </c>
      <c r="G7" s="21">
        <f>'Backlog CRP'!BC7</f>
        <v>0</v>
      </c>
      <c r="H7" s="22">
        <f>'Backlog CRP'!BD7</f>
        <v>0</v>
      </c>
      <c r="I7" s="22">
        <f>'Backlog CRP'!BA7</f>
        <v>0</v>
      </c>
      <c r="J7" s="23">
        <f>'Backlog CRP'!BB7</f>
        <v>0</v>
      </c>
      <c r="K7" s="16">
        <v>5</v>
      </c>
      <c r="L7" s="21">
        <f>'Orders CRP'!BB7</f>
        <v>4</v>
      </c>
      <c r="M7" s="22">
        <f>'Orders CRP'!BC7</f>
        <v>4</v>
      </c>
      <c r="N7" s="22">
        <f>'Orders CRP'!AZ7</f>
        <v>8</v>
      </c>
      <c r="O7" s="22">
        <f>'Orders CRP'!BA7</f>
        <v>4</v>
      </c>
      <c r="P7" s="16">
        <v>5</v>
      </c>
      <c r="Q7" s="27">
        <f>ROUND('IHC CRP'!BB7,2)</f>
        <v>4</v>
      </c>
      <c r="R7" s="28">
        <f>ROUND('IHC CRP'!BC7,2)</f>
        <v>5.8</v>
      </c>
      <c r="S7" s="28">
        <f>ROUND('IHC CRP'!AZ7,2)</f>
        <v>5.4</v>
      </c>
      <c r="T7" s="29">
        <f>ROUND('IHC CRP'!BA7,2)</f>
        <v>6.4</v>
      </c>
      <c r="U7" s="16">
        <v>5</v>
      </c>
      <c r="V7" s="11">
        <f>ROUND('UBC CRP'!BB7,2)</f>
        <v>0</v>
      </c>
      <c r="W7" s="11">
        <f>ROUND('UBC CRP'!BC7,2)</f>
        <v>0</v>
      </c>
      <c r="X7" s="11">
        <f>ROUND('UBC CRP'!AZ7,2)</f>
        <v>0</v>
      </c>
      <c r="Y7" s="11">
        <f>ROUND('UBC CRP'!BA7,2)</f>
        <v>0</v>
      </c>
      <c r="Z7" s="16">
        <v>5</v>
      </c>
      <c r="AA7" s="6">
        <f t="shared" si="3"/>
        <v>31.6</v>
      </c>
      <c r="AB7" s="7">
        <f t="shared" si="0"/>
        <v>28.2</v>
      </c>
      <c r="AC7" s="7">
        <f t="shared" si="1"/>
        <v>28.199999999999996</v>
      </c>
      <c r="AD7" s="7">
        <f t="shared" si="2"/>
        <v>35.199999999999996</v>
      </c>
    </row>
    <row r="8" spans="1:30" ht="15" thickBot="1" x14ac:dyDescent="0.4">
      <c r="A8" s="14">
        <v>6</v>
      </c>
      <c r="B8" s="21">
        <f>'Inventory CRP'!BC8</f>
        <v>8</v>
      </c>
      <c r="C8" s="22">
        <f>'Inventory CRP'!BD8</f>
        <v>11.2</v>
      </c>
      <c r="D8" s="22">
        <f>'Inventory CRP'!BA8</f>
        <v>11.6</v>
      </c>
      <c r="E8" s="23">
        <f>'Inventory CRP'!BB8</f>
        <v>12</v>
      </c>
      <c r="F8" s="16">
        <v>6</v>
      </c>
      <c r="G8" s="21">
        <f>'Backlog CRP'!BC8</f>
        <v>0</v>
      </c>
      <c r="H8" s="22">
        <f>'Backlog CRP'!BD8</f>
        <v>0</v>
      </c>
      <c r="I8" s="22">
        <f>'Backlog CRP'!BA8</f>
        <v>0</v>
      </c>
      <c r="J8" s="23">
        <f>'Backlog CRP'!BB8</f>
        <v>0</v>
      </c>
      <c r="K8" s="16">
        <v>6</v>
      </c>
      <c r="L8" s="21">
        <f>'Orders CRP'!BB8</f>
        <v>7.1</v>
      </c>
      <c r="M8" s="22">
        <f>'Orders CRP'!BC8</f>
        <v>0</v>
      </c>
      <c r="N8" s="22">
        <f>'Orders CRP'!AZ8</f>
        <v>8</v>
      </c>
      <c r="O8" s="22">
        <f>'Orders CRP'!BA8</f>
        <v>0.6</v>
      </c>
      <c r="P8" s="16">
        <v>6</v>
      </c>
      <c r="Q8" s="27">
        <f>ROUND('IHC CRP'!BB8,2)</f>
        <v>4</v>
      </c>
      <c r="R8" s="28">
        <f>ROUND('IHC CRP'!BC8,2)</f>
        <v>5.6</v>
      </c>
      <c r="S8" s="28">
        <f>ROUND('IHC CRP'!AZ8,2)</f>
        <v>5.8</v>
      </c>
      <c r="T8" s="29">
        <f>ROUND('IHC CRP'!BA8,2)</f>
        <v>6</v>
      </c>
      <c r="U8" s="16">
        <v>6</v>
      </c>
      <c r="V8" s="11">
        <f>ROUND('UBC CRP'!BB8,2)</f>
        <v>0</v>
      </c>
      <c r="W8" s="11">
        <f>ROUND('UBC CRP'!BC8,2)</f>
        <v>0</v>
      </c>
      <c r="X8" s="11">
        <f>ROUND('UBC CRP'!AZ8,2)</f>
        <v>0</v>
      </c>
      <c r="Y8" s="11">
        <f>ROUND('UBC CRP'!BA8,2)</f>
        <v>0</v>
      </c>
      <c r="Z8" s="16">
        <v>6</v>
      </c>
      <c r="AA8" s="6">
        <f t="shared" si="3"/>
        <v>35.6</v>
      </c>
      <c r="AB8" s="7">
        <f t="shared" si="0"/>
        <v>33.799999999999997</v>
      </c>
      <c r="AC8" s="7">
        <f t="shared" si="1"/>
        <v>33.999999999999993</v>
      </c>
      <c r="AD8" s="7">
        <f t="shared" si="2"/>
        <v>41.199999999999996</v>
      </c>
    </row>
    <row r="9" spans="1:30" ht="15" thickBot="1" x14ac:dyDescent="0.4">
      <c r="A9" s="14">
        <v>7</v>
      </c>
      <c r="B9" s="21">
        <f>'Inventory CRP'!BC9</f>
        <v>8</v>
      </c>
      <c r="C9" s="22">
        <f>'Inventory CRP'!BD9</f>
        <v>8.6999999999999993</v>
      </c>
      <c r="D9" s="22">
        <f>'Inventory CRP'!BA9</f>
        <v>15.6</v>
      </c>
      <c r="E9" s="23">
        <f>'Inventory CRP'!BB9</f>
        <v>15.4</v>
      </c>
      <c r="F9" s="16">
        <v>7</v>
      </c>
      <c r="G9" s="21">
        <f>'Backlog CRP'!BC9</f>
        <v>0</v>
      </c>
      <c r="H9" s="22">
        <f>'Backlog CRP'!BD9</f>
        <v>0</v>
      </c>
      <c r="I9" s="22">
        <f>'Backlog CRP'!BA9</f>
        <v>0</v>
      </c>
      <c r="J9" s="23">
        <f>'Backlog CRP'!BB9</f>
        <v>0</v>
      </c>
      <c r="K9" s="16">
        <v>7</v>
      </c>
      <c r="L9" s="21">
        <f>'Orders CRP'!BB9</f>
        <v>9.1999999999999993</v>
      </c>
      <c r="M9" s="22">
        <f>'Orders CRP'!BC9</f>
        <v>0.1</v>
      </c>
      <c r="N9" s="22">
        <f>'Orders CRP'!AZ9</f>
        <v>8</v>
      </c>
      <c r="O9" s="22">
        <f>'Orders CRP'!BA9</f>
        <v>0.3</v>
      </c>
      <c r="P9" s="16">
        <v>7</v>
      </c>
      <c r="Q9" s="27">
        <f>ROUND('IHC CRP'!BB9,2)</f>
        <v>4</v>
      </c>
      <c r="R9" s="28">
        <f>ROUND('IHC CRP'!BC9,2)</f>
        <v>4.3499999999999996</v>
      </c>
      <c r="S9" s="28">
        <f>ROUND('IHC CRP'!AZ9,2)</f>
        <v>7.8</v>
      </c>
      <c r="T9" s="29">
        <f>ROUND('IHC CRP'!BA9,2)</f>
        <v>7.7</v>
      </c>
      <c r="U9" s="16">
        <v>7</v>
      </c>
      <c r="V9" s="11">
        <f>ROUND('UBC CRP'!BB9,2)</f>
        <v>0</v>
      </c>
      <c r="W9" s="11">
        <f>ROUND('UBC CRP'!BC9,2)</f>
        <v>0</v>
      </c>
      <c r="X9" s="11">
        <f>ROUND('UBC CRP'!AZ9,2)</f>
        <v>0</v>
      </c>
      <c r="Y9" s="11">
        <f>ROUND('UBC CRP'!BA9,2)</f>
        <v>0</v>
      </c>
      <c r="Z9" s="16">
        <v>7</v>
      </c>
      <c r="AA9" s="6">
        <f t="shared" si="3"/>
        <v>39.6</v>
      </c>
      <c r="AB9" s="7">
        <f t="shared" si="0"/>
        <v>38.15</v>
      </c>
      <c r="AC9" s="7">
        <f t="shared" si="1"/>
        <v>41.79999999999999</v>
      </c>
      <c r="AD9" s="7">
        <f t="shared" si="2"/>
        <v>48.9</v>
      </c>
    </row>
    <row r="10" spans="1:30" ht="15" thickBot="1" x14ac:dyDescent="0.4">
      <c r="A10" s="14">
        <v>8</v>
      </c>
      <c r="B10" s="21">
        <f>'Inventory CRP'!BC10</f>
        <v>8</v>
      </c>
      <c r="C10" s="22">
        <f>'Inventory CRP'!BD10</f>
        <v>7.3</v>
      </c>
      <c r="D10" s="22">
        <f>'Inventory CRP'!BA10</f>
        <v>15.8</v>
      </c>
      <c r="E10" s="23">
        <f>'Inventory CRP'!BB10</f>
        <v>11.7</v>
      </c>
      <c r="F10" s="16">
        <v>8</v>
      </c>
      <c r="G10" s="21">
        <f>'Backlog CRP'!BC10</f>
        <v>0</v>
      </c>
      <c r="H10" s="22">
        <f>'Backlog CRP'!BD10</f>
        <v>0</v>
      </c>
      <c r="I10" s="22">
        <f>'Backlog CRP'!BA10</f>
        <v>0</v>
      </c>
      <c r="J10" s="23">
        <f>'Backlog CRP'!BB10</f>
        <v>0</v>
      </c>
      <c r="K10" s="16">
        <v>8</v>
      </c>
      <c r="L10" s="21">
        <f>'Orders CRP'!BB10</f>
        <v>9.4</v>
      </c>
      <c r="M10" s="22">
        <f>'Orders CRP'!BC10</f>
        <v>8.5</v>
      </c>
      <c r="N10" s="22">
        <f>'Orders CRP'!AZ10</f>
        <v>8</v>
      </c>
      <c r="O10" s="22">
        <f>'Orders CRP'!BA10</f>
        <v>0</v>
      </c>
      <c r="P10" s="16">
        <v>8</v>
      </c>
      <c r="Q10" s="27">
        <f>ROUND('IHC CRP'!BB10,2)</f>
        <v>4</v>
      </c>
      <c r="R10" s="28">
        <f>ROUND('IHC CRP'!BC10,2)</f>
        <v>3.65</v>
      </c>
      <c r="S10" s="28">
        <f>ROUND('IHC CRP'!AZ10,2)</f>
        <v>7.9</v>
      </c>
      <c r="T10" s="29">
        <f>ROUND('IHC CRP'!BA10,2)</f>
        <v>5.85</v>
      </c>
      <c r="U10" s="16">
        <v>8</v>
      </c>
      <c r="V10" s="11">
        <f>ROUND('UBC CRP'!BB10,2)</f>
        <v>0</v>
      </c>
      <c r="W10" s="11">
        <f>ROUND('UBC CRP'!BC10,2)</f>
        <v>0</v>
      </c>
      <c r="X10" s="11">
        <f>ROUND('UBC CRP'!AZ10,2)</f>
        <v>0</v>
      </c>
      <c r="Y10" s="11">
        <f>ROUND('UBC CRP'!BA10,2)</f>
        <v>0</v>
      </c>
      <c r="Z10" s="16">
        <v>8</v>
      </c>
      <c r="AA10" s="6">
        <f t="shared" si="3"/>
        <v>43.6</v>
      </c>
      <c r="AB10" s="7">
        <f t="shared" si="0"/>
        <v>41.8</v>
      </c>
      <c r="AC10" s="7">
        <f t="shared" si="1"/>
        <v>49.699999999999989</v>
      </c>
      <c r="AD10" s="7">
        <f t="shared" si="2"/>
        <v>54.75</v>
      </c>
    </row>
    <row r="11" spans="1:30" ht="15" thickBot="1" x14ac:dyDescent="0.4">
      <c r="A11" s="14">
        <v>9</v>
      </c>
      <c r="B11" s="21">
        <f>'Inventory CRP'!BC11</f>
        <v>10.5</v>
      </c>
      <c r="C11" s="22">
        <f>'Inventory CRP'!BD11</f>
        <v>3</v>
      </c>
      <c r="D11" s="22">
        <f>'Inventory CRP'!BA11</f>
        <v>5.3</v>
      </c>
      <c r="E11" s="23">
        <f>'Inventory CRP'!BB11</f>
        <v>12.2</v>
      </c>
      <c r="F11" s="16">
        <v>9</v>
      </c>
      <c r="G11" s="21">
        <f>'Backlog CRP'!BC11</f>
        <v>0</v>
      </c>
      <c r="H11" s="22">
        <f>'Backlog CRP'!BD11</f>
        <v>0</v>
      </c>
      <c r="I11" s="22">
        <f>'Backlog CRP'!BA11</f>
        <v>0.3</v>
      </c>
      <c r="J11" s="23">
        <f>'Backlog CRP'!BB11</f>
        <v>0</v>
      </c>
      <c r="K11" s="16">
        <v>9</v>
      </c>
      <c r="L11" s="21">
        <f>'Orders CRP'!BB11</f>
        <v>8.8000000000000007</v>
      </c>
      <c r="M11" s="22">
        <f>'Orders CRP'!BC11</f>
        <v>12.6</v>
      </c>
      <c r="N11" s="22">
        <f>'Orders CRP'!AZ11</f>
        <v>8</v>
      </c>
      <c r="O11" s="22">
        <f>'Orders CRP'!BA11</f>
        <v>0</v>
      </c>
      <c r="P11" s="16">
        <v>9</v>
      </c>
      <c r="Q11" s="27">
        <f>ROUND('IHC CRP'!BB11,2)</f>
        <v>5.25</v>
      </c>
      <c r="R11" s="28">
        <f>ROUND('IHC CRP'!BC11,2)</f>
        <v>1.5</v>
      </c>
      <c r="S11" s="28">
        <f>ROUND('IHC CRP'!AZ11,2)</f>
        <v>2.65</v>
      </c>
      <c r="T11" s="29">
        <f>ROUND('IHC CRP'!BA11,2)</f>
        <v>6.1</v>
      </c>
      <c r="U11" s="16">
        <v>9</v>
      </c>
      <c r="V11" s="11">
        <f>ROUND('UBC CRP'!BB11,2)</f>
        <v>0</v>
      </c>
      <c r="W11" s="11">
        <f>ROUND('UBC CRP'!BC11,2)</f>
        <v>0</v>
      </c>
      <c r="X11" s="11">
        <f>ROUND('UBC CRP'!AZ11,2)</f>
        <v>0.3</v>
      </c>
      <c r="Y11" s="11">
        <f>ROUND('UBC CRP'!BA11,2)</f>
        <v>0</v>
      </c>
      <c r="Z11" s="16">
        <v>9</v>
      </c>
      <c r="AA11" s="6">
        <f t="shared" si="3"/>
        <v>48.85</v>
      </c>
      <c r="AB11" s="7">
        <f t="shared" si="0"/>
        <v>43.3</v>
      </c>
      <c r="AC11" s="7">
        <f t="shared" si="1"/>
        <v>52.649999999999991</v>
      </c>
      <c r="AD11" s="7">
        <f t="shared" si="2"/>
        <v>60.85</v>
      </c>
    </row>
    <row r="12" spans="1:30" ht="15" thickBot="1" x14ac:dyDescent="0.4">
      <c r="A12" s="14">
        <v>10</v>
      </c>
      <c r="B12" s="21">
        <f>'Inventory CRP'!BC12</f>
        <v>12.7</v>
      </c>
      <c r="C12" s="22">
        <f>'Inventory CRP'!BD12</f>
        <v>3.7</v>
      </c>
      <c r="D12" s="22">
        <f>'Inventory CRP'!BA12</f>
        <v>1.4</v>
      </c>
      <c r="E12" s="23">
        <f>'Inventory CRP'!BB12</f>
        <v>12.5</v>
      </c>
      <c r="F12" s="16">
        <v>10</v>
      </c>
      <c r="G12" s="21">
        <f>'Backlog CRP'!BC12</f>
        <v>0</v>
      </c>
      <c r="H12" s="22">
        <f>'Backlog CRP'!BD12</f>
        <v>0</v>
      </c>
      <c r="I12" s="22">
        <f>'Backlog CRP'!BA12</f>
        <v>1</v>
      </c>
      <c r="J12" s="23">
        <f>'Backlog CRP'!BB12</f>
        <v>0</v>
      </c>
      <c r="K12" s="16">
        <v>10</v>
      </c>
      <c r="L12" s="21">
        <f>'Orders CRP'!BB12</f>
        <v>7.7</v>
      </c>
      <c r="M12" s="22">
        <f>'Orders CRP'!BC12</f>
        <v>11.8</v>
      </c>
      <c r="N12" s="22">
        <f>'Orders CRP'!AZ12</f>
        <v>8</v>
      </c>
      <c r="O12" s="22">
        <f>'Orders CRP'!BA12</f>
        <v>13.9</v>
      </c>
      <c r="P12" s="16">
        <v>10</v>
      </c>
      <c r="Q12" s="27">
        <f>ROUND('IHC CRP'!BB12,2)</f>
        <v>6.35</v>
      </c>
      <c r="R12" s="28">
        <f>ROUND('IHC CRP'!BC12,2)</f>
        <v>1.85</v>
      </c>
      <c r="S12" s="28">
        <f>ROUND('IHC CRP'!AZ12,2)</f>
        <v>0.7</v>
      </c>
      <c r="T12" s="29">
        <f>ROUND('IHC CRP'!BA12,2)</f>
        <v>6.25</v>
      </c>
      <c r="U12" s="16">
        <v>10</v>
      </c>
      <c r="V12" s="11">
        <f>ROUND('UBC CRP'!BB12,2)</f>
        <v>0</v>
      </c>
      <c r="W12" s="11">
        <f>ROUND('UBC CRP'!BC12,2)</f>
        <v>0</v>
      </c>
      <c r="X12" s="11">
        <f>ROUND('UBC CRP'!AZ12,2)</f>
        <v>1</v>
      </c>
      <c r="Y12" s="11">
        <f>ROUND('UBC CRP'!BA12,2)</f>
        <v>0</v>
      </c>
      <c r="Z12" s="16">
        <v>10</v>
      </c>
      <c r="AA12" s="6">
        <f t="shared" si="3"/>
        <v>55.2</v>
      </c>
      <c r="AB12" s="7">
        <f t="shared" si="0"/>
        <v>45.15</v>
      </c>
      <c r="AC12" s="7">
        <f t="shared" si="1"/>
        <v>54.349999999999994</v>
      </c>
      <c r="AD12" s="7">
        <f t="shared" si="2"/>
        <v>67.099999999999994</v>
      </c>
    </row>
    <row r="13" spans="1:30" ht="15" thickBot="1" x14ac:dyDescent="0.4">
      <c r="A13" s="14">
        <v>11</v>
      </c>
      <c r="B13" s="21">
        <f>'Inventory CRP'!BC13</f>
        <v>13</v>
      </c>
      <c r="C13" s="22">
        <f>'Inventory CRP'!BD13</f>
        <v>11.7</v>
      </c>
      <c r="D13" s="22">
        <f>'Inventory CRP'!BA13</f>
        <v>1.2</v>
      </c>
      <c r="E13" s="23">
        <f>'Inventory CRP'!BB13</f>
        <v>5</v>
      </c>
      <c r="F13" s="16">
        <v>11</v>
      </c>
      <c r="G13" s="21">
        <f>'Backlog CRP'!BC13</f>
        <v>0</v>
      </c>
      <c r="H13" s="22">
        <f>'Backlog CRP'!BD13</f>
        <v>0</v>
      </c>
      <c r="I13" s="22">
        <f>'Backlog CRP'!BA13</f>
        <v>0.7</v>
      </c>
      <c r="J13" s="23">
        <f>'Backlog CRP'!BB13</f>
        <v>5.8</v>
      </c>
      <c r="K13" s="16">
        <v>11</v>
      </c>
      <c r="L13" s="21">
        <f>'Orders CRP'!BB13</f>
        <v>7.6</v>
      </c>
      <c r="M13" s="22">
        <f>'Orders CRP'!BC13</f>
        <v>5.5</v>
      </c>
      <c r="N13" s="22">
        <f>'Orders CRP'!AZ13</f>
        <v>8</v>
      </c>
      <c r="O13" s="22">
        <f>'Orders CRP'!BA13</f>
        <v>16.7</v>
      </c>
      <c r="P13" s="16">
        <v>11</v>
      </c>
      <c r="Q13" s="27">
        <f>ROUND('IHC CRP'!BB13,2)</f>
        <v>6.5</v>
      </c>
      <c r="R13" s="28">
        <f>ROUND('IHC CRP'!BC13,2)</f>
        <v>5.85</v>
      </c>
      <c r="S13" s="28">
        <f>ROUND('IHC CRP'!AZ13,2)</f>
        <v>0.6</v>
      </c>
      <c r="T13" s="29">
        <f>ROUND('IHC CRP'!BA13,2)</f>
        <v>2.5</v>
      </c>
      <c r="U13" s="16">
        <v>11</v>
      </c>
      <c r="V13" s="11">
        <f>ROUND('UBC CRP'!BB13,2)</f>
        <v>0</v>
      </c>
      <c r="W13" s="11">
        <f>ROUND('UBC CRP'!BC13,2)</f>
        <v>0</v>
      </c>
      <c r="X13" s="11">
        <f>ROUND('UBC CRP'!AZ13,2)</f>
        <v>0.7</v>
      </c>
      <c r="Y13" s="11">
        <f>ROUND('UBC CRP'!BA13,2)</f>
        <v>5.8</v>
      </c>
      <c r="Z13" s="16">
        <v>11</v>
      </c>
      <c r="AA13" s="6">
        <f t="shared" si="3"/>
        <v>61.7</v>
      </c>
      <c r="AB13" s="7">
        <f t="shared" si="0"/>
        <v>51</v>
      </c>
      <c r="AC13" s="7">
        <f t="shared" si="1"/>
        <v>55.649999999999991</v>
      </c>
      <c r="AD13" s="7">
        <f t="shared" si="2"/>
        <v>75.399999999999991</v>
      </c>
    </row>
    <row r="14" spans="1:30" ht="15" thickBot="1" x14ac:dyDescent="0.4">
      <c r="A14" s="14">
        <v>12</v>
      </c>
      <c r="B14" s="21">
        <f>'Inventory CRP'!BC14</f>
        <v>12.5</v>
      </c>
      <c r="C14" s="22">
        <f>'Inventory CRP'!BD14</f>
        <v>15.7</v>
      </c>
      <c r="D14" s="22">
        <f>'Inventory CRP'!BA14</f>
        <v>6.7</v>
      </c>
      <c r="E14" s="23">
        <f>'Inventory CRP'!BB14</f>
        <v>1.6</v>
      </c>
      <c r="F14" s="16">
        <v>12</v>
      </c>
      <c r="G14" s="21">
        <f>'Backlog CRP'!BC14</f>
        <v>0</v>
      </c>
      <c r="H14" s="22">
        <f>'Backlog CRP'!BD14</f>
        <v>0</v>
      </c>
      <c r="I14" s="22">
        <f>'Backlog CRP'!BA14</f>
        <v>0</v>
      </c>
      <c r="J14" s="23">
        <f>'Backlog CRP'!BB14</f>
        <v>6.6</v>
      </c>
      <c r="K14" s="16">
        <v>12</v>
      </c>
      <c r="L14" s="21">
        <f>'Orders CRP'!BB14</f>
        <v>8.4</v>
      </c>
      <c r="M14" s="22">
        <f>'Orders CRP'!BC14</f>
        <v>0.2</v>
      </c>
      <c r="N14" s="22">
        <f>'Orders CRP'!AZ14</f>
        <v>8</v>
      </c>
      <c r="O14" s="22">
        <f>'Orders CRP'!BA14</f>
        <v>9.6</v>
      </c>
      <c r="P14" s="16">
        <v>12</v>
      </c>
      <c r="Q14" s="27">
        <f>ROUND('IHC CRP'!BB14,2)</f>
        <v>6.25</v>
      </c>
      <c r="R14" s="28">
        <f>ROUND('IHC CRP'!BC14,2)</f>
        <v>7.85</v>
      </c>
      <c r="S14" s="28">
        <f>ROUND('IHC CRP'!AZ14,2)</f>
        <v>3.35</v>
      </c>
      <c r="T14" s="29">
        <f>ROUND('IHC CRP'!BA14,2)</f>
        <v>0.8</v>
      </c>
      <c r="U14" s="16">
        <v>12</v>
      </c>
      <c r="V14" s="11">
        <f>ROUND('UBC CRP'!BB14,2)</f>
        <v>0</v>
      </c>
      <c r="W14" s="11">
        <f>ROUND('UBC CRP'!BC14,2)</f>
        <v>0</v>
      </c>
      <c r="X14" s="11">
        <f>ROUND('UBC CRP'!AZ14,2)</f>
        <v>0</v>
      </c>
      <c r="Y14" s="11">
        <f>ROUND('UBC CRP'!BA14,2)</f>
        <v>6.6</v>
      </c>
      <c r="Z14" s="16">
        <v>12</v>
      </c>
      <c r="AA14" s="6">
        <f t="shared" si="3"/>
        <v>67.95</v>
      </c>
      <c r="AB14" s="7">
        <f t="shared" si="0"/>
        <v>58.85</v>
      </c>
      <c r="AC14" s="7">
        <f t="shared" si="1"/>
        <v>58.999999999999993</v>
      </c>
      <c r="AD14" s="7">
        <f t="shared" si="2"/>
        <v>82.8</v>
      </c>
    </row>
    <row r="15" spans="1:30" ht="15" thickBot="1" x14ac:dyDescent="0.4">
      <c r="A15" s="14">
        <v>13</v>
      </c>
      <c r="B15" s="21">
        <f>'Inventory CRP'!BC15</f>
        <v>11.6</v>
      </c>
      <c r="C15" s="22">
        <f>'Inventory CRP'!BD15</f>
        <v>14.8</v>
      </c>
      <c r="D15" s="22">
        <f>'Inventory CRP'!BA15</f>
        <v>18.600000000000001</v>
      </c>
      <c r="E15" s="23">
        <f>'Inventory CRP'!BB15</f>
        <v>3.4</v>
      </c>
      <c r="F15" s="16">
        <v>13</v>
      </c>
      <c r="G15" s="21">
        <f>'Backlog CRP'!BC15</f>
        <v>0</v>
      </c>
      <c r="H15" s="22">
        <f>'Backlog CRP'!BD15</f>
        <v>0</v>
      </c>
      <c r="I15" s="22">
        <f>'Backlog CRP'!BA15</f>
        <v>0</v>
      </c>
      <c r="J15" s="23">
        <f>'Backlog CRP'!BB15</f>
        <v>1.6</v>
      </c>
      <c r="K15" s="16">
        <v>13</v>
      </c>
      <c r="L15" s="21">
        <f>'Orders CRP'!BB15</f>
        <v>9.1</v>
      </c>
      <c r="M15" s="22">
        <f>'Orders CRP'!BC15</f>
        <v>3.2</v>
      </c>
      <c r="N15" s="22">
        <f>'Orders CRP'!AZ15</f>
        <v>8</v>
      </c>
      <c r="O15" s="22">
        <f>'Orders CRP'!BA15</f>
        <v>1.8</v>
      </c>
      <c r="P15" s="16">
        <v>13</v>
      </c>
      <c r="Q15" s="27">
        <f>ROUND('IHC CRP'!BB15,2)</f>
        <v>5.8</v>
      </c>
      <c r="R15" s="28">
        <f>ROUND('IHC CRP'!BC15,2)</f>
        <v>7.4</v>
      </c>
      <c r="S15" s="28">
        <f>ROUND('IHC CRP'!AZ15,2)</f>
        <v>9.3000000000000007</v>
      </c>
      <c r="T15" s="29">
        <f>ROUND('IHC CRP'!BA15,2)</f>
        <v>1.7</v>
      </c>
      <c r="U15" s="16">
        <v>13</v>
      </c>
      <c r="V15" s="11">
        <f>ROUND('UBC CRP'!BB15,2)</f>
        <v>0</v>
      </c>
      <c r="W15" s="11">
        <f>ROUND('UBC CRP'!BC15,2)</f>
        <v>0</v>
      </c>
      <c r="X15" s="11">
        <f>ROUND('UBC CRP'!AZ15,2)</f>
        <v>0</v>
      </c>
      <c r="Y15" s="11">
        <f>ROUND('UBC CRP'!BA15,2)</f>
        <v>1.6</v>
      </c>
      <c r="Z15" s="16">
        <v>13</v>
      </c>
      <c r="AA15" s="6">
        <f t="shared" si="3"/>
        <v>73.75</v>
      </c>
      <c r="AB15" s="7">
        <f t="shared" si="0"/>
        <v>66.25</v>
      </c>
      <c r="AC15" s="7">
        <f t="shared" si="1"/>
        <v>68.3</v>
      </c>
      <c r="AD15" s="7">
        <f t="shared" si="2"/>
        <v>86.1</v>
      </c>
    </row>
    <row r="16" spans="1:30" ht="15" thickBot="1" x14ac:dyDescent="0.4">
      <c r="A16" s="14">
        <v>14</v>
      </c>
      <c r="B16" s="21">
        <f>'Inventory CRP'!BC16</f>
        <v>11.2</v>
      </c>
      <c r="C16" s="22">
        <f>'Inventory CRP'!BD16</f>
        <v>8.6</v>
      </c>
      <c r="D16" s="22">
        <f>'Inventory CRP'!BA16</f>
        <v>19</v>
      </c>
      <c r="E16" s="23">
        <f>'Inventory CRP'!BB16</f>
        <v>15.7</v>
      </c>
      <c r="F16" s="16">
        <v>14</v>
      </c>
      <c r="G16" s="21">
        <f>'Backlog CRP'!BC16</f>
        <v>0</v>
      </c>
      <c r="H16" s="22">
        <f>'Backlog CRP'!BD16</f>
        <v>0</v>
      </c>
      <c r="I16" s="22">
        <f>'Backlog CRP'!BA16</f>
        <v>0</v>
      </c>
      <c r="J16" s="23">
        <f>'Backlog CRP'!BB16</f>
        <v>0</v>
      </c>
      <c r="K16" s="16">
        <v>14</v>
      </c>
      <c r="L16" s="21">
        <f>'Orders CRP'!BB16</f>
        <v>9.1999999999999993</v>
      </c>
      <c r="M16" s="22">
        <f>'Orders CRP'!BC16</f>
        <v>10.1</v>
      </c>
      <c r="N16" s="22">
        <f>'Orders CRP'!AZ16</f>
        <v>8</v>
      </c>
      <c r="O16" s="22">
        <f>'Orders CRP'!BA16</f>
        <v>0</v>
      </c>
      <c r="P16" s="16">
        <v>14</v>
      </c>
      <c r="Q16" s="27">
        <f>ROUND('IHC CRP'!BB16,2)</f>
        <v>5.6</v>
      </c>
      <c r="R16" s="28">
        <f>ROUND('IHC CRP'!BC16,2)</f>
        <v>4.3</v>
      </c>
      <c r="S16" s="28">
        <f>ROUND('IHC CRP'!AZ16,2)</f>
        <v>9.5</v>
      </c>
      <c r="T16" s="29">
        <f>ROUND('IHC CRP'!BA16,2)</f>
        <v>7.85</v>
      </c>
      <c r="U16" s="16">
        <v>14</v>
      </c>
      <c r="V16" s="11">
        <f>ROUND('UBC CRP'!BB16,2)</f>
        <v>0</v>
      </c>
      <c r="W16" s="11">
        <f>ROUND('UBC CRP'!BC16,2)</f>
        <v>0</v>
      </c>
      <c r="X16" s="11">
        <f>ROUND('UBC CRP'!AZ16,2)</f>
        <v>0</v>
      </c>
      <c r="Y16" s="11">
        <f>ROUND('UBC CRP'!BA16,2)</f>
        <v>0</v>
      </c>
      <c r="Z16" s="16">
        <v>14</v>
      </c>
      <c r="AA16" s="6">
        <f t="shared" si="3"/>
        <v>79.349999999999994</v>
      </c>
      <c r="AB16" s="7">
        <f t="shared" si="0"/>
        <v>70.55</v>
      </c>
      <c r="AC16" s="7">
        <f t="shared" si="1"/>
        <v>77.8</v>
      </c>
      <c r="AD16" s="7">
        <f t="shared" si="2"/>
        <v>93.949999999999989</v>
      </c>
    </row>
    <row r="17" spans="1:30" ht="15" thickBot="1" x14ac:dyDescent="0.4">
      <c r="A17" s="14">
        <v>15</v>
      </c>
      <c r="B17" s="21">
        <f>'Inventory CRP'!BC17</f>
        <v>12</v>
      </c>
      <c r="C17" s="22">
        <f>'Inventory CRP'!BD17</f>
        <v>3.6</v>
      </c>
      <c r="D17" s="22">
        <f>'Inventory CRP'!BA17</f>
        <v>11.5</v>
      </c>
      <c r="E17" s="23">
        <f>'Inventory CRP'!BB17</f>
        <v>24.6</v>
      </c>
      <c r="F17" s="16">
        <v>15</v>
      </c>
      <c r="G17" s="21">
        <f>'Backlog CRP'!BC17</f>
        <v>0</v>
      </c>
      <c r="H17" s="22">
        <f>'Backlog CRP'!BD17</f>
        <v>0</v>
      </c>
      <c r="I17" s="22">
        <f>'Backlog CRP'!BA17</f>
        <v>0.2</v>
      </c>
      <c r="J17" s="23">
        <f>'Backlog CRP'!BB17</f>
        <v>0</v>
      </c>
      <c r="K17" s="16">
        <v>15</v>
      </c>
      <c r="L17" s="21">
        <f>'Orders CRP'!BB17</f>
        <v>8.6999999999999993</v>
      </c>
      <c r="M17" s="22">
        <f>'Orders CRP'!BC17</f>
        <v>13.9</v>
      </c>
      <c r="N17" s="22">
        <f>'Orders CRP'!AZ17</f>
        <v>8</v>
      </c>
      <c r="O17" s="22">
        <f>'Orders CRP'!BA17</f>
        <v>1.7</v>
      </c>
      <c r="P17" s="16">
        <v>15</v>
      </c>
      <c r="Q17" s="27">
        <f>ROUND('IHC CRP'!BB17,2)</f>
        <v>6</v>
      </c>
      <c r="R17" s="28">
        <f>ROUND('IHC CRP'!BC17,2)</f>
        <v>1.8</v>
      </c>
      <c r="S17" s="28">
        <f>ROUND('IHC CRP'!AZ17,2)</f>
        <v>5.75</v>
      </c>
      <c r="T17" s="29">
        <f>ROUND('IHC CRP'!BA17,2)</f>
        <v>12.3</v>
      </c>
      <c r="U17" s="16">
        <v>15</v>
      </c>
      <c r="V17" s="11">
        <f>ROUND('UBC CRP'!BB17,2)</f>
        <v>0</v>
      </c>
      <c r="W17" s="11">
        <f>ROUND('UBC CRP'!BC17,2)</f>
        <v>0</v>
      </c>
      <c r="X17" s="11">
        <f>ROUND('UBC CRP'!AZ17,2)</f>
        <v>0.2</v>
      </c>
      <c r="Y17" s="11">
        <f>ROUND('UBC CRP'!BA17,2)</f>
        <v>0</v>
      </c>
      <c r="Z17" s="16">
        <v>15</v>
      </c>
      <c r="AA17" s="6">
        <f t="shared" si="3"/>
        <v>85.35</v>
      </c>
      <c r="AB17" s="7">
        <f t="shared" si="0"/>
        <v>72.349999999999994</v>
      </c>
      <c r="AC17" s="7">
        <f t="shared" si="1"/>
        <v>83.75</v>
      </c>
      <c r="AD17" s="7">
        <f t="shared" si="2"/>
        <v>106.24999999999999</v>
      </c>
    </row>
    <row r="18" spans="1:30" ht="15" thickBot="1" x14ac:dyDescent="0.4">
      <c r="A18" s="14">
        <v>16</v>
      </c>
      <c r="B18" s="21">
        <f>'Inventory CRP'!BC18</f>
        <v>12.7</v>
      </c>
      <c r="C18" s="22">
        <f>'Inventory CRP'!BD18</f>
        <v>5.9</v>
      </c>
      <c r="D18" s="22">
        <f>'Inventory CRP'!BA18</f>
        <v>0.8</v>
      </c>
      <c r="E18" s="23">
        <f>'Inventory CRP'!BB18</f>
        <v>17.5</v>
      </c>
      <c r="F18" s="16">
        <v>16</v>
      </c>
      <c r="G18" s="21">
        <f>'Backlog CRP'!BC18</f>
        <v>0</v>
      </c>
      <c r="H18" s="22">
        <f>'Backlog CRP'!BD18</f>
        <v>0</v>
      </c>
      <c r="I18" s="22">
        <f>'Backlog CRP'!BA18</f>
        <v>1.1000000000000001</v>
      </c>
      <c r="J18" s="23">
        <f>'Backlog CRP'!BB18</f>
        <v>0</v>
      </c>
      <c r="K18" s="16">
        <v>16</v>
      </c>
      <c r="L18" s="21">
        <f>'Orders CRP'!BB18</f>
        <v>8.4</v>
      </c>
      <c r="M18" s="22">
        <f>'Orders CRP'!BC18</f>
        <v>11</v>
      </c>
      <c r="N18" s="22">
        <f>'Orders CRP'!AZ18</f>
        <v>8</v>
      </c>
      <c r="O18" s="22">
        <f>'Orders CRP'!BA18</f>
        <v>15.6</v>
      </c>
      <c r="P18" s="16">
        <v>16</v>
      </c>
      <c r="Q18" s="27">
        <f>ROUND('IHC CRP'!BB18,2)</f>
        <v>6.35</v>
      </c>
      <c r="R18" s="28">
        <f>ROUND('IHC CRP'!BC18,2)</f>
        <v>2.95</v>
      </c>
      <c r="S18" s="28">
        <f>ROUND('IHC CRP'!AZ18,2)</f>
        <v>0.4</v>
      </c>
      <c r="T18" s="29">
        <f>ROUND('IHC CRP'!BA18,2)</f>
        <v>8.75</v>
      </c>
      <c r="U18" s="16">
        <v>16</v>
      </c>
      <c r="V18" s="11">
        <f>ROUND('UBC CRP'!BB18,2)</f>
        <v>0</v>
      </c>
      <c r="W18" s="11">
        <f>ROUND('UBC CRP'!BC18,2)</f>
        <v>0</v>
      </c>
      <c r="X18" s="11">
        <f>ROUND('UBC CRP'!AZ18,2)</f>
        <v>1.1000000000000001</v>
      </c>
      <c r="Y18" s="11">
        <f>ROUND('UBC CRP'!BA18,2)</f>
        <v>0</v>
      </c>
      <c r="Z18" s="16">
        <v>16</v>
      </c>
      <c r="AA18" s="6">
        <f t="shared" si="3"/>
        <v>91.699999999999989</v>
      </c>
      <c r="AB18" s="7">
        <f t="shared" si="0"/>
        <v>75.3</v>
      </c>
      <c r="AC18" s="7">
        <f t="shared" si="1"/>
        <v>85.25</v>
      </c>
      <c r="AD18" s="7">
        <f t="shared" si="2"/>
        <v>114.99999999999999</v>
      </c>
    </row>
    <row r="19" spans="1:30" ht="15" thickBot="1" x14ac:dyDescent="0.4">
      <c r="A19" s="14">
        <v>17</v>
      </c>
      <c r="B19" s="21">
        <f>'Inventory CRP'!BC19</f>
        <v>13</v>
      </c>
      <c r="C19" s="22">
        <f>'Inventory CRP'!BD19</f>
        <v>13.1</v>
      </c>
      <c r="D19" s="22">
        <f>'Inventory CRP'!BA19</f>
        <v>1.7</v>
      </c>
      <c r="E19" s="23">
        <f>'Inventory CRP'!BB19</f>
        <v>4.5999999999999996</v>
      </c>
      <c r="F19" s="16">
        <v>17</v>
      </c>
      <c r="G19" s="21">
        <f>'Backlog CRP'!BC19</f>
        <v>0</v>
      </c>
      <c r="H19" s="22">
        <f>'Backlog CRP'!BD19</f>
        <v>0</v>
      </c>
      <c r="I19" s="22">
        <f>'Backlog CRP'!BA19</f>
        <v>0.2</v>
      </c>
      <c r="J19" s="23">
        <f>'Backlog CRP'!BB19</f>
        <v>6.8</v>
      </c>
      <c r="K19" s="16">
        <v>17</v>
      </c>
      <c r="L19" s="21">
        <f>'Orders CRP'!BB19</f>
        <v>8.3000000000000007</v>
      </c>
      <c r="M19" s="22">
        <f>'Orders CRP'!BC19</f>
        <v>3.9</v>
      </c>
      <c r="N19" s="22">
        <f>'Orders CRP'!AZ19</f>
        <v>8</v>
      </c>
      <c r="O19" s="22">
        <f>'Orders CRP'!BA19</f>
        <v>19.399999999999999</v>
      </c>
      <c r="P19" s="16">
        <v>17</v>
      </c>
      <c r="Q19" s="27">
        <f>ROUND('IHC CRP'!BB19,2)</f>
        <v>6.5</v>
      </c>
      <c r="R19" s="28">
        <f>ROUND('IHC CRP'!BC19,2)</f>
        <v>6.55</v>
      </c>
      <c r="S19" s="28">
        <f>ROUND('IHC CRP'!AZ19,2)</f>
        <v>0.85</v>
      </c>
      <c r="T19" s="29">
        <f>ROUND('IHC CRP'!BA19,2)</f>
        <v>2.2999999999999998</v>
      </c>
      <c r="U19" s="16">
        <v>17</v>
      </c>
      <c r="V19" s="11">
        <f>ROUND('UBC CRP'!BB19,2)</f>
        <v>0</v>
      </c>
      <c r="W19" s="11">
        <f>ROUND('UBC CRP'!BC19,2)</f>
        <v>0</v>
      </c>
      <c r="X19" s="11">
        <f>ROUND('UBC CRP'!AZ19,2)</f>
        <v>0.2</v>
      </c>
      <c r="Y19" s="11">
        <f>ROUND('UBC CRP'!BA19,2)</f>
        <v>6.8</v>
      </c>
      <c r="Z19" s="16">
        <v>17</v>
      </c>
      <c r="AA19" s="6">
        <f t="shared" si="3"/>
        <v>98.199999999999989</v>
      </c>
      <c r="AB19" s="7">
        <f t="shared" si="0"/>
        <v>81.849999999999994</v>
      </c>
      <c r="AC19" s="7">
        <f t="shared" si="1"/>
        <v>86.3</v>
      </c>
      <c r="AD19" s="7">
        <f t="shared" si="2"/>
        <v>124.09999999999998</v>
      </c>
    </row>
    <row r="20" spans="1:30" ht="15" thickBot="1" x14ac:dyDescent="0.4">
      <c r="A20" s="14">
        <v>18</v>
      </c>
      <c r="B20" s="21">
        <f>'Inventory CRP'!BC20</f>
        <v>12.8</v>
      </c>
      <c r="C20" s="22">
        <f>'Inventory CRP'!BD20</f>
        <v>16.3</v>
      </c>
      <c r="D20" s="22">
        <f>'Inventory CRP'!BA20</f>
        <v>9.1999999999999993</v>
      </c>
      <c r="E20" s="23">
        <f>'Inventory CRP'!BB20</f>
        <v>0.6</v>
      </c>
      <c r="F20" s="16">
        <v>18</v>
      </c>
      <c r="G20" s="21">
        <f>'Backlog CRP'!BC20</f>
        <v>0</v>
      </c>
      <c r="H20" s="22">
        <f>'Backlog CRP'!BD20</f>
        <v>0</v>
      </c>
      <c r="I20" s="22">
        <f>'Backlog CRP'!BA20</f>
        <v>0</v>
      </c>
      <c r="J20" s="23">
        <f>'Backlog CRP'!BB20</f>
        <v>8.9</v>
      </c>
      <c r="K20" s="16">
        <v>18</v>
      </c>
      <c r="L20" s="21">
        <f>'Orders CRP'!BB20</f>
        <v>8.4</v>
      </c>
      <c r="M20" s="22">
        <f>'Orders CRP'!BC20</f>
        <v>1.4</v>
      </c>
      <c r="N20" s="22">
        <f>'Orders CRP'!AZ20</f>
        <v>8</v>
      </c>
      <c r="O20" s="22">
        <f>'Orders CRP'!BA20</f>
        <v>7.8</v>
      </c>
      <c r="P20" s="16">
        <v>18</v>
      </c>
      <c r="Q20" s="27">
        <f>ROUND('IHC CRP'!BB20,2)</f>
        <v>6.4</v>
      </c>
      <c r="R20" s="28">
        <f>ROUND('IHC CRP'!BC20,2)</f>
        <v>8.15</v>
      </c>
      <c r="S20" s="28">
        <f>ROUND('IHC CRP'!AZ20,2)</f>
        <v>4.5999999999999996</v>
      </c>
      <c r="T20" s="29">
        <f>ROUND('IHC CRP'!BA20,2)</f>
        <v>0.3</v>
      </c>
      <c r="U20" s="16">
        <v>18</v>
      </c>
      <c r="V20" s="11">
        <f>ROUND('UBC CRP'!BB20,2)</f>
        <v>0</v>
      </c>
      <c r="W20" s="11">
        <f>ROUND('UBC CRP'!BC20,2)</f>
        <v>0</v>
      </c>
      <c r="X20" s="11">
        <f>ROUND('UBC CRP'!AZ20,2)</f>
        <v>0</v>
      </c>
      <c r="Y20" s="11">
        <f>ROUND('UBC CRP'!BA20,2)</f>
        <v>8.9</v>
      </c>
      <c r="Z20" s="16">
        <v>18</v>
      </c>
      <c r="AA20" s="6">
        <f t="shared" si="3"/>
        <v>104.6</v>
      </c>
      <c r="AB20" s="7">
        <f t="shared" si="0"/>
        <v>90</v>
      </c>
      <c r="AC20" s="7">
        <f t="shared" si="1"/>
        <v>90.899999999999991</v>
      </c>
      <c r="AD20" s="7">
        <f t="shared" si="2"/>
        <v>133.29999999999998</v>
      </c>
    </row>
    <row r="21" spans="1:30" ht="15" thickBot="1" x14ac:dyDescent="0.4">
      <c r="A21" s="14">
        <v>19</v>
      </c>
      <c r="B21" s="21">
        <f>'Inventory CRP'!BC21</f>
        <v>12</v>
      </c>
      <c r="C21" s="22">
        <f>'Inventory CRP'!BD21</f>
        <v>14.2</v>
      </c>
      <c r="D21" s="22">
        <f>'Inventory CRP'!BA21</f>
        <v>18.2</v>
      </c>
      <c r="E21" s="23">
        <f>'Inventory CRP'!BB21</f>
        <v>3.7</v>
      </c>
      <c r="F21" s="16">
        <v>19</v>
      </c>
      <c r="G21" s="21">
        <f>'Backlog CRP'!BC21</f>
        <v>0</v>
      </c>
      <c r="H21" s="22">
        <f>'Backlog CRP'!BD21</f>
        <v>0</v>
      </c>
      <c r="I21" s="22">
        <f>'Backlog CRP'!BA21</f>
        <v>0</v>
      </c>
      <c r="J21" s="23">
        <f>'Backlog CRP'!BB21</f>
        <v>1.8</v>
      </c>
      <c r="K21" s="16">
        <v>19</v>
      </c>
      <c r="L21" s="21">
        <f>'Orders CRP'!BB21</f>
        <v>8.6999999999999993</v>
      </c>
      <c r="M21" s="22">
        <f>'Orders CRP'!BC21</f>
        <v>5.3</v>
      </c>
      <c r="N21" s="22">
        <f>'Orders CRP'!AZ21</f>
        <v>8</v>
      </c>
      <c r="O21" s="22">
        <f>'Orders CRP'!BA21</f>
        <v>2.4</v>
      </c>
      <c r="P21" s="16">
        <v>19</v>
      </c>
      <c r="Q21" s="27">
        <f>ROUND('IHC CRP'!BB21,2)</f>
        <v>6</v>
      </c>
      <c r="R21" s="28">
        <f>ROUND('IHC CRP'!BC21,2)</f>
        <v>7.1</v>
      </c>
      <c r="S21" s="28">
        <f>ROUND('IHC CRP'!AZ21,2)</f>
        <v>9.1</v>
      </c>
      <c r="T21" s="29">
        <f>ROUND('IHC CRP'!BA21,2)</f>
        <v>1.85</v>
      </c>
      <c r="U21" s="16">
        <v>19</v>
      </c>
      <c r="V21" s="11">
        <f>ROUND('UBC CRP'!BB21,2)</f>
        <v>0</v>
      </c>
      <c r="W21" s="11">
        <f>ROUND('UBC CRP'!BC21,2)</f>
        <v>0</v>
      </c>
      <c r="X21" s="11">
        <f>ROUND('UBC CRP'!AZ21,2)</f>
        <v>0</v>
      </c>
      <c r="Y21" s="11">
        <f>ROUND('UBC CRP'!BA21,2)</f>
        <v>1.8</v>
      </c>
      <c r="Z21" s="16">
        <v>19</v>
      </c>
      <c r="AA21" s="6">
        <f t="shared" si="3"/>
        <v>110.6</v>
      </c>
      <c r="AB21" s="7">
        <f t="shared" si="0"/>
        <v>97.1</v>
      </c>
      <c r="AC21" s="7">
        <f t="shared" si="1"/>
        <v>99.999999999999986</v>
      </c>
      <c r="AD21" s="7">
        <f t="shared" si="2"/>
        <v>136.94999999999999</v>
      </c>
    </row>
    <row r="22" spans="1:30" ht="15" thickBot="1" x14ac:dyDescent="0.4">
      <c r="A22" s="14">
        <v>20</v>
      </c>
      <c r="B22" s="21">
        <f>'Inventory CRP'!BC22</f>
        <v>12</v>
      </c>
      <c r="C22" s="22">
        <f>'Inventory CRP'!BD22</f>
        <v>7.1</v>
      </c>
      <c r="D22" s="22">
        <f>'Inventory CRP'!BA22</f>
        <v>18.8</v>
      </c>
      <c r="E22" s="23">
        <f>'Inventory CRP'!BB22</f>
        <v>20.8</v>
      </c>
      <c r="F22" s="16">
        <v>20</v>
      </c>
      <c r="G22" s="21">
        <f>'Backlog CRP'!BC22</f>
        <v>0</v>
      </c>
      <c r="H22" s="22">
        <f>'Backlog CRP'!BD22</f>
        <v>0</v>
      </c>
      <c r="I22" s="22">
        <f>'Backlog CRP'!BA22</f>
        <v>0</v>
      </c>
      <c r="J22" s="23">
        <f>'Backlog CRP'!BB22</f>
        <v>0</v>
      </c>
      <c r="K22" s="16">
        <v>20</v>
      </c>
      <c r="L22" s="21">
        <f>'Orders CRP'!BB22</f>
        <v>8.8000000000000007</v>
      </c>
      <c r="M22" s="22">
        <f>'Orders CRP'!BC22</f>
        <v>10.6</v>
      </c>
      <c r="N22" s="22">
        <f>'Orders CRP'!AZ22</f>
        <v>8</v>
      </c>
      <c r="O22" s="22">
        <f>'Orders CRP'!BA22</f>
        <v>0</v>
      </c>
      <c r="P22" s="16">
        <v>20</v>
      </c>
      <c r="Q22" s="27">
        <f>ROUND('IHC CRP'!BB22,2)</f>
        <v>6</v>
      </c>
      <c r="R22" s="28">
        <f>ROUND('IHC CRP'!BC22,2)</f>
        <v>3.55</v>
      </c>
      <c r="S22" s="28">
        <f>ROUND('IHC CRP'!AZ22,2)</f>
        <v>9.4</v>
      </c>
      <c r="T22" s="29">
        <f>ROUND('IHC CRP'!BA22,2)</f>
        <v>10.4</v>
      </c>
      <c r="U22" s="16">
        <v>20</v>
      </c>
      <c r="V22" s="11">
        <f>ROUND('UBC CRP'!BB22,2)</f>
        <v>0</v>
      </c>
      <c r="W22" s="11">
        <f>ROUND('UBC CRP'!BC22,2)</f>
        <v>0</v>
      </c>
      <c r="X22" s="11">
        <f>ROUND('UBC CRP'!AZ22,2)</f>
        <v>0</v>
      </c>
      <c r="Y22" s="11">
        <f>ROUND('UBC CRP'!BA22,2)</f>
        <v>0</v>
      </c>
      <c r="Z22" s="16">
        <v>20</v>
      </c>
      <c r="AA22" s="6">
        <f t="shared" si="3"/>
        <v>116.6</v>
      </c>
      <c r="AB22" s="7">
        <f t="shared" si="0"/>
        <v>100.64999999999999</v>
      </c>
      <c r="AC22" s="7">
        <f t="shared" si="1"/>
        <v>109.39999999999999</v>
      </c>
      <c r="AD22" s="7">
        <f t="shared" si="2"/>
        <v>147.35</v>
      </c>
    </row>
    <row r="23" spans="1:30" ht="15" thickBot="1" x14ac:dyDescent="0.4">
      <c r="A23" s="14">
        <v>21</v>
      </c>
      <c r="B23" s="21">
        <f>'Inventory CRP'!BC23</f>
        <v>12.1</v>
      </c>
      <c r="C23" s="22">
        <f>'Inventory CRP'!BD23</f>
        <v>4.9000000000000004</v>
      </c>
      <c r="D23" s="22">
        <f>'Inventory CRP'!BA23</f>
        <v>9</v>
      </c>
      <c r="E23" s="23">
        <f>'Inventory CRP'!BB23</f>
        <v>28.2</v>
      </c>
      <c r="F23" s="16">
        <v>21</v>
      </c>
      <c r="G23" s="21">
        <f>'Backlog CRP'!BC23</f>
        <v>0</v>
      </c>
      <c r="H23" s="22">
        <f>'Backlog CRP'!BD23</f>
        <v>0</v>
      </c>
      <c r="I23" s="22">
        <f>'Backlog CRP'!BA23</f>
        <v>0</v>
      </c>
      <c r="J23" s="23">
        <f>'Backlog CRP'!BB23</f>
        <v>0</v>
      </c>
      <c r="K23" s="16">
        <v>21</v>
      </c>
      <c r="L23" s="21">
        <f>'Orders CRP'!BB23</f>
        <v>8.6999999999999993</v>
      </c>
      <c r="M23" s="22">
        <f>'Orders CRP'!BC23</f>
        <v>12.8</v>
      </c>
      <c r="N23" s="22">
        <f>'Orders CRP'!AZ23</f>
        <v>8</v>
      </c>
      <c r="O23" s="22">
        <f>'Orders CRP'!BA23</f>
        <v>4.5999999999999996</v>
      </c>
      <c r="P23" s="16">
        <v>21</v>
      </c>
      <c r="Q23" s="27">
        <f>ROUND('IHC CRP'!BB23,2)</f>
        <v>6.05</v>
      </c>
      <c r="R23" s="28">
        <f>ROUND('IHC CRP'!BC23,2)</f>
        <v>2.4500000000000002</v>
      </c>
      <c r="S23" s="28">
        <f>ROUND('IHC CRP'!AZ23,2)</f>
        <v>4.5</v>
      </c>
      <c r="T23" s="29">
        <f>ROUND('IHC CRP'!BA23,2)</f>
        <v>14.1</v>
      </c>
      <c r="U23" s="16">
        <v>21</v>
      </c>
      <c r="V23" s="11">
        <f>ROUND('UBC CRP'!BB23,2)</f>
        <v>0</v>
      </c>
      <c r="W23" s="11">
        <f>ROUND('UBC CRP'!BC23,2)</f>
        <v>0</v>
      </c>
      <c r="X23" s="11">
        <f>ROUND('UBC CRP'!AZ23,2)</f>
        <v>0</v>
      </c>
      <c r="Y23" s="11">
        <f>ROUND('UBC CRP'!BA23,2)</f>
        <v>0</v>
      </c>
      <c r="Z23" s="16">
        <v>21</v>
      </c>
      <c r="AA23" s="6">
        <f t="shared" si="3"/>
        <v>122.64999999999999</v>
      </c>
      <c r="AB23" s="7">
        <f t="shared" si="0"/>
        <v>103.1</v>
      </c>
      <c r="AC23" s="7">
        <f t="shared" si="1"/>
        <v>113.89999999999999</v>
      </c>
      <c r="AD23" s="7">
        <f t="shared" si="2"/>
        <v>161.44999999999999</v>
      </c>
    </row>
    <row r="24" spans="1:30" ht="15" thickBot="1" x14ac:dyDescent="0.4">
      <c r="A24" s="14">
        <v>22</v>
      </c>
      <c r="B24" s="21">
        <f>'Inventory CRP'!BC24</f>
        <v>12.3</v>
      </c>
      <c r="C24" s="22">
        <f>'Inventory CRP'!BD24</f>
        <v>8.3000000000000007</v>
      </c>
      <c r="D24" s="22">
        <f>'Inventory CRP'!BA24</f>
        <v>1.5</v>
      </c>
      <c r="E24" s="23">
        <f>'Inventory CRP'!BB24</f>
        <v>14.2</v>
      </c>
      <c r="F24" s="16">
        <v>22</v>
      </c>
      <c r="G24" s="21">
        <f>'Backlog CRP'!BC24</f>
        <v>0</v>
      </c>
      <c r="H24" s="22">
        <f>'Backlog CRP'!BD24</f>
        <v>0</v>
      </c>
      <c r="I24" s="22">
        <f>'Backlog CRP'!BA24</f>
        <v>1.4</v>
      </c>
      <c r="J24" s="23">
        <f>'Backlog CRP'!BB24</f>
        <v>1.2</v>
      </c>
      <c r="K24" s="16">
        <v>22</v>
      </c>
      <c r="L24" s="21">
        <f>'Orders CRP'!BB24</f>
        <v>8.6</v>
      </c>
      <c r="M24" s="22">
        <f>'Orders CRP'!BC24</f>
        <v>8.1999999999999993</v>
      </c>
      <c r="N24" s="22">
        <f>'Orders CRP'!AZ24</f>
        <v>8</v>
      </c>
      <c r="O24" s="22">
        <f>'Orders CRP'!BA24</f>
        <v>14.6</v>
      </c>
      <c r="P24" s="16">
        <v>22</v>
      </c>
      <c r="Q24" s="27">
        <f>ROUND('IHC CRP'!BB24,2)</f>
        <v>6.15</v>
      </c>
      <c r="R24" s="28">
        <f>ROUND('IHC CRP'!BC24,2)</f>
        <v>4.1500000000000004</v>
      </c>
      <c r="S24" s="28">
        <f>ROUND('IHC CRP'!AZ24,2)</f>
        <v>0.75</v>
      </c>
      <c r="T24" s="29">
        <f>ROUND('IHC CRP'!BA24,2)</f>
        <v>7.1</v>
      </c>
      <c r="U24" s="16">
        <v>22</v>
      </c>
      <c r="V24" s="11">
        <f>ROUND('UBC CRP'!BB24,2)</f>
        <v>0</v>
      </c>
      <c r="W24" s="11">
        <f>ROUND('UBC CRP'!BC24,2)</f>
        <v>0</v>
      </c>
      <c r="X24" s="11">
        <f>ROUND('UBC CRP'!AZ24,2)</f>
        <v>1.4</v>
      </c>
      <c r="Y24" s="11">
        <f>ROUND('UBC CRP'!BA24,2)</f>
        <v>1.2</v>
      </c>
      <c r="Z24" s="16">
        <v>22</v>
      </c>
      <c r="AA24" s="6">
        <f t="shared" si="3"/>
        <v>128.79999999999998</v>
      </c>
      <c r="AB24" s="7">
        <f t="shared" si="0"/>
        <v>107.25</v>
      </c>
      <c r="AC24" s="7">
        <f t="shared" si="1"/>
        <v>116.05</v>
      </c>
      <c r="AD24" s="7">
        <f t="shared" si="2"/>
        <v>169.75</v>
      </c>
    </row>
    <row r="25" spans="1:30" ht="15" thickBot="1" x14ac:dyDescent="0.4">
      <c r="A25" s="14">
        <v>23</v>
      </c>
      <c r="B25" s="21">
        <f>'Inventory CRP'!BC25</f>
        <v>12.5</v>
      </c>
      <c r="C25" s="22">
        <f>'Inventory CRP'!BD25</f>
        <v>13.9</v>
      </c>
      <c r="D25" s="22">
        <f>'Inventory CRP'!BA25</f>
        <v>4.2</v>
      </c>
      <c r="E25" s="23">
        <f>'Inventory CRP'!BB25</f>
        <v>2.9</v>
      </c>
      <c r="F25" s="16">
        <v>23</v>
      </c>
      <c r="G25" s="21">
        <f>'Backlog CRP'!BC25</f>
        <v>0</v>
      </c>
      <c r="H25" s="22">
        <f>'Backlog CRP'!BD25</f>
        <v>0</v>
      </c>
      <c r="I25" s="22">
        <f>'Backlog CRP'!BA25</f>
        <v>0</v>
      </c>
      <c r="J25" s="23">
        <f>'Backlog CRP'!BB25</f>
        <v>3.7</v>
      </c>
      <c r="K25" s="16">
        <v>23</v>
      </c>
      <c r="L25" s="21">
        <f>'Orders CRP'!BB25</f>
        <v>8.3000000000000007</v>
      </c>
      <c r="M25" s="22">
        <f>'Orders CRP'!BC25</f>
        <v>3.3</v>
      </c>
      <c r="N25" s="22">
        <f>'Orders CRP'!AZ25</f>
        <v>8</v>
      </c>
      <c r="O25" s="22">
        <f>'Orders CRP'!BA25</f>
        <v>16.5</v>
      </c>
      <c r="P25" s="16">
        <v>23</v>
      </c>
      <c r="Q25" s="27">
        <f>ROUND('IHC CRP'!BB25,2)</f>
        <v>6.25</v>
      </c>
      <c r="R25" s="28">
        <f>ROUND('IHC CRP'!BC25,2)</f>
        <v>6.95</v>
      </c>
      <c r="S25" s="28">
        <f>ROUND('IHC CRP'!AZ25,2)</f>
        <v>2.1</v>
      </c>
      <c r="T25" s="29">
        <f>ROUND('IHC CRP'!BA25,2)</f>
        <v>1.45</v>
      </c>
      <c r="U25" s="16">
        <v>23</v>
      </c>
      <c r="V25" s="11">
        <f>ROUND('UBC CRP'!BB25,2)</f>
        <v>0</v>
      </c>
      <c r="W25" s="11">
        <f>ROUND('UBC CRP'!BC25,2)</f>
        <v>0</v>
      </c>
      <c r="X25" s="11">
        <f>ROUND('UBC CRP'!AZ25,2)</f>
        <v>0</v>
      </c>
      <c r="Y25" s="11">
        <f>ROUND('UBC CRP'!BA25,2)</f>
        <v>3.7</v>
      </c>
      <c r="Z25" s="16">
        <v>23</v>
      </c>
      <c r="AA25" s="6">
        <f t="shared" si="3"/>
        <v>135.04999999999998</v>
      </c>
      <c r="AB25" s="7">
        <f t="shared" si="0"/>
        <v>114.2</v>
      </c>
      <c r="AC25" s="7">
        <f t="shared" si="1"/>
        <v>118.14999999999999</v>
      </c>
      <c r="AD25" s="7">
        <f t="shared" si="2"/>
        <v>174.9</v>
      </c>
    </row>
    <row r="26" spans="1:30" ht="15" thickBot="1" x14ac:dyDescent="0.4">
      <c r="A26" s="14">
        <v>24</v>
      </c>
      <c r="B26" s="21">
        <f>'Inventory CRP'!BC26</f>
        <v>12.3</v>
      </c>
      <c r="C26" s="22">
        <f>'Inventory CRP'!BD26</f>
        <v>14.7</v>
      </c>
      <c r="D26" s="22">
        <f>'Inventory CRP'!BA26</f>
        <v>11.9</v>
      </c>
      <c r="E26" s="23">
        <f>'Inventory CRP'!BB26</f>
        <v>2</v>
      </c>
      <c r="F26" s="16">
        <v>24</v>
      </c>
      <c r="G26" s="21">
        <f>'Backlog CRP'!BC26</f>
        <v>0</v>
      </c>
      <c r="H26" s="22">
        <f>'Backlog CRP'!BD26</f>
        <v>0</v>
      </c>
      <c r="I26" s="22">
        <f>'Backlog CRP'!BA26</f>
        <v>0</v>
      </c>
      <c r="J26" s="23">
        <f>'Backlog CRP'!BB26</f>
        <v>5.9</v>
      </c>
      <c r="K26" s="16">
        <v>24</v>
      </c>
      <c r="L26" s="21">
        <f>'Orders CRP'!BB26</f>
        <v>8.5</v>
      </c>
      <c r="M26" s="22">
        <f>'Orders CRP'!BC26</f>
        <v>4.2</v>
      </c>
      <c r="N26" s="22">
        <f>'Orders CRP'!AZ26</f>
        <v>8</v>
      </c>
      <c r="O26" s="22">
        <f>'Orders CRP'!BA26</f>
        <v>6.8</v>
      </c>
      <c r="P26" s="16">
        <v>24</v>
      </c>
      <c r="Q26" s="27">
        <f>ROUND('IHC CRP'!BB26,2)</f>
        <v>6.15</v>
      </c>
      <c r="R26" s="28">
        <f>ROUND('IHC CRP'!BC26,2)</f>
        <v>7.35</v>
      </c>
      <c r="S26" s="28">
        <f>ROUND('IHC CRP'!AZ26,2)</f>
        <v>5.95</v>
      </c>
      <c r="T26" s="29">
        <f>ROUND('IHC CRP'!BA26,2)</f>
        <v>1</v>
      </c>
      <c r="U26" s="16">
        <v>24</v>
      </c>
      <c r="V26" s="11">
        <f>ROUND('UBC CRP'!BB26,2)</f>
        <v>0</v>
      </c>
      <c r="W26" s="11">
        <f>ROUND('UBC CRP'!BC26,2)</f>
        <v>0</v>
      </c>
      <c r="X26" s="11">
        <f>ROUND('UBC CRP'!AZ26,2)</f>
        <v>0</v>
      </c>
      <c r="Y26" s="11">
        <f>ROUND('UBC CRP'!BA26,2)</f>
        <v>5.9</v>
      </c>
      <c r="Z26" s="16">
        <v>24</v>
      </c>
      <c r="AA26" s="6">
        <f t="shared" si="3"/>
        <v>141.19999999999999</v>
      </c>
      <c r="AB26" s="7">
        <f t="shared" si="0"/>
        <v>121.55</v>
      </c>
      <c r="AC26" s="7">
        <f t="shared" si="1"/>
        <v>124.1</v>
      </c>
      <c r="AD26" s="7">
        <f t="shared" si="2"/>
        <v>181.8</v>
      </c>
    </row>
    <row r="27" spans="1:30" ht="15" thickBot="1" x14ac:dyDescent="0.4">
      <c r="A27" s="14">
        <v>25</v>
      </c>
      <c r="B27" s="21">
        <f>'Inventory CRP'!BC27</f>
        <v>12.3</v>
      </c>
      <c r="C27" s="22">
        <f>'Inventory CRP'!BD27</f>
        <v>11.7</v>
      </c>
      <c r="D27" s="22">
        <f>'Inventory CRP'!BA27</f>
        <v>18.3</v>
      </c>
      <c r="E27" s="23">
        <f>'Inventory CRP'!BB27</f>
        <v>8.9</v>
      </c>
      <c r="F27" s="16">
        <v>25</v>
      </c>
      <c r="G27" s="21">
        <f>'Backlog CRP'!BC27</f>
        <v>0</v>
      </c>
      <c r="H27" s="22">
        <f>'Backlog CRP'!BD27</f>
        <v>0</v>
      </c>
      <c r="I27" s="22">
        <f>'Backlog CRP'!BA27</f>
        <v>0</v>
      </c>
      <c r="J27" s="23">
        <f>'Backlog CRP'!BB27</f>
        <v>1</v>
      </c>
      <c r="K27" s="16">
        <v>25</v>
      </c>
      <c r="L27" s="21">
        <f>'Orders CRP'!BB27</f>
        <v>8.6999999999999993</v>
      </c>
      <c r="M27" s="22">
        <f>'Orders CRP'!BC27</f>
        <v>7.1</v>
      </c>
      <c r="N27" s="22">
        <f>'Orders CRP'!AZ27</f>
        <v>8</v>
      </c>
      <c r="O27" s="22">
        <f>'Orders CRP'!BA27</f>
        <v>0</v>
      </c>
      <c r="P27" s="16">
        <v>25</v>
      </c>
      <c r="Q27" s="27">
        <f>ROUND('IHC CRP'!BB27,2)</f>
        <v>6.15</v>
      </c>
      <c r="R27" s="28">
        <f>ROUND('IHC CRP'!BC27,2)</f>
        <v>5.85</v>
      </c>
      <c r="S27" s="28">
        <f>ROUND('IHC CRP'!AZ27,2)</f>
        <v>9.15</v>
      </c>
      <c r="T27" s="29">
        <f>ROUND('IHC CRP'!BA27,2)</f>
        <v>4.45</v>
      </c>
      <c r="U27" s="16">
        <v>25</v>
      </c>
      <c r="V27" s="11">
        <f>ROUND('UBC CRP'!BB27,2)</f>
        <v>0</v>
      </c>
      <c r="W27" s="11">
        <f>ROUND('UBC CRP'!BC27,2)</f>
        <v>0</v>
      </c>
      <c r="X27" s="11">
        <f>ROUND('UBC CRP'!AZ27,2)</f>
        <v>0</v>
      </c>
      <c r="Y27" s="11">
        <f>ROUND('UBC CRP'!BA27,2)</f>
        <v>1</v>
      </c>
      <c r="Z27" s="16">
        <v>25</v>
      </c>
      <c r="AA27" s="6">
        <f t="shared" si="3"/>
        <v>147.35</v>
      </c>
      <c r="AB27" s="7">
        <f t="shared" si="0"/>
        <v>127.39999999999999</v>
      </c>
      <c r="AC27" s="7">
        <f t="shared" si="1"/>
        <v>133.25</v>
      </c>
      <c r="AD27" s="7">
        <f t="shared" si="2"/>
        <v>187.25</v>
      </c>
    </row>
    <row r="28" spans="1:30" ht="15" thickBot="1" x14ac:dyDescent="0.4">
      <c r="A28" s="14">
        <v>26</v>
      </c>
      <c r="B28" s="21">
        <f>'Inventory CRP'!BC28</f>
        <v>12</v>
      </c>
      <c r="C28" s="22">
        <f>'Inventory CRP'!BD28</f>
        <v>6.7</v>
      </c>
      <c r="D28" s="22">
        <f>'Inventory CRP'!BA28</f>
        <v>15.3</v>
      </c>
      <c r="E28" s="23">
        <f>'Inventory CRP'!BB28</f>
        <v>22</v>
      </c>
      <c r="F28" s="16">
        <v>26</v>
      </c>
      <c r="G28" s="21">
        <f>'Backlog CRP'!BC28</f>
        <v>0</v>
      </c>
      <c r="H28" s="22">
        <f>'Backlog CRP'!BD28</f>
        <v>0</v>
      </c>
      <c r="I28" s="22">
        <f>'Backlog CRP'!BA28</f>
        <v>0</v>
      </c>
      <c r="J28" s="23">
        <f>'Backlog CRP'!BB28</f>
        <v>0</v>
      </c>
      <c r="K28" s="16">
        <v>26</v>
      </c>
      <c r="L28" s="21">
        <f>'Orders CRP'!BB28</f>
        <v>8.6</v>
      </c>
      <c r="M28" s="22">
        <f>'Orders CRP'!BC28</f>
        <v>10.5</v>
      </c>
      <c r="N28" s="22">
        <f>'Orders CRP'!AZ28</f>
        <v>8</v>
      </c>
      <c r="O28" s="22">
        <f>'Orders CRP'!BA28</f>
        <v>2.1</v>
      </c>
      <c r="P28" s="16">
        <v>26</v>
      </c>
      <c r="Q28" s="27">
        <f>ROUND('IHC CRP'!BB28,2)</f>
        <v>6</v>
      </c>
      <c r="R28" s="28">
        <f>ROUND('IHC CRP'!BC28,2)</f>
        <v>3.35</v>
      </c>
      <c r="S28" s="28">
        <f>ROUND('IHC CRP'!AZ28,2)</f>
        <v>7.65</v>
      </c>
      <c r="T28" s="29">
        <f>ROUND('IHC CRP'!BA28,2)</f>
        <v>11</v>
      </c>
      <c r="U28" s="16">
        <v>26</v>
      </c>
      <c r="V28" s="11">
        <f>ROUND('UBC CRP'!BB28,2)</f>
        <v>0</v>
      </c>
      <c r="W28" s="11">
        <f>ROUND('UBC CRP'!BC28,2)</f>
        <v>0</v>
      </c>
      <c r="X28" s="11">
        <f>ROUND('UBC CRP'!AZ28,2)</f>
        <v>0</v>
      </c>
      <c r="Y28" s="11">
        <f>ROUND('UBC CRP'!BA28,2)</f>
        <v>0</v>
      </c>
      <c r="Z28" s="16">
        <v>26</v>
      </c>
      <c r="AA28" s="6">
        <f t="shared" si="3"/>
        <v>153.35</v>
      </c>
      <c r="AB28" s="7">
        <f t="shared" si="0"/>
        <v>130.75</v>
      </c>
      <c r="AC28" s="7">
        <f t="shared" si="1"/>
        <v>140.9</v>
      </c>
      <c r="AD28" s="7">
        <f t="shared" si="2"/>
        <v>198.25</v>
      </c>
    </row>
    <row r="29" spans="1:30" ht="15" thickBot="1" x14ac:dyDescent="0.4">
      <c r="A29" s="14">
        <v>27</v>
      </c>
      <c r="B29" s="21">
        <f>'Inventory CRP'!BC29</f>
        <v>12.1</v>
      </c>
      <c r="C29" s="22">
        <f>'Inventory CRP'!BD29</f>
        <v>7.5</v>
      </c>
      <c r="D29" s="22">
        <f>'Inventory CRP'!BA29</f>
        <v>7.5</v>
      </c>
      <c r="E29" s="23">
        <f>'Inventory CRP'!BB29</f>
        <v>22.7</v>
      </c>
      <c r="F29" s="16">
        <v>27</v>
      </c>
      <c r="G29" s="21">
        <f>'Backlog CRP'!BC29</f>
        <v>0</v>
      </c>
      <c r="H29" s="22">
        <f>'Backlog CRP'!BD29</f>
        <v>0</v>
      </c>
      <c r="I29" s="22">
        <f>'Backlog CRP'!BA29</f>
        <v>0.2</v>
      </c>
      <c r="J29" s="23">
        <f>'Backlog CRP'!BB29</f>
        <v>0</v>
      </c>
      <c r="K29" s="16">
        <v>27</v>
      </c>
      <c r="L29" s="21">
        <f>'Orders CRP'!BB29</f>
        <v>8.8000000000000007</v>
      </c>
      <c r="M29" s="22">
        <f>'Orders CRP'!BC29</f>
        <v>10.6</v>
      </c>
      <c r="N29" s="22">
        <f>'Orders CRP'!AZ29</f>
        <v>8</v>
      </c>
      <c r="O29" s="22">
        <f>'Orders CRP'!BA29</f>
        <v>5.8</v>
      </c>
      <c r="P29" s="16">
        <v>27</v>
      </c>
      <c r="Q29" s="27">
        <f>ROUND('IHC CRP'!BB29,2)</f>
        <v>6.05</v>
      </c>
      <c r="R29" s="28">
        <f>ROUND('IHC CRP'!BC29,2)</f>
        <v>3.75</v>
      </c>
      <c r="S29" s="28">
        <f>ROUND('IHC CRP'!AZ29,2)</f>
        <v>3.75</v>
      </c>
      <c r="T29" s="29">
        <f>ROUND('IHC CRP'!BA29,2)</f>
        <v>11.35</v>
      </c>
      <c r="U29" s="16">
        <v>27</v>
      </c>
      <c r="V29" s="11">
        <f>ROUND('UBC CRP'!BB29,2)</f>
        <v>0</v>
      </c>
      <c r="W29" s="11">
        <f>ROUND('UBC CRP'!BC29,2)</f>
        <v>0</v>
      </c>
      <c r="X29" s="11">
        <f>ROUND('UBC CRP'!AZ29,2)</f>
        <v>0.2</v>
      </c>
      <c r="Y29" s="11">
        <f>ROUND('UBC CRP'!BA29,2)</f>
        <v>0</v>
      </c>
      <c r="Z29" s="16">
        <v>27</v>
      </c>
      <c r="AA29" s="6">
        <f t="shared" si="3"/>
        <v>159.4</v>
      </c>
      <c r="AB29" s="7">
        <f t="shared" si="0"/>
        <v>134.5</v>
      </c>
      <c r="AC29" s="7">
        <f t="shared" si="1"/>
        <v>144.85</v>
      </c>
      <c r="AD29" s="7">
        <f t="shared" si="2"/>
        <v>209.6</v>
      </c>
    </row>
    <row r="30" spans="1:30" ht="15" thickBot="1" x14ac:dyDescent="0.4">
      <c r="A30" s="14">
        <v>28</v>
      </c>
      <c r="B30" s="21">
        <f>'Inventory CRP'!BC30</f>
        <v>12.4</v>
      </c>
      <c r="C30" s="22">
        <f>'Inventory CRP'!BD30</f>
        <v>10.199999999999999</v>
      </c>
      <c r="D30" s="22">
        <f>'Inventory CRP'!BA30</f>
        <v>2.1</v>
      </c>
      <c r="E30" s="23">
        <f>'Inventory CRP'!BB30</f>
        <v>10.7</v>
      </c>
      <c r="F30" s="16">
        <v>28</v>
      </c>
      <c r="G30" s="21">
        <f>'Backlog CRP'!BC30</f>
        <v>0</v>
      </c>
      <c r="H30" s="22">
        <f>'Backlog CRP'!BD30</f>
        <v>0</v>
      </c>
      <c r="I30" s="22">
        <f>'Backlog CRP'!BA30</f>
        <v>0.4</v>
      </c>
      <c r="J30" s="23">
        <f>'Backlog CRP'!BB30</f>
        <v>1.2</v>
      </c>
      <c r="K30" s="16">
        <v>28</v>
      </c>
      <c r="L30" s="21">
        <f>'Orders CRP'!BB30</f>
        <v>8.6</v>
      </c>
      <c r="M30" s="22">
        <f>'Orders CRP'!BC30</f>
        <v>5.8</v>
      </c>
      <c r="N30" s="22">
        <f>'Orders CRP'!AZ30</f>
        <v>8</v>
      </c>
      <c r="O30" s="22">
        <f>'Orders CRP'!BA30</f>
        <v>17.5</v>
      </c>
      <c r="P30" s="16">
        <v>28</v>
      </c>
      <c r="Q30" s="27">
        <f>ROUND('IHC CRP'!BB30,2)</f>
        <v>6.2</v>
      </c>
      <c r="R30" s="28">
        <f>ROUND('IHC CRP'!BC30,2)</f>
        <v>5.0999999999999996</v>
      </c>
      <c r="S30" s="28">
        <f>ROUND('IHC CRP'!AZ30,2)</f>
        <v>1.05</v>
      </c>
      <c r="T30" s="29">
        <f>ROUND('IHC CRP'!BA30,2)</f>
        <v>5.35</v>
      </c>
      <c r="U30" s="16">
        <v>28</v>
      </c>
      <c r="V30" s="11">
        <f>ROUND('UBC CRP'!BB30,2)</f>
        <v>0</v>
      </c>
      <c r="W30" s="11">
        <f>ROUND('UBC CRP'!BC30,2)</f>
        <v>0</v>
      </c>
      <c r="X30" s="11">
        <f>ROUND('UBC CRP'!AZ30,2)</f>
        <v>0.4</v>
      </c>
      <c r="Y30" s="11">
        <f>ROUND('UBC CRP'!BA30,2)</f>
        <v>1.2</v>
      </c>
      <c r="Z30" s="16">
        <v>28</v>
      </c>
      <c r="AA30" s="6">
        <f t="shared" si="3"/>
        <v>165.6</v>
      </c>
      <c r="AB30" s="7">
        <f t="shared" si="0"/>
        <v>139.6</v>
      </c>
      <c r="AC30" s="7">
        <f t="shared" si="1"/>
        <v>146.29999999999998</v>
      </c>
      <c r="AD30" s="7">
        <f t="shared" si="2"/>
        <v>216.15</v>
      </c>
    </row>
    <row r="31" spans="1:30" ht="15" thickBot="1" x14ac:dyDescent="0.4">
      <c r="A31" s="14">
        <v>29</v>
      </c>
      <c r="B31" s="21">
        <f>'Inventory CRP'!BC31</f>
        <v>12.2</v>
      </c>
      <c r="C31" s="22">
        <f>'Inventory CRP'!BD31</f>
        <v>13.2</v>
      </c>
      <c r="D31" s="22">
        <f>'Inventory CRP'!BA31</f>
        <v>8.6</v>
      </c>
      <c r="E31" s="23">
        <f>'Inventory CRP'!BB31</f>
        <v>1.7</v>
      </c>
      <c r="F31" s="16">
        <v>29</v>
      </c>
      <c r="G31" s="21">
        <f>'Backlog CRP'!BC31</f>
        <v>0</v>
      </c>
      <c r="H31" s="22">
        <f>'Backlog CRP'!BD31</f>
        <v>0</v>
      </c>
      <c r="I31" s="22">
        <f>'Backlog CRP'!BA31</f>
        <v>0</v>
      </c>
      <c r="J31" s="23">
        <f>'Backlog CRP'!BB31</f>
        <v>6.4</v>
      </c>
      <c r="K31" s="16">
        <v>29</v>
      </c>
      <c r="L31" s="21">
        <f>'Orders CRP'!BB31</f>
        <v>8.4</v>
      </c>
      <c r="M31" s="22">
        <f>'Orders CRP'!BC31</f>
        <v>4.7</v>
      </c>
      <c r="N31" s="22">
        <f>'Orders CRP'!AZ31</f>
        <v>8</v>
      </c>
      <c r="O31" s="22">
        <f>'Orders CRP'!BA31</f>
        <v>12.4</v>
      </c>
      <c r="P31" s="16">
        <v>29</v>
      </c>
      <c r="Q31" s="27">
        <f>ROUND('IHC CRP'!BB31,2)</f>
        <v>6.1</v>
      </c>
      <c r="R31" s="28">
        <f>ROUND('IHC CRP'!BC31,2)</f>
        <v>6.6</v>
      </c>
      <c r="S31" s="28">
        <f>ROUND('IHC CRP'!AZ31,2)</f>
        <v>4.3</v>
      </c>
      <c r="T31" s="29">
        <f>ROUND('IHC CRP'!BA31,2)</f>
        <v>0.85</v>
      </c>
      <c r="U31" s="16">
        <v>29</v>
      </c>
      <c r="V31" s="11">
        <f>ROUND('UBC CRP'!BB31,2)</f>
        <v>0</v>
      </c>
      <c r="W31" s="11">
        <f>ROUND('UBC CRP'!BC31,2)</f>
        <v>0</v>
      </c>
      <c r="X31" s="11">
        <f>ROUND('UBC CRP'!AZ31,2)</f>
        <v>0</v>
      </c>
      <c r="Y31" s="11">
        <f>ROUND('UBC CRP'!BA31,2)</f>
        <v>6.4</v>
      </c>
      <c r="Z31" s="16">
        <v>29</v>
      </c>
      <c r="AA31" s="6">
        <f t="shared" si="3"/>
        <v>171.7</v>
      </c>
      <c r="AB31" s="7">
        <f t="shared" si="0"/>
        <v>146.19999999999999</v>
      </c>
      <c r="AC31" s="7">
        <f t="shared" si="1"/>
        <v>150.6</v>
      </c>
      <c r="AD31" s="7">
        <f t="shared" si="2"/>
        <v>223.4</v>
      </c>
    </row>
    <row r="32" spans="1:30" ht="15" thickBot="1" x14ac:dyDescent="0.4">
      <c r="A32" s="14">
        <v>30</v>
      </c>
      <c r="B32" s="21">
        <f>'Inventory CRP'!BC32</f>
        <v>11.9</v>
      </c>
      <c r="C32" s="22">
        <f>'Inventory CRP'!BD32</f>
        <v>13.9</v>
      </c>
      <c r="D32" s="22">
        <f>'Inventory CRP'!BA32</f>
        <v>11.4</v>
      </c>
      <c r="E32" s="23">
        <f>'Inventory CRP'!BB32</f>
        <v>3.2</v>
      </c>
      <c r="F32" s="16">
        <v>30</v>
      </c>
      <c r="G32" s="21">
        <f>'Backlog CRP'!BC32</f>
        <v>0</v>
      </c>
      <c r="H32" s="22">
        <f>'Backlog CRP'!BD32</f>
        <v>0</v>
      </c>
      <c r="I32" s="22">
        <f>'Backlog CRP'!BA32</f>
        <v>0</v>
      </c>
      <c r="J32" s="23">
        <f>'Backlog CRP'!BB32</f>
        <v>3</v>
      </c>
      <c r="K32" s="16">
        <v>30</v>
      </c>
      <c r="L32" s="21">
        <f>'Orders CRP'!BB32</f>
        <v>8.5</v>
      </c>
      <c r="M32" s="22">
        <f>'Orders CRP'!BC32</f>
        <v>5.4</v>
      </c>
      <c r="N32" s="22">
        <f>'Orders CRP'!AZ32</f>
        <v>8</v>
      </c>
      <c r="O32" s="22">
        <f>'Orders CRP'!BA32</f>
        <v>2.6</v>
      </c>
      <c r="P32" s="16">
        <v>30</v>
      </c>
      <c r="Q32" s="27">
        <f>ROUND('IHC CRP'!BB32,2)</f>
        <v>5.95</v>
      </c>
      <c r="R32" s="28">
        <f>ROUND('IHC CRP'!BC32,2)</f>
        <v>6.95</v>
      </c>
      <c r="S32" s="28">
        <f>ROUND('IHC CRP'!AZ32,2)</f>
        <v>5.7</v>
      </c>
      <c r="T32" s="29">
        <f>ROUND('IHC CRP'!BA32,2)</f>
        <v>1.6</v>
      </c>
      <c r="U32" s="16">
        <v>30</v>
      </c>
      <c r="V32" s="11">
        <f>ROUND('UBC CRP'!BB32,2)</f>
        <v>0</v>
      </c>
      <c r="W32" s="11">
        <f>ROUND('UBC CRP'!BC32,2)</f>
        <v>0</v>
      </c>
      <c r="X32" s="11">
        <f>ROUND('UBC CRP'!AZ32,2)</f>
        <v>0</v>
      </c>
      <c r="Y32" s="11">
        <f>ROUND('UBC CRP'!BA32,2)</f>
        <v>3</v>
      </c>
      <c r="Z32" s="16">
        <v>30</v>
      </c>
      <c r="AA32" s="6">
        <f t="shared" si="3"/>
        <v>177.64999999999998</v>
      </c>
      <c r="AB32" s="7">
        <f t="shared" si="0"/>
        <v>153.14999999999998</v>
      </c>
      <c r="AC32" s="7">
        <f t="shared" si="1"/>
        <v>156.29999999999998</v>
      </c>
      <c r="AD32" s="7">
        <f t="shared" si="2"/>
        <v>228</v>
      </c>
    </row>
    <row r="33" spans="1:30" ht="15" thickBot="1" x14ac:dyDescent="0.4">
      <c r="A33" s="14">
        <v>31</v>
      </c>
      <c r="B33" s="21">
        <f>'Inventory CRP'!BC33</f>
        <v>12.3</v>
      </c>
      <c r="C33" s="22">
        <f>'Inventory CRP'!BD33</f>
        <v>9.3000000000000007</v>
      </c>
      <c r="D33" s="22">
        <f>'Inventory CRP'!BA33</f>
        <v>17.2</v>
      </c>
      <c r="E33" s="23">
        <f>'Inventory CRP'!BB33</f>
        <v>12.3</v>
      </c>
      <c r="F33" s="16">
        <v>31</v>
      </c>
      <c r="G33" s="21">
        <f>'Backlog CRP'!BC33</f>
        <v>0</v>
      </c>
      <c r="H33" s="22">
        <f>'Backlog CRP'!BD33</f>
        <v>0</v>
      </c>
      <c r="I33" s="22">
        <f>'Backlog CRP'!BA33</f>
        <v>0</v>
      </c>
      <c r="J33" s="23">
        <f>'Backlog CRP'!BB33</f>
        <v>0</v>
      </c>
      <c r="K33" s="16">
        <v>31</v>
      </c>
      <c r="L33" s="21">
        <f>'Orders CRP'!BB33</f>
        <v>8.8000000000000007</v>
      </c>
      <c r="M33" s="22">
        <f>'Orders CRP'!BC33</f>
        <v>8</v>
      </c>
      <c r="N33" s="22">
        <f>'Orders CRP'!AZ33</f>
        <v>8</v>
      </c>
      <c r="O33" s="22">
        <f>'Orders CRP'!BA33</f>
        <v>1.7</v>
      </c>
      <c r="P33" s="16">
        <v>31</v>
      </c>
      <c r="Q33" s="27">
        <f>ROUND('IHC CRP'!BB33,2)</f>
        <v>6.15</v>
      </c>
      <c r="R33" s="28">
        <f>ROUND('IHC CRP'!BC33,2)</f>
        <v>4.6500000000000004</v>
      </c>
      <c r="S33" s="28">
        <f>ROUND('IHC CRP'!AZ33,2)</f>
        <v>8.6</v>
      </c>
      <c r="T33" s="29">
        <f>ROUND('IHC CRP'!BA33,2)</f>
        <v>6.15</v>
      </c>
      <c r="U33" s="16">
        <v>31</v>
      </c>
      <c r="V33" s="11">
        <f>ROUND('UBC CRP'!BB33,2)</f>
        <v>0</v>
      </c>
      <c r="W33" s="11">
        <f>ROUND('UBC CRP'!BC33,2)</f>
        <v>0</v>
      </c>
      <c r="X33" s="11">
        <f>ROUND('UBC CRP'!AZ33,2)</f>
        <v>0</v>
      </c>
      <c r="Y33" s="11">
        <f>ROUND('UBC CRP'!BA33,2)</f>
        <v>0</v>
      </c>
      <c r="Z33" s="16">
        <v>31</v>
      </c>
      <c r="AA33" s="6">
        <f t="shared" si="3"/>
        <v>183.79999999999998</v>
      </c>
      <c r="AB33" s="7">
        <f t="shared" si="0"/>
        <v>157.79999999999998</v>
      </c>
      <c r="AC33" s="7">
        <f t="shared" si="1"/>
        <v>164.89999999999998</v>
      </c>
      <c r="AD33" s="7">
        <f t="shared" si="2"/>
        <v>234.15</v>
      </c>
    </row>
    <row r="34" spans="1:30" ht="15" thickBot="1" x14ac:dyDescent="0.4">
      <c r="A34" s="14">
        <v>32</v>
      </c>
      <c r="B34" s="21">
        <f>'Inventory CRP'!BC34</f>
        <v>12</v>
      </c>
      <c r="C34" s="22">
        <f>'Inventory CRP'!BD34</f>
        <v>7.7</v>
      </c>
      <c r="D34" s="22">
        <f>'Inventory CRP'!BA34</f>
        <v>14.3</v>
      </c>
      <c r="E34" s="23">
        <f>'Inventory CRP'!BB34</f>
        <v>21.4</v>
      </c>
      <c r="F34" s="16">
        <v>32</v>
      </c>
      <c r="G34" s="21">
        <f>'Backlog CRP'!BC34</f>
        <v>0</v>
      </c>
      <c r="H34" s="22">
        <f>'Backlog CRP'!BD34</f>
        <v>0</v>
      </c>
      <c r="I34" s="22">
        <f>'Backlog CRP'!BA34</f>
        <v>0</v>
      </c>
      <c r="J34" s="23">
        <f>'Backlog CRP'!BB34</f>
        <v>0</v>
      </c>
      <c r="K34" s="16">
        <v>32</v>
      </c>
      <c r="L34" s="21">
        <f>'Orders CRP'!BB34</f>
        <v>8.6</v>
      </c>
      <c r="M34" s="22">
        <f>'Orders CRP'!BC34</f>
        <v>10.4</v>
      </c>
      <c r="N34" s="22">
        <f>'Orders CRP'!AZ34</f>
        <v>8</v>
      </c>
      <c r="O34" s="22">
        <f>'Orders CRP'!BA34</f>
        <v>3.5</v>
      </c>
      <c r="P34" s="16">
        <v>32</v>
      </c>
      <c r="Q34" s="27">
        <f>ROUND('IHC CRP'!BB34,2)</f>
        <v>6</v>
      </c>
      <c r="R34" s="28">
        <f>ROUND('IHC CRP'!BC34,2)</f>
        <v>3.85</v>
      </c>
      <c r="S34" s="28">
        <f>ROUND('IHC CRP'!AZ34,2)</f>
        <v>7.15</v>
      </c>
      <c r="T34" s="29">
        <f>ROUND('IHC CRP'!BA34,2)</f>
        <v>10.7</v>
      </c>
      <c r="U34" s="16">
        <v>32</v>
      </c>
      <c r="V34" s="11">
        <f>ROUND('UBC CRP'!BB34,2)</f>
        <v>0</v>
      </c>
      <c r="W34" s="11">
        <f>ROUND('UBC CRP'!BC34,2)</f>
        <v>0</v>
      </c>
      <c r="X34" s="11">
        <f>ROUND('UBC CRP'!AZ34,2)</f>
        <v>0</v>
      </c>
      <c r="Y34" s="11">
        <f>ROUND('UBC CRP'!BA34,2)</f>
        <v>0</v>
      </c>
      <c r="Z34" s="16">
        <v>32</v>
      </c>
      <c r="AA34" s="6">
        <f t="shared" si="3"/>
        <v>189.79999999999998</v>
      </c>
      <c r="AB34" s="7">
        <f t="shared" si="0"/>
        <v>161.64999999999998</v>
      </c>
      <c r="AC34" s="7">
        <f t="shared" si="1"/>
        <v>172.04999999999998</v>
      </c>
      <c r="AD34" s="7">
        <f t="shared" si="2"/>
        <v>244.85</v>
      </c>
    </row>
    <row r="35" spans="1:30" ht="15" thickBot="1" x14ac:dyDescent="0.4">
      <c r="A35" s="14">
        <v>33</v>
      </c>
      <c r="B35" s="21">
        <f>'Inventory CRP'!BC35</f>
        <v>12.2</v>
      </c>
      <c r="C35" s="22">
        <f>'Inventory CRP'!BD35</f>
        <v>8.9</v>
      </c>
      <c r="D35" s="22">
        <f>'Inventory CRP'!BA35</f>
        <v>4.7</v>
      </c>
      <c r="E35" s="23">
        <f>'Inventory CRP'!BB35</f>
        <v>19</v>
      </c>
      <c r="F35" s="16">
        <v>33</v>
      </c>
      <c r="G35" s="21">
        <f>'Backlog CRP'!BC35</f>
        <v>0</v>
      </c>
      <c r="H35" s="22">
        <f>'Backlog CRP'!BD35</f>
        <v>0</v>
      </c>
      <c r="I35" s="22">
        <f>'Backlog CRP'!BA35</f>
        <v>0.2</v>
      </c>
      <c r="J35" s="23">
        <f>'Backlog CRP'!BB35</f>
        <v>0.9</v>
      </c>
      <c r="K35" s="16">
        <v>33</v>
      </c>
      <c r="L35" s="21">
        <f>'Orders CRP'!BB35</f>
        <v>8.6</v>
      </c>
      <c r="M35" s="22">
        <f>'Orders CRP'!BC35</f>
        <v>8.5</v>
      </c>
      <c r="N35" s="22">
        <f>'Orders CRP'!AZ35</f>
        <v>8</v>
      </c>
      <c r="O35" s="22">
        <f>'Orders CRP'!BA35</f>
        <v>10.7</v>
      </c>
      <c r="P35" s="16">
        <v>33</v>
      </c>
      <c r="Q35" s="27">
        <f>ROUND('IHC CRP'!BB35,2)</f>
        <v>6.1</v>
      </c>
      <c r="R35" s="28">
        <f>ROUND('IHC CRP'!BC35,2)</f>
        <v>4.45</v>
      </c>
      <c r="S35" s="28">
        <f>ROUND('IHC CRP'!AZ35,2)</f>
        <v>2.35</v>
      </c>
      <c r="T35" s="29">
        <f>ROUND('IHC CRP'!BA35,2)</f>
        <v>9.5</v>
      </c>
      <c r="U35" s="16">
        <v>33</v>
      </c>
      <c r="V35" s="11">
        <f>ROUND('UBC CRP'!BB35,2)</f>
        <v>0</v>
      </c>
      <c r="W35" s="11">
        <f>ROUND('UBC CRP'!BC35,2)</f>
        <v>0</v>
      </c>
      <c r="X35" s="11">
        <f>ROUND('UBC CRP'!AZ35,2)</f>
        <v>0.2</v>
      </c>
      <c r="Y35" s="11">
        <f>ROUND('UBC CRP'!BA35,2)</f>
        <v>0.9</v>
      </c>
      <c r="Z35" s="16">
        <v>33</v>
      </c>
      <c r="AA35" s="6">
        <f t="shared" si="3"/>
        <v>195.89999999999998</v>
      </c>
      <c r="AB35" s="7">
        <f t="shared" si="0"/>
        <v>166.09999999999997</v>
      </c>
      <c r="AC35" s="7">
        <f t="shared" si="1"/>
        <v>174.6</v>
      </c>
      <c r="AD35" s="7">
        <f t="shared" si="2"/>
        <v>255.25</v>
      </c>
    </row>
    <row r="36" spans="1:30" ht="15" thickBot="1" x14ac:dyDescent="0.4">
      <c r="A36" s="14">
        <v>34</v>
      </c>
      <c r="B36" s="21">
        <f>'Inventory CRP'!BC36</f>
        <v>12.6</v>
      </c>
      <c r="C36" s="22">
        <f>'Inventory CRP'!BD36</f>
        <v>10.4</v>
      </c>
      <c r="D36" s="22">
        <f>'Inventory CRP'!BA36</f>
        <v>5.4</v>
      </c>
      <c r="E36" s="23">
        <f>'Inventory CRP'!BB36</f>
        <v>8.8000000000000007</v>
      </c>
      <c r="F36" s="16">
        <v>34</v>
      </c>
      <c r="G36" s="21">
        <f>'Backlog CRP'!BC36</f>
        <v>0</v>
      </c>
      <c r="H36" s="22">
        <f>'Backlog CRP'!BD36</f>
        <v>0</v>
      </c>
      <c r="I36" s="22">
        <f>'Backlog CRP'!BA36</f>
        <v>0.2</v>
      </c>
      <c r="J36" s="23">
        <f>'Backlog CRP'!BB36</f>
        <v>5.0999999999999996</v>
      </c>
      <c r="K36" s="16">
        <v>34</v>
      </c>
      <c r="L36" s="21">
        <f>'Orders CRP'!BB36</f>
        <v>8.6</v>
      </c>
      <c r="M36" s="22">
        <f>'Orders CRP'!BC36</f>
        <v>5.9</v>
      </c>
      <c r="N36" s="22">
        <f>'Orders CRP'!AZ36</f>
        <v>8</v>
      </c>
      <c r="O36" s="22">
        <f>'Orders CRP'!BA36</f>
        <v>13.8</v>
      </c>
      <c r="P36" s="16">
        <v>34</v>
      </c>
      <c r="Q36" s="27">
        <f>ROUND('IHC CRP'!BB36,2)</f>
        <v>6.3</v>
      </c>
      <c r="R36" s="28">
        <f>ROUND('IHC CRP'!BC36,2)</f>
        <v>5.2</v>
      </c>
      <c r="S36" s="28">
        <f>ROUND('IHC CRP'!AZ36,2)</f>
        <v>2.7</v>
      </c>
      <c r="T36" s="29">
        <f>ROUND('IHC CRP'!BA36,2)</f>
        <v>4.4000000000000004</v>
      </c>
      <c r="U36" s="16">
        <v>34</v>
      </c>
      <c r="V36" s="11">
        <f>ROUND('UBC CRP'!BB36,2)</f>
        <v>0</v>
      </c>
      <c r="W36" s="11">
        <f>ROUND('UBC CRP'!BC36,2)</f>
        <v>0</v>
      </c>
      <c r="X36" s="11">
        <f>ROUND('UBC CRP'!AZ36,2)</f>
        <v>0.2</v>
      </c>
      <c r="Y36" s="11">
        <f>ROUND('UBC CRP'!BA36,2)</f>
        <v>5.0999999999999996</v>
      </c>
      <c r="Z36" s="16">
        <v>34</v>
      </c>
      <c r="AA36" s="6">
        <f t="shared" si="3"/>
        <v>202.2</v>
      </c>
      <c r="AB36" s="7">
        <f t="shared" si="0"/>
        <v>171.29999999999995</v>
      </c>
      <c r="AC36" s="7">
        <f t="shared" si="1"/>
        <v>177.5</v>
      </c>
      <c r="AD36" s="7">
        <f t="shared" si="2"/>
        <v>264.75</v>
      </c>
    </row>
    <row r="37" spans="1:30" ht="15" thickBot="1" x14ac:dyDescent="0.4">
      <c r="A37" s="14">
        <v>35</v>
      </c>
      <c r="B37" s="21">
        <f>'Inventory CRP'!BC37</f>
        <v>12.2</v>
      </c>
      <c r="C37" s="22">
        <f>'Inventory CRP'!BD37</f>
        <v>13.7</v>
      </c>
      <c r="D37" s="22">
        <f>'Inventory CRP'!BA37</f>
        <v>8.9</v>
      </c>
      <c r="E37" s="23">
        <f>'Inventory CRP'!BB37</f>
        <v>1.9</v>
      </c>
      <c r="F37" s="16">
        <v>35</v>
      </c>
      <c r="G37" s="21">
        <f>'Backlog CRP'!BC37</f>
        <v>0</v>
      </c>
      <c r="H37" s="22">
        <f>'Backlog CRP'!BD37</f>
        <v>0</v>
      </c>
      <c r="I37" s="22">
        <f>'Backlog CRP'!BA37</f>
        <v>0</v>
      </c>
      <c r="J37" s="23">
        <f>'Backlog CRP'!BB37</f>
        <v>3.8</v>
      </c>
      <c r="K37" s="16">
        <v>35</v>
      </c>
      <c r="L37" s="21">
        <f>'Orders CRP'!BB37</f>
        <v>8.3000000000000007</v>
      </c>
      <c r="M37" s="22">
        <f>'Orders CRP'!BC37</f>
        <v>5.3</v>
      </c>
      <c r="N37" s="22">
        <f>'Orders CRP'!AZ37</f>
        <v>8</v>
      </c>
      <c r="O37" s="22">
        <f>'Orders CRP'!BA37</f>
        <v>7.4</v>
      </c>
      <c r="P37" s="16">
        <v>35</v>
      </c>
      <c r="Q37" s="27">
        <f>ROUND('IHC CRP'!BB37,2)</f>
        <v>6.1</v>
      </c>
      <c r="R37" s="28">
        <f>ROUND('IHC CRP'!BC37,2)</f>
        <v>6.85</v>
      </c>
      <c r="S37" s="28">
        <f>ROUND('IHC CRP'!AZ37,2)</f>
        <v>4.45</v>
      </c>
      <c r="T37" s="29">
        <f>ROUND('IHC CRP'!BA37,2)</f>
        <v>0.95</v>
      </c>
      <c r="U37" s="16">
        <v>35</v>
      </c>
      <c r="V37" s="11">
        <f>ROUND('UBC CRP'!BB37,2)</f>
        <v>0</v>
      </c>
      <c r="W37" s="11">
        <f>ROUND('UBC CRP'!BC37,2)</f>
        <v>0</v>
      </c>
      <c r="X37" s="11">
        <f>ROUND('UBC CRP'!AZ37,2)</f>
        <v>0</v>
      </c>
      <c r="Y37" s="11">
        <f>ROUND('UBC CRP'!BA37,2)</f>
        <v>3.8</v>
      </c>
      <c r="Z37" s="16">
        <v>35</v>
      </c>
      <c r="AA37" s="6">
        <f t="shared" si="3"/>
        <v>208.29999999999998</v>
      </c>
      <c r="AB37" s="7">
        <f t="shared" si="0"/>
        <v>178.14999999999995</v>
      </c>
      <c r="AC37" s="7">
        <f t="shared" si="1"/>
        <v>181.95</v>
      </c>
      <c r="AD37" s="7">
        <f t="shared" si="2"/>
        <v>269.5</v>
      </c>
    </row>
    <row r="38" spans="1:30" ht="15" thickBot="1" x14ac:dyDescent="0.4">
      <c r="A38" s="15">
        <v>36</v>
      </c>
      <c r="B38" s="21">
        <f>'Inventory CRP'!BC38</f>
        <v>12.2</v>
      </c>
      <c r="C38" s="25">
        <f>'Inventory CRP'!BD38</f>
        <v>12.3</v>
      </c>
      <c r="D38" s="25">
        <f>'Inventory CRP'!BA38</f>
        <v>11.5</v>
      </c>
      <c r="E38" s="26">
        <f>'Inventory CRP'!BB38</f>
        <v>6.9</v>
      </c>
      <c r="F38" s="17">
        <v>36</v>
      </c>
      <c r="G38" s="24">
        <f>'Backlog CRP'!BC38</f>
        <v>0</v>
      </c>
      <c r="H38" s="25">
        <f>'Backlog CRP'!BD38</f>
        <v>0</v>
      </c>
      <c r="I38" s="25">
        <f>'Backlog CRP'!BA38</f>
        <v>0</v>
      </c>
      <c r="J38" s="26">
        <f>'Backlog CRP'!BB38</f>
        <v>0.8</v>
      </c>
      <c r="K38" s="17">
        <v>36</v>
      </c>
      <c r="L38" s="24">
        <f>'Orders CRP'!BB38</f>
        <v>8.5</v>
      </c>
      <c r="M38" s="25">
        <f>'Orders CRP'!BC38</f>
        <v>6.2</v>
      </c>
      <c r="N38" s="25">
        <f>'Orders CRP'!AZ38</f>
        <v>8</v>
      </c>
      <c r="O38" s="25">
        <f>'Orders CRP'!BA38</f>
        <v>5.4</v>
      </c>
      <c r="P38" s="17">
        <v>36</v>
      </c>
      <c r="Q38" s="27">
        <f>ROUND('IHC CRP'!BB38,2)</f>
        <v>6.1</v>
      </c>
      <c r="R38" s="28">
        <f>ROUND('IHC CRP'!BC38,2)</f>
        <v>6.15</v>
      </c>
      <c r="S38" s="28">
        <f>ROUND('IHC CRP'!AZ38,2)</f>
        <v>5.75</v>
      </c>
      <c r="T38" s="29">
        <f>ROUND('IHC CRP'!BA38,2)</f>
        <v>3.45</v>
      </c>
      <c r="U38" s="17">
        <v>36</v>
      </c>
      <c r="V38" s="11">
        <f>ROUND('UBC CRP'!BB38,2)</f>
        <v>0</v>
      </c>
      <c r="W38" s="11">
        <f>ROUND('UBC CRP'!BC38,2)</f>
        <v>0</v>
      </c>
      <c r="X38" s="11">
        <f>ROUND('UBC CRP'!AZ38,2)</f>
        <v>0</v>
      </c>
      <c r="Y38" s="11">
        <f>ROUND('UBC CRP'!BA38,2)</f>
        <v>0.8</v>
      </c>
      <c r="Z38" s="17">
        <v>36</v>
      </c>
      <c r="AA38" s="8">
        <f t="shared" si="3"/>
        <v>214.39999999999998</v>
      </c>
      <c r="AB38" s="9">
        <f t="shared" si="0"/>
        <v>184.29999999999995</v>
      </c>
      <c r="AC38" s="9">
        <f t="shared" si="1"/>
        <v>187.7</v>
      </c>
      <c r="AD38" s="9">
        <f t="shared" si="2"/>
        <v>273.75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10D4E-F0A8-44D8-940C-03F23844B450}">
  <dimension ref="A1"/>
  <sheetViews>
    <sheetView topLeftCell="A55" workbookViewId="0">
      <selection activeCell="N50" sqref="N5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8762-3A76-4711-91CD-C4E36FD497EC}">
  <dimension ref="A1:BD40"/>
  <sheetViews>
    <sheetView workbookViewId="0">
      <pane xSplit="1" ySplit="1" topLeftCell="AH2" activePane="bottomRight" state="frozen"/>
      <selection pane="topRight" activeCell="B1" sqref="B1"/>
      <selection pane="bottomLeft" activeCell="A2" sqref="A2"/>
      <selection pane="bottomRight" activeCell="BA2" sqref="BA2:BD2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1" max="52" width="8.7265625" style="5"/>
  </cols>
  <sheetData>
    <row r="1" spans="1:56" x14ac:dyDescent="0.35">
      <c r="A1" t="s">
        <v>19</v>
      </c>
      <c r="B1" t="s">
        <v>23</v>
      </c>
      <c r="C1" t="s">
        <v>24</v>
      </c>
      <c r="D1" t="s">
        <v>25</v>
      </c>
      <c r="E1" t="s">
        <v>26</v>
      </c>
      <c r="F1" s="5">
        <v>1</v>
      </c>
      <c r="G1" t="s">
        <v>23</v>
      </c>
      <c r="H1" t="s">
        <v>24</v>
      </c>
      <c r="I1" t="s">
        <v>25</v>
      </c>
      <c r="J1" t="s">
        <v>26</v>
      </c>
      <c r="K1" s="5">
        <v>2</v>
      </c>
      <c r="L1" t="s">
        <v>23</v>
      </c>
      <c r="M1" t="s">
        <v>24</v>
      </c>
      <c r="N1" t="s">
        <v>25</v>
      </c>
      <c r="O1" t="s">
        <v>26</v>
      </c>
      <c r="P1" s="5">
        <v>3</v>
      </c>
      <c r="Q1" t="s">
        <v>23</v>
      </c>
      <c r="R1" t="s">
        <v>24</v>
      </c>
      <c r="S1" t="s">
        <v>25</v>
      </c>
      <c r="T1" t="s">
        <v>26</v>
      </c>
      <c r="U1" s="5">
        <v>4</v>
      </c>
      <c r="V1" t="s">
        <v>23</v>
      </c>
      <c r="W1" t="s">
        <v>24</v>
      </c>
      <c r="X1" t="s">
        <v>25</v>
      </c>
      <c r="Y1" t="s">
        <v>26</v>
      </c>
      <c r="Z1" s="5">
        <v>5</v>
      </c>
      <c r="AA1" t="s">
        <v>23</v>
      </c>
      <c r="AB1" t="s">
        <v>24</v>
      </c>
      <c r="AC1" t="s">
        <v>25</v>
      </c>
      <c r="AD1" t="s">
        <v>26</v>
      </c>
      <c r="AE1" s="5">
        <v>6</v>
      </c>
      <c r="AF1" t="s">
        <v>23</v>
      </c>
      <c r="AG1" t="s">
        <v>24</v>
      </c>
      <c r="AH1" t="s">
        <v>25</v>
      </c>
      <c r="AI1" t="s">
        <v>26</v>
      </c>
      <c r="AJ1" s="5">
        <v>7</v>
      </c>
      <c r="AK1" t="s">
        <v>23</v>
      </c>
      <c r="AL1" t="s">
        <v>24</v>
      </c>
      <c r="AM1" t="s">
        <v>25</v>
      </c>
      <c r="AN1" t="s">
        <v>26</v>
      </c>
      <c r="AO1" s="5">
        <v>8</v>
      </c>
      <c r="AP1" t="s">
        <v>23</v>
      </c>
      <c r="AQ1" t="s">
        <v>24</v>
      </c>
      <c r="AR1" t="s">
        <v>25</v>
      </c>
      <c r="AS1" t="s">
        <v>26</v>
      </c>
      <c r="AT1" s="5">
        <v>9</v>
      </c>
      <c r="AU1" t="s">
        <v>23</v>
      </c>
      <c r="AV1" t="s">
        <v>24</v>
      </c>
      <c r="AW1" t="s">
        <v>25</v>
      </c>
      <c r="AX1" t="s">
        <v>26</v>
      </c>
      <c r="AY1" s="5">
        <v>10</v>
      </c>
      <c r="BA1" t="s">
        <v>37</v>
      </c>
      <c r="BB1" t="s">
        <v>129</v>
      </c>
      <c r="BC1" t="s">
        <v>35</v>
      </c>
      <c r="BD1" t="s">
        <v>130</v>
      </c>
    </row>
    <row r="2" spans="1:56" x14ac:dyDescent="0.35">
      <c r="A2">
        <v>0</v>
      </c>
      <c r="B2">
        <f>[1]CRP_Outcome_CRP!$S2</f>
        <v>12</v>
      </c>
      <c r="C2">
        <f>[1]CRP_Outcome_CRP!$T2</f>
        <v>12</v>
      </c>
      <c r="D2">
        <f>[1]CRP_Outcome_CRP!$U2</f>
        <v>12</v>
      </c>
      <c r="E2">
        <f>[1]CRP_Outcome_CRP!$V2</f>
        <v>12</v>
      </c>
      <c r="G2">
        <f>[2]CRP_Outcome_CRP!$T2</f>
        <v>12</v>
      </c>
      <c r="H2">
        <f>[2]CRP_Outcome_CRP!$T2</f>
        <v>12</v>
      </c>
      <c r="I2">
        <f>[2]CRP_Outcome_CRP!$U2</f>
        <v>12</v>
      </c>
      <c r="J2">
        <f>[2]CRP_Outcome_CRP!$V2</f>
        <v>12</v>
      </c>
      <c r="L2">
        <f>[3]CRP_Outcome_CRP!$S2</f>
        <v>12</v>
      </c>
      <c r="M2">
        <f>[3]CRP_Outcome_CRP!$T2</f>
        <v>12</v>
      </c>
      <c r="N2">
        <f>[3]CRP_Outcome_CRP!$U2</f>
        <v>12</v>
      </c>
      <c r="O2">
        <f>[3]CRP_Outcome_CRP!$V2</f>
        <v>12</v>
      </c>
      <c r="Q2">
        <f>[4]CRP_Outcome_CRP!$S2</f>
        <v>12</v>
      </c>
      <c r="R2">
        <f>[4]CRP_Outcome_CRP!$T2</f>
        <v>12</v>
      </c>
      <c r="S2">
        <f>[4]CRP_Outcome_CRP!$U2</f>
        <v>12</v>
      </c>
      <c r="T2">
        <f>[4]CRP_Outcome_CRP!$V2</f>
        <v>12</v>
      </c>
      <c r="V2">
        <f>[5]CRP_Outcome_CRP!$S2</f>
        <v>12</v>
      </c>
      <c r="W2">
        <f>[5]CRP_Outcome_CRP!$T2</f>
        <v>12</v>
      </c>
      <c r="X2">
        <f>[5]CRP_Outcome_CRP!$U2</f>
        <v>12</v>
      </c>
      <c r="Y2">
        <f>[5]CRP_Outcome_CRP!$V2</f>
        <v>12</v>
      </c>
      <c r="AA2">
        <f>[6]CRP_Outcome_CRP!$S2</f>
        <v>12</v>
      </c>
      <c r="AB2">
        <f>[6]CRP_Outcome_CRP!$T2</f>
        <v>12</v>
      </c>
      <c r="AC2">
        <f>[6]CRP_Outcome_CRP!$U2</f>
        <v>12</v>
      </c>
      <c r="AD2">
        <f>[6]CRP_Outcome_CRP!$V2</f>
        <v>12</v>
      </c>
      <c r="AF2">
        <f>[7]CRP_Outcome_CRP!$S2</f>
        <v>12</v>
      </c>
      <c r="AG2">
        <f>[7]CRP_Outcome_CRP!$T2</f>
        <v>12</v>
      </c>
      <c r="AH2">
        <f>[7]CRP_Outcome_CRP!$U2</f>
        <v>12</v>
      </c>
      <c r="AI2">
        <f>[7]CRP_Outcome_CRP!$V2</f>
        <v>12</v>
      </c>
      <c r="AK2">
        <f>[8]CRP_Outcome_CRP!$S2</f>
        <v>12</v>
      </c>
      <c r="AL2">
        <f>[8]CRP_Outcome_CRP!$T2</f>
        <v>12</v>
      </c>
      <c r="AM2">
        <f>[8]CRP_Outcome_CRP!$U2</f>
        <v>12</v>
      </c>
      <c r="AN2">
        <f>[8]CRP_Outcome_CRP!$V2</f>
        <v>12</v>
      </c>
      <c r="AP2">
        <f>[9]CRP_Outcome_CRP!$S2</f>
        <v>12</v>
      </c>
      <c r="AQ2">
        <f>[9]CRP_Outcome_CRP!$T2</f>
        <v>12</v>
      </c>
      <c r="AR2">
        <f>[9]CRP_Outcome_CRP!$U2</f>
        <v>12</v>
      </c>
      <c r="AS2">
        <f>[9]CRP_Outcome_CRP!$V2</f>
        <v>12</v>
      </c>
      <c r="AU2">
        <f>[10]CRP_Outcome_CRP!$S2</f>
        <v>12</v>
      </c>
      <c r="AV2">
        <f>[10]CRP_Outcome_CRP!$T2</f>
        <v>12</v>
      </c>
      <c r="AW2">
        <f>[10]CRP_Outcome_CRP!$U2</f>
        <v>12</v>
      </c>
      <c r="AX2">
        <f>[10]CRP_Outcome_CRP!$V2</f>
        <v>12</v>
      </c>
      <c r="BA2">
        <f>AVERAGE(B2,G2,L2,Q2,V2,AA2,AF2,AK2,AP2,AU2)</f>
        <v>12</v>
      </c>
      <c r="BB2">
        <f t="shared" ref="BB2:BD17" si="0">AVERAGE(C2,H2,M2,R2,W2,AB2,AG2,AL2,AQ2,AV2)</f>
        <v>12</v>
      </c>
      <c r="BC2">
        <f t="shared" si="0"/>
        <v>12</v>
      </c>
      <c r="BD2">
        <f t="shared" si="0"/>
        <v>12</v>
      </c>
    </row>
    <row r="3" spans="1:56" x14ac:dyDescent="0.35">
      <c r="A3">
        <v>1</v>
      </c>
      <c r="B3">
        <f>[1]CRP_Outcome_CRP!$S3</f>
        <v>12</v>
      </c>
      <c r="C3">
        <f>[1]CRP_Outcome_CRP!$T3</f>
        <v>12</v>
      </c>
      <c r="D3">
        <f>[1]CRP_Outcome_CRP!$U3</f>
        <v>12</v>
      </c>
      <c r="E3">
        <f>[1]CRP_Outcome_CRP!$V3</f>
        <v>12</v>
      </c>
      <c r="G3">
        <f>[2]CRP_Outcome_CRP!$S3</f>
        <v>12</v>
      </c>
      <c r="H3">
        <f>[2]CRP_Outcome_CRP!$T3</f>
        <v>12</v>
      </c>
      <c r="I3">
        <f>[2]CRP_Outcome_CRP!$U3</f>
        <v>12</v>
      </c>
      <c r="J3">
        <f>[2]CRP_Outcome_CRP!$V3</f>
        <v>12</v>
      </c>
      <c r="L3">
        <f>[3]CRP_Outcome_CRP!$S3</f>
        <v>12</v>
      </c>
      <c r="M3">
        <f>[3]CRP_Outcome_CRP!$T3</f>
        <v>12</v>
      </c>
      <c r="N3">
        <f>[3]CRP_Outcome_CRP!$U3</f>
        <v>12</v>
      </c>
      <c r="O3">
        <f>[3]CRP_Outcome_CRP!$V3</f>
        <v>12</v>
      </c>
      <c r="Q3">
        <f>[4]CRP_Outcome_CRP!$S3</f>
        <v>12</v>
      </c>
      <c r="R3">
        <f>[4]CRP_Outcome_CRP!$T3</f>
        <v>12</v>
      </c>
      <c r="S3">
        <f>[4]CRP_Outcome_CRP!$U3</f>
        <v>12</v>
      </c>
      <c r="T3">
        <f>[4]CRP_Outcome_CRP!$V3</f>
        <v>12</v>
      </c>
      <c r="V3">
        <f>[5]CRP_Outcome_CRP!$S3</f>
        <v>12</v>
      </c>
      <c r="W3">
        <f>[5]CRP_Outcome_CRP!$T3</f>
        <v>12</v>
      </c>
      <c r="X3">
        <f>[5]CRP_Outcome_CRP!$U3</f>
        <v>12</v>
      </c>
      <c r="Y3">
        <f>[5]CRP_Outcome_CRP!$V3</f>
        <v>12</v>
      </c>
      <c r="AA3">
        <f>[6]CRP_Outcome_CRP!$S3</f>
        <v>12</v>
      </c>
      <c r="AB3">
        <f>[6]CRP_Outcome_CRP!$T3</f>
        <v>12</v>
      </c>
      <c r="AC3">
        <f>[6]CRP_Outcome_CRP!$U3</f>
        <v>12</v>
      </c>
      <c r="AD3">
        <f>[6]CRP_Outcome_CRP!$V3</f>
        <v>12</v>
      </c>
      <c r="AF3">
        <f>[7]CRP_Outcome_CRP!$S3</f>
        <v>12</v>
      </c>
      <c r="AG3">
        <f>[7]CRP_Outcome_CRP!$T3</f>
        <v>12</v>
      </c>
      <c r="AH3">
        <f>[7]CRP_Outcome_CRP!$U3</f>
        <v>12</v>
      </c>
      <c r="AI3">
        <f>[7]CRP_Outcome_CRP!$V3</f>
        <v>12</v>
      </c>
      <c r="AK3">
        <f>[8]CRP_Outcome_CRP!$S3</f>
        <v>12</v>
      </c>
      <c r="AL3">
        <f>[8]CRP_Outcome_CRP!$T3</f>
        <v>12</v>
      </c>
      <c r="AM3">
        <f>[8]CRP_Outcome_CRP!$U3</f>
        <v>12</v>
      </c>
      <c r="AN3">
        <f>[8]CRP_Outcome_CRP!$V3</f>
        <v>12</v>
      </c>
      <c r="AP3">
        <f>[9]CRP_Outcome_CRP!$S3</f>
        <v>12</v>
      </c>
      <c r="AQ3">
        <f>[9]CRP_Outcome_CRP!$T3</f>
        <v>12</v>
      </c>
      <c r="AR3">
        <f>[9]CRP_Outcome_CRP!$U3</f>
        <v>12</v>
      </c>
      <c r="AS3">
        <f>[9]CRP_Outcome_CRP!$V3</f>
        <v>12</v>
      </c>
      <c r="AU3">
        <f>[9]CRP_Outcome_CRP!$S3</f>
        <v>12</v>
      </c>
      <c r="AV3">
        <f>[9]CRP_Outcome_CRP!$T3</f>
        <v>12</v>
      </c>
      <c r="AW3">
        <f>[9]CRP_Outcome_CRP!$U3</f>
        <v>12</v>
      </c>
      <c r="AX3">
        <f>[9]CRP_Outcome_CRP!$V3</f>
        <v>12</v>
      </c>
      <c r="BA3">
        <f t="shared" ref="BA3:BD38" si="1">AVERAGE(B3,G3,L3,Q3,V3,AA3,AF3,AK3,AP3,AU3)</f>
        <v>12</v>
      </c>
      <c r="BB3">
        <f t="shared" si="0"/>
        <v>12</v>
      </c>
      <c r="BC3">
        <f t="shared" si="0"/>
        <v>12</v>
      </c>
      <c r="BD3">
        <f t="shared" si="0"/>
        <v>12</v>
      </c>
    </row>
    <row r="4" spans="1:56" x14ac:dyDescent="0.35">
      <c r="A4">
        <v>2</v>
      </c>
      <c r="B4">
        <f>[1]CRP_Outcome_CRP!$S4</f>
        <v>16</v>
      </c>
      <c r="C4">
        <f>[1]CRP_Outcome_CRP!$T4</f>
        <v>12</v>
      </c>
      <c r="D4">
        <f>[1]CRP_Outcome_CRP!$U4</f>
        <v>20</v>
      </c>
      <c r="E4">
        <f>[1]CRP_Outcome_CRP!$V4</f>
        <v>12</v>
      </c>
      <c r="G4">
        <f>[2]CRP_Outcome_CRP!$S4</f>
        <v>12</v>
      </c>
      <c r="H4">
        <f>[2]CRP_Outcome_CRP!$T4</f>
        <v>20</v>
      </c>
      <c r="I4">
        <f>[2]CRP_Outcome_CRP!$U4</f>
        <v>20</v>
      </c>
      <c r="J4">
        <f>[2]CRP_Outcome_CRP!$V4</f>
        <v>8</v>
      </c>
      <c r="L4">
        <f>[3]CRP_Outcome_CRP!$S4</f>
        <v>12</v>
      </c>
      <c r="M4">
        <f>[3]CRP_Outcome_CRP!$T4</f>
        <v>20</v>
      </c>
      <c r="N4">
        <f>[3]CRP_Outcome_CRP!$U4</f>
        <v>20</v>
      </c>
      <c r="O4">
        <f>[3]CRP_Outcome_CRP!$V4</f>
        <v>12</v>
      </c>
      <c r="Q4">
        <f>[4]CRP_Outcome_CRP!$S4</f>
        <v>12</v>
      </c>
      <c r="R4">
        <f>[4]CRP_Outcome_CRP!$T4</f>
        <v>20</v>
      </c>
      <c r="S4">
        <f>[4]CRP_Outcome_CRP!$U4</f>
        <v>20</v>
      </c>
      <c r="T4">
        <f>[4]CRP_Outcome_CRP!$V4</f>
        <v>12</v>
      </c>
      <c r="V4">
        <f>[5]CRP_Outcome_CRP!$S4</f>
        <v>12</v>
      </c>
      <c r="W4">
        <f>[5]CRP_Outcome_CRP!$T4</f>
        <v>20</v>
      </c>
      <c r="X4">
        <f>[5]CRP_Outcome_CRP!$U4</f>
        <v>16</v>
      </c>
      <c r="Y4">
        <f>[5]CRP_Outcome_CRP!$V4</f>
        <v>12</v>
      </c>
      <c r="AA4">
        <f>[6]CRP_Outcome_CRP!$S4</f>
        <v>12</v>
      </c>
      <c r="AB4">
        <f>[6]CRP_Outcome_CRP!$T4</f>
        <v>20</v>
      </c>
      <c r="AC4">
        <f>[6]CRP_Outcome_CRP!$U4</f>
        <v>16</v>
      </c>
      <c r="AD4">
        <f>[6]CRP_Outcome_CRP!$V4</f>
        <v>12</v>
      </c>
      <c r="AF4">
        <f>[7]CRP_Outcome_CRP!$S4</f>
        <v>16</v>
      </c>
      <c r="AG4">
        <f>[7]CRP_Outcome_CRP!$T4</f>
        <v>20</v>
      </c>
      <c r="AH4">
        <f>[7]CRP_Outcome_CRP!$U4</f>
        <v>20</v>
      </c>
      <c r="AI4">
        <f>[7]CRP_Outcome_CRP!$V4</f>
        <v>12</v>
      </c>
      <c r="AK4">
        <f>[8]CRP_Outcome_CRP!$S4</f>
        <v>12</v>
      </c>
      <c r="AL4">
        <f>[8]CRP_Outcome_CRP!$T4</f>
        <v>12</v>
      </c>
      <c r="AM4">
        <f>[8]CRP_Outcome_CRP!$U4</f>
        <v>20</v>
      </c>
      <c r="AN4">
        <f>[8]CRP_Outcome_CRP!$V4</f>
        <v>12</v>
      </c>
      <c r="AP4">
        <f>[9]CRP_Outcome_CRP!$S4</f>
        <v>12</v>
      </c>
      <c r="AQ4">
        <f>[9]CRP_Outcome_CRP!$T4</f>
        <v>20</v>
      </c>
      <c r="AR4">
        <f>[9]CRP_Outcome_CRP!$U4</f>
        <v>12</v>
      </c>
      <c r="AS4">
        <f>[9]CRP_Outcome_CRP!$V4</f>
        <v>8</v>
      </c>
      <c r="AU4">
        <f>[9]CRP_Outcome_CRP!$S4</f>
        <v>12</v>
      </c>
      <c r="AV4">
        <f>[9]CRP_Outcome_CRP!$T4</f>
        <v>20</v>
      </c>
      <c r="AW4">
        <f>[9]CRP_Outcome_CRP!$U4</f>
        <v>12</v>
      </c>
      <c r="AX4">
        <f>[9]CRP_Outcome_CRP!$V4</f>
        <v>8</v>
      </c>
      <c r="BA4">
        <f t="shared" si="1"/>
        <v>12.8</v>
      </c>
      <c r="BB4">
        <f t="shared" si="0"/>
        <v>18.399999999999999</v>
      </c>
      <c r="BC4">
        <f t="shared" si="0"/>
        <v>17.600000000000001</v>
      </c>
      <c r="BD4">
        <f t="shared" si="0"/>
        <v>10.8</v>
      </c>
    </row>
    <row r="5" spans="1:56" x14ac:dyDescent="0.35">
      <c r="A5">
        <v>3</v>
      </c>
      <c r="B5">
        <f>[1]CRP_Outcome_CRP!$S5</f>
        <v>12</v>
      </c>
      <c r="C5">
        <f>[1]CRP_Outcome_CRP!$T5</f>
        <v>20</v>
      </c>
      <c r="D5">
        <f>[1]CRP_Outcome_CRP!$U5</f>
        <v>12</v>
      </c>
      <c r="E5">
        <f>[1]CRP_Outcome_CRP!$V5</f>
        <v>12</v>
      </c>
      <c r="G5">
        <f>[2]CRP_Outcome_CRP!$S5</f>
        <v>12</v>
      </c>
      <c r="H5">
        <f>[2]CRP_Outcome_CRP!$T5</f>
        <v>12</v>
      </c>
      <c r="I5">
        <f>[2]CRP_Outcome_CRP!$U5</f>
        <v>16</v>
      </c>
      <c r="J5">
        <f>[2]CRP_Outcome_CRP!$V5</f>
        <v>12</v>
      </c>
      <c r="L5">
        <f>[3]CRP_Outcome_CRP!$S5</f>
        <v>12</v>
      </c>
      <c r="M5">
        <f>[3]CRP_Outcome_CRP!$T5</f>
        <v>12</v>
      </c>
      <c r="N5">
        <f>[3]CRP_Outcome_CRP!$U5</f>
        <v>12</v>
      </c>
      <c r="O5">
        <f>[3]CRP_Outcome_CRP!$V5</f>
        <v>12</v>
      </c>
      <c r="Q5">
        <f>[4]CRP_Outcome_CRP!$S5</f>
        <v>12</v>
      </c>
      <c r="R5">
        <f>[4]CRP_Outcome_CRP!$T5</f>
        <v>20</v>
      </c>
      <c r="S5">
        <f>[4]CRP_Outcome_CRP!$U5</f>
        <v>16</v>
      </c>
      <c r="T5">
        <f>[4]CRP_Outcome_CRP!$V5</f>
        <v>12</v>
      </c>
      <c r="V5">
        <f>[5]CRP_Outcome_CRP!$S5</f>
        <v>12</v>
      </c>
      <c r="W5">
        <f>[5]CRP_Outcome_CRP!$T5</f>
        <v>12</v>
      </c>
      <c r="X5">
        <f>[5]CRP_Outcome_CRP!$U5</f>
        <v>16</v>
      </c>
      <c r="Y5">
        <f>[5]CRP_Outcome_CRP!$V5</f>
        <v>16</v>
      </c>
      <c r="AA5">
        <f>[6]CRP_Outcome_CRP!$S5</f>
        <v>12</v>
      </c>
      <c r="AB5">
        <f>[6]CRP_Outcome_CRP!$T5</f>
        <v>12</v>
      </c>
      <c r="AC5">
        <f>[6]CRP_Outcome_CRP!$U5</f>
        <v>16</v>
      </c>
      <c r="AD5">
        <f>[6]CRP_Outcome_CRP!$V5</f>
        <v>16</v>
      </c>
      <c r="AF5">
        <f>[7]CRP_Outcome_CRP!$S5</f>
        <v>12</v>
      </c>
      <c r="AG5">
        <f>[7]CRP_Outcome_CRP!$T5</f>
        <v>20</v>
      </c>
      <c r="AH5">
        <f>[7]CRP_Outcome_CRP!$U5</f>
        <v>12</v>
      </c>
      <c r="AI5">
        <f>[7]CRP_Outcome_CRP!$V5</f>
        <v>16</v>
      </c>
      <c r="AK5">
        <f>[8]CRP_Outcome_CRP!$S5</f>
        <v>12</v>
      </c>
      <c r="AL5">
        <f>[8]CRP_Outcome_CRP!$T5</f>
        <v>12</v>
      </c>
      <c r="AM5">
        <f>[8]CRP_Outcome_CRP!$U5</f>
        <v>12</v>
      </c>
      <c r="AN5">
        <f>[8]CRP_Outcome_CRP!$V5</f>
        <v>8</v>
      </c>
      <c r="AP5">
        <f>[9]CRP_Outcome_CRP!$S5</f>
        <v>12</v>
      </c>
      <c r="AQ5">
        <f>[9]CRP_Outcome_CRP!$T5</f>
        <v>12</v>
      </c>
      <c r="AR5">
        <f>[9]CRP_Outcome_CRP!$U5</f>
        <v>12</v>
      </c>
      <c r="AS5">
        <f>[9]CRP_Outcome_CRP!$V5</f>
        <v>4</v>
      </c>
      <c r="AU5">
        <f>[9]CRP_Outcome_CRP!$S5</f>
        <v>12</v>
      </c>
      <c r="AV5">
        <f>[9]CRP_Outcome_CRP!$T5</f>
        <v>12</v>
      </c>
      <c r="AW5">
        <f>[9]CRP_Outcome_CRP!$U5</f>
        <v>12</v>
      </c>
      <c r="AX5">
        <f>[9]CRP_Outcome_CRP!$V5</f>
        <v>4</v>
      </c>
      <c r="BA5">
        <f t="shared" si="1"/>
        <v>12</v>
      </c>
      <c r="BB5">
        <f t="shared" si="0"/>
        <v>14.4</v>
      </c>
      <c r="BC5">
        <f t="shared" si="0"/>
        <v>13.6</v>
      </c>
      <c r="BD5">
        <f t="shared" si="0"/>
        <v>11.2</v>
      </c>
    </row>
    <row r="6" spans="1:56" x14ac:dyDescent="0.35">
      <c r="A6">
        <v>4</v>
      </c>
      <c r="B6">
        <f>[1]CRP_Outcome_CRP!$S6</f>
        <v>12</v>
      </c>
      <c r="C6">
        <f>[1]CRP_Outcome_CRP!$T6</f>
        <v>12</v>
      </c>
      <c r="D6">
        <f>[1]CRP_Outcome_CRP!$U6</f>
        <v>12</v>
      </c>
      <c r="E6">
        <f>[1]CRP_Outcome_CRP!$V6</f>
        <v>12</v>
      </c>
      <c r="G6">
        <f>[2]CRP_Outcome_CRP!$S6</f>
        <v>8</v>
      </c>
      <c r="H6">
        <f>[2]CRP_Outcome_CRP!$T6</f>
        <v>12</v>
      </c>
      <c r="I6">
        <f>[2]CRP_Outcome_CRP!$U6</f>
        <v>12</v>
      </c>
      <c r="J6">
        <f>[2]CRP_Outcome_CRP!$V6</f>
        <v>12</v>
      </c>
      <c r="L6">
        <f>[3]CRP_Outcome_CRP!$S6</f>
        <v>8</v>
      </c>
      <c r="M6">
        <f>[3]CRP_Outcome_CRP!$T6</f>
        <v>12</v>
      </c>
      <c r="N6">
        <f>[3]CRP_Outcome_CRP!$U6</f>
        <v>12</v>
      </c>
      <c r="O6">
        <f>[3]CRP_Outcome_CRP!$V6</f>
        <v>12</v>
      </c>
      <c r="Q6">
        <f>[4]CRP_Outcome_CRP!$S6</f>
        <v>8</v>
      </c>
      <c r="R6">
        <f>[4]CRP_Outcome_CRP!$T6</f>
        <v>12</v>
      </c>
      <c r="S6">
        <f>[4]CRP_Outcome_CRP!$U6</f>
        <v>12</v>
      </c>
      <c r="T6">
        <f>[4]CRP_Outcome_CRP!$V6</f>
        <v>12</v>
      </c>
      <c r="V6">
        <f>[5]CRP_Outcome_CRP!$S6</f>
        <v>8</v>
      </c>
      <c r="W6">
        <f>[5]CRP_Outcome_CRP!$T6</f>
        <v>12</v>
      </c>
      <c r="X6">
        <f>[5]CRP_Outcome_CRP!$U6</f>
        <v>12</v>
      </c>
      <c r="Y6">
        <f>[5]CRP_Outcome_CRP!$V6</f>
        <v>12</v>
      </c>
      <c r="AA6">
        <f>[6]CRP_Outcome_CRP!$S6</f>
        <v>8</v>
      </c>
      <c r="AB6">
        <f>[6]CRP_Outcome_CRP!$T6</f>
        <v>12</v>
      </c>
      <c r="AC6">
        <f>[6]CRP_Outcome_CRP!$U6</f>
        <v>12</v>
      </c>
      <c r="AD6">
        <f>[6]CRP_Outcome_CRP!$V6</f>
        <v>12</v>
      </c>
      <c r="AF6">
        <f>[7]CRP_Outcome_CRP!$S6</f>
        <v>8</v>
      </c>
      <c r="AG6">
        <f>[7]CRP_Outcome_CRP!$T6</f>
        <v>20</v>
      </c>
      <c r="AH6">
        <f>[7]CRP_Outcome_CRP!$U6</f>
        <v>12</v>
      </c>
      <c r="AI6">
        <f>[7]CRP_Outcome_CRP!$V6</f>
        <v>16</v>
      </c>
      <c r="AK6">
        <f>[8]CRP_Outcome_CRP!$S6</f>
        <v>12</v>
      </c>
      <c r="AL6">
        <f>[8]CRP_Outcome_CRP!$T6</f>
        <v>12</v>
      </c>
      <c r="AM6">
        <f>[8]CRP_Outcome_CRP!$U6</f>
        <v>12</v>
      </c>
      <c r="AN6">
        <f>[8]CRP_Outcome_CRP!$V6</f>
        <v>12</v>
      </c>
      <c r="AP6">
        <f>[9]CRP_Outcome_CRP!$S6</f>
        <v>8</v>
      </c>
      <c r="AQ6">
        <f>[9]CRP_Outcome_CRP!$T6</f>
        <v>12</v>
      </c>
      <c r="AR6">
        <f>[9]CRP_Outcome_CRP!$U6</f>
        <v>12</v>
      </c>
      <c r="AS6">
        <f>[9]CRP_Outcome_CRP!$V6</f>
        <v>4</v>
      </c>
      <c r="AU6">
        <f>[9]CRP_Outcome_CRP!$S6</f>
        <v>8</v>
      </c>
      <c r="AV6">
        <f>[9]CRP_Outcome_CRP!$T6</f>
        <v>12</v>
      </c>
      <c r="AW6">
        <f>[9]CRP_Outcome_CRP!$U6</f>
        <v>12</v>
      </c>
      <c r="AX6">
        <f>[9]CRP_Outcome_CRP!$V6</f>
        <v>4</v>
      </c>
      <c r="BA6">
        <f t="shared" si="1"/>
        <v>8.8000000000000007</v>
      </c>
      <c r="BB6">
        <f t="shared" si="0"/>
        <v>12.8</v>
      </c>
      <c r="BC6">
        <f t="shared" si="0"/>
        <v>12</v>
      </c>
      <c r="BD6">
        <f t="shared" si="0"/>
        <v>10.8</v>
      </c>
    </row>
    <row r="7" spans="1:56" x14ac:dyDescent="0.35">
      <c r="A7">
        <v>5</v>
      </c>
      <c r="B7">
        <f>[1]CRP_Outcome_CRP!$S7</f>
        <v>8</v>
      </c>
      <c r="C7">
        <f>[1]CRP_Outcome_CRP!$T7</f>
        <v>12</v>
      </c>
      <c r="D7">
        <f>[1]CRP_Outcome_CRP!$U7</f>
        <v>8</v>
      </c>
      <c r="E7">
        <f>[1]CRP_Outcome_CRP!$V7</f>
        <v>12</v>
      </c>
      <c r="G7">
        <f>[2]CRP_Outcome_CRP!$S7</f>
        <v>12</v>
      </c>
      <c r="H7">
        <f>[2]CRP_Outcome_CRP!$T7</f>
        <v>12</v>
      </c>
      <c r="I7">
        <f>[2]CRP_Outcome_CRP!$U7</f>
        <v>8</v>
      </c>
      <c r="J7">
        <f>[2]CRP_Outcome_CRP!$V7</f>
        <v>12</v>
      </c>
      <c r="L7">
        <f>[3]CRP_Outcome_CRP!$S7</f>
        <v>12</v>
      </c>
      <c r="M7">
        <f>[3]CRP_Outcome_CRP!$T7</f>
        <v>12</v>
      </c>
      <c r="N7">
        <f>[3]CRP_Outcome_CRP!$U7</f>
        <v>8</v>
      </c>
      <c r="O7">
        <f>[3]CRP_Outcome_CRP!$V7</f>
        <v>12</v>
      </c>
      <c r="Q7">
        <f>[4]CRP_Outcome_CRP!$S7</f>
        <v>8</v>
      </c>
      <c r="R7">
        <f>[4]CRP_Outcome_CRP!$T7</f>
        <v>12</v>
      </c>
      <c r="S7">
        <f>[4]CRP_Outcome_CRP!$U7</f>
        <v>8</v>
      </c>
      <c r="T7">
        <f>[4]CRP_Outcome_CRP!$V7</f>
        <v>12</v>
      </c>
      <c r="V7">
        <f>[5]CRP_Outcome_CRP!$S7</f>
        <v>12</v>
      </c>
      <c r="W7">
        <f>[5]CRP_Outcome_CRP!$T7</f>
        <v>12</v>
      </c>
      <c r="X7">
        <f>[5]CRP_Outcome_CRP!$U7</f>
        <v>8</v>
      </c>
      <c r="Y7">
        <f>[5]CRP_Outcome_CRP!$V7</f>
        <v>12</v>
      </c>
      <c r="AA7">
        <f>[6]CRP_Outcome_CRP!$S7</f>
        <v>12</v>
      </c>
      <c r="AB7">
        <f>[6]CRP_Outcome_CRP!$T7</f>
        <v>12</v>
      </c>
      <c r="AC7">
        <f>[6]CRP_Outcome_CRP!$U7</f>
        <v>8</v>
      </c>
      <c r="AD7">
        <f>[6]CRP_Outcome_CRP!$V7</f>
        <v>12</v>
      </c>
      <c r="AF7">
        <f>[7]CRP_Outcome_CRP!$S7</f>
        <v>8</v>
      </c>
      <c r="AG7">
        <f>[7]CRP_Outcome_CRP!$T7</f>
        <v>20</v>
      </c>
      <c r="AH7">
        <f>[7]CRP_Outcome_CRP!$U7</f>
        <v>8</v>
      </c>
      <c r="AI7">
        <f>[7]CRP_Outcome_CRP!$V7</f>
        <v>16</v>
      </c>
      <c r="AK7">
        <f>[8]CRP_Outcome_CRP!$S7</f>
        <v>12</v>
      </c>
      <c r="AL7">
        <f>[8]CRP_Outcome_CRP!$T7</f>
        <v>12</v>
      </c>
      <c r="AM7">
        <f>[8]CRP_Outcome_CRP!$U7</f>
        <v>8</v>
      </c>
      <c r="AN7">
        <f>[8]CRP_Outcome_CRP!$V7</f>
        <v>12</v>
      </c>
      <c r="AP7">
        <f>[9]CRP_Outcome_CRP!$S7</f>
        <v>12</v>
      </c>
      <c r="AQ7">
        <f>[9]CRP_Outcome_CRP!$T7</f>
        <v>12</v>
      </c>
      <c r="AR7">
        <f>[9]CRP_Outcome_CRP!$U7</f>
        <v>8</v>
      </c>
      <c r="AS7">
        <f>[9]CRP_Outcome_CRP!$V7</f>
        <v>8</v>
      </c>
      <c r="AU7">
        <f>[9]CRP_Outcome_CRP!$S7</f>
        <v>12</v>
      </c>
      <c r="AV7">
        <f>[9]CRP_Outcome_CRP!$T7</f>
        <v>12</v>
      </c>
      <c r="AW7">
        <f>[9]CRP_Outcome_CRP!$U7</f>
        <v>8</v>
      </c>
      <c r="AX7">
        <f>[9]CRP_Outcome_CRP!$V7</f>
        <v>8</v>
      </c>
      <c r="BA7">
        <f t="shared" si="1"/>
        <v>10.8</v>
      </c>
      <c r="BB7">
        <f t="shared" si="0"/>
        <v>12.8</v>
      </c>
      <c r="BC7">
        <f t="shared" si="0"/>
        <v>8</v>
      </c>
      <c r="BD7">
        <f t="shared" si="0"/>
        <v>11.6</v>
      </c>
    </row>
    <row r="8" spans="1:56" x14ac:dyDescent="0.35">
      <c r="A8">
        <v>6</v>
      </c>
      <c r="B8">
        <f>[1]CRP_Outcome_CRP!$S8</f>
        <v>12</v>
      </c>
      <c r="C8">
        <f>[1]CRP_Outcome_CRP!$T8</f>
        <v>12</v>
      </c>
      <c r="D8">
        <f>[1]CRP_Outcome_CRP!$U8</f>
        <v>8</v>
      </c>
      <c r="E8">
        <f>[1]CRP_Outcome_CRP!$V8</f>
        <v>12</v>
      </c>
      <c r="G8">
        <f>[2]CRP_Outcome_CRP!$S8</f>
        <v>12</v>
      </c>
      <c r="H8">
        <f>[2]CRP_Outcome_CRP!$T8</f>
        <v>12</v>
      </c>
      <c r="I8">
        <f>[2]CRP_Outcome_CRP!$U8</f>
        <v>8</v>
      </c>
      <c r="J8">
        <f>[2]CRP_Outcome_CRP!$V8</f>
        <v>12</v>
      </c>
      <c r="L8">
        <f>[3]CRP_Outcome_CRP!$S8</f>
        <v>12</v>
      </c>
      <c r="M8">
        <f>[3]CRP_Outcome_CRP!$T8</f>
        <v>12</v>
      </c>
      <c r="N8">
        <f>[3]CRP_Outcome_CRP!$U8</f>
        <v>8</v>
      </c>
      <c r="O8">
        <f>[3]CRP_Outcome_CRP!$V8</f>
        <v>12</v>
      </c>
      <c r="Q8">
        <f>[4]CRP_Outcome_CRP!$S8</f>
        <v>12</v>
      </c>
      <c r="R8">
        <f>[4]CRP_Outcome_CRP!$T8</f>
        <v>12</v>
      </c>
      <c r="S8">
        <f>[4]CRP_Outcome_CRP!$U8</f>
        <v>8</v>
      </c>
      <c r="T8">
        <f>[4]CRP_Outcome_CRP!$V8</f>
        <v>12</v>
      </c>
      <c r="V8">
        <f>[5]CRP_Outcome_CRP!$S8</f>
        <v>12</v>
      </c>
      <c r="W8">
        <f>[5]CRP_Outcome_CRP!$T8</f>
        <v>12</v>
      </c>
      <c r="X8">
        <f>[5]CRP_Outcome_CRP!$U8</f>
        <v>8</v>
      </c>
      <c r="Y8">
        <f>[5]CRP_Outcome_CRP!$V8</f>
        <v>12</v>
      </c>
      <c r="AA8">
        <f>[6]CRP_Outcome_CRP!$S8</f>
        <v>12</v>
      </c>
      <c r="AB8">
        <f>[6]CRP_Outcome_CRP!$T8</f>
        <v>12</v>
      </c>
      <c r="AC8">
        <f>[6]CRP_Outcome_CRP!$U8</f>
        <v>8</v>
      </c>
      <c r="AD8">
        <f>[6]CRP_Outcome_CRP!$V8</f>
        <v>12</v>
      </c>
      <c r="AF8">
        <f>[7]CRP_Outcome_CRP!$S8</f>
        <v>8</v>
      </c>
      <c r="AG8">
        <f>[7]CRP_Outcome_CRP!$T8</f>
        <v>12</v>
      </c>
      <c r="AH8">
        <f>[7]CRP_Outcome_CRP!$U8</f>
        <v>8</v>
      </c>
      <c r="AI8">
        <f>[7]CRP_Outcome_CRP!$V8</f>
        <v>12</v>
      </c>
      <c r="AK8">
        <f>[8]CRP_Outcome_CRP!$S8</f>
        <v>12</v>
      </c>
      <c r="AL8">
        <f>[8]CRP_Outcome_CRP!$T8</f>
        <v>12</v>
      </c>
      <c r="AM8">
        <f>[8]CRP_Outcome_CRP!$U8</f>
        <v>8</v>
      </c>
      <c r="AN8">
        <f>[8]CRP_Outcome_CRP!$V8</f>
        <v>12</v>
      </c>
      <c r="AP8">
        <f>[9]CRP_Outcome_CRP!$S8</f>
        <v>12</v>
      </c>
      <c r="AQ8">
        <f>[9]CRP_Outcome_CRP!$T8</f>
        <v>12</v>
      </c>
      <c r="AR8">
        <f>[9]CRP_Outcome_CRP!$U8</f>
        <v>8</v>
      </c>
      <c r="AS8">
        <f>[9]CRP_Outcome_CRP!$V8</f>
        <v>8</v>
      </c>
      <c r="AU8">
        <f>[9]CRP_Outcome_CRP!$S8</f>
        <v>12</v>
      </c>
      <c r="AV8">
        <f>[9]CRP_Outcome_CRP!$T8</f>
        <v>12</v>
      </c>
      <c r="AW8">
        <f>[9]CRP_Outcome_CRP!$U8</f>
        <v>8</v>
      </c>
      <c r="AX8">
        <f>[9]CRP_Outcome_CRP!$V8</f>
        <v>8</v>
      </c>
      <c r="BA8">
        <f t="shared" si="1"/>
        <v>11.6</v>
      </c>
      <c r="BB8">
        <f t="shared" si="0"/>
        <v>12</v>
      </c>
      <c r="BC8">
        <f t="shared" si="0"/>
        <v>8</v>
      </c>
      <c r="BD8">
        <f t="shared" si="0"/>
        <v>11.2</v>
      </c>
    </row>
    <row r="9" spans="1:56" x14ac:dyDescent="0.35">
      <c r="A9">
        <v>7</v>
      </c>
      <c r="B9">
        <f>[1]CRP_Outcome_CRP!$S9</f>
        <v>16</v>
      </c>
      <c r="C9">
        <f>[1]CRP_Outcome_CRP!$T9</f>
        <v>16</v>
      </c>
      <c r="D9">
        <f>[1]CRP_Outcome_CRP!$U9</f>
        <v>8</v>
      </c>
      <c r="E9">
        <f>[1]CRP_Outcome_CRP!$V9</f>
        <v>8</v>
      </c>
      <c r="G9">
        <f>[2]CRP_Outcome_CRP!$S9</f>
        <v>16</v>
      </c>
      <c r="H9">
        <f>[2]CRP_Outcome_CRP!$T9</f>
        <v>16</v>
      </c>
      <c r="I9">
        <f>[2]CRP_Outcome_CRP!$U9</f>
        <v>8</v>
      </c>
      <c r="J9">
        <f>[2]CRP_Outcome_CRP!$V9</f>
        <v>9</v>
      </c>
      <c r="L9">
        <f>[3]CRP_Outcome_CRP!$S9</f>
        <v>16</v>
      </c>
      <c r="M9">
        <f>[3]CRP_Outcome_CRP!$T9</f>
        <v>16</v>
      </c>
      <c r="N9">
        <f>[3]CRP_Outcome_CRP!$U9</f>
        <v>8</v>
      </c>
      <c r="O9">
        <f>[3]CRP_Outcome_CRP!$V9</f>
        <v>8</v>
      </c>
      <c r="Q9">
        <f>[4]CRP_Outcome_CRP!$S9</f>
        <v>16</v>
      </c>
      <c r="R9">
        <f>[4]CRP_Outcome_CRP!$T9</f>
        <v>16</v>
      </c>
      <c r="S9">
        <f>[4]CRP_Outcome_CRP!$U9</f>
        <v>8</v>
      </c>
      <c r="T9">
        <f>[4]CRP_Outcome_CRP!$V9</f>
        <v>8</v>
      </c>
      <c r="V9">
        <f>[5]CRP_Outcome_CRP!$S9</f>
        <v>16</v>
      </c>
      <c r="W9">
        <f>[5]CRP_Outcome_CRP!$T9</f>
        <v>16</v>
      </c>
      <c r="X9">
        <f>[5]CRP_Outcome_CRP!$U9</f>
        <v>8</v>
      </c>
      <c r="Y9">
        <f>[5]CRP_Outcome_CRP!$V9</f>
        <v>10</v>
      </c>
      <c r="AA9">
        <f>[6]CRP_Outcome_CRP!$S9</f>
        <v>16</v>
      </c>
      <c r="AB9">
        <f>[6]CRP_Outcome_CRP!$T9</f>
        <v>16</v>
      </c>
      <c r="AC9">
        <f>[6]CRP_Outcome_CRP!$U9</f>
        <v>8</v>
      </c>
      <c r="AD9">
        <f>[6]CRP_Outcome_CRP!$V9</f>
        <v>10</v>
      </c>
      <c r="AF9">
        <f>[7]CRP_Outcome_CRP!$S9</f>
        <v>12</v>
      </c>
      <c r="AG9">
        <f>[7]CRP_Outcome_CRP!$T9</f>
        <v>10</v>
      </c>
      <c r="AH9">
        <f>[7]CRP_Outcome_CRP!$U9</f>
        <v>8</v>
      </c>
      <c r="AI9">
        <f>[7]CRP_Outcome_CRP!$V9</f>
        <v>9</v>
      </c>
      <c r="AK9">
        <f>[8]CRP_Outcome_CRP!$S9</f>
        <v>16</v>
      </c>
      <c r="AL9">
        <f>[8]CRP_Outcome_CRP!$T9</f>
        <v>16</v>
      </c>
      <c r="AM9">
        <f>[8]CRP_Outcome_CRP!$U9</f>
        <v>8</v>
      </c>
      <c r="AN9">
        <f>[8]CRP_Outcome_CRP!$V9</f>
        <v>9</v>
      </c>
      <c r="AP9">
        <f>[9]CRP_Outcome_CRP!$S9</f>
        <v>16</v>
      </c>
      <c r="AQ9">
        <f>[9]CRP_Outcome_CRP!$T9</f>
        <v>16</v>
      </c>
      <c r="AR9">
        <f>[9]CRP_Outcome_CRP!$U9</f>
        <v>8</v>
      </c>
      <c r="AS9">
        <f>[9]CRP_Outcome_CRP!$V9</f>
        <v>8</v>
      </c>
      <c r="AU9">
        <f>[9]CRP_Outcome_CRP!$S9</f>
        <v>16</v>
      </c>
      <c r="AV9">
        <f>[9]CRP_Outcome_CRP!$T9</f>
        <v>16</v>
      </c>
      <c r="AW9">
        <f>[9]CRP_Outcome_CRP!$U9</f>
        <v>8</v>
      </c>
      <c r="AX9">
        <f>[9]CRP_Outcome_CRP!$V9</f>
        <v>8</v>
      </c>
      <c r="BA9">
        <f t="shared" si="1"/>
        <v>15.6</v>
      </c>
      <c r="BB9">
        <f t="shared" si="0"/>
        <v>15.4</v>
      </c>
      <c r="BC9">
        <f t="shared" si="0"/>
        <v>8</v>
      </c>
      <c r="BD9">
        <f t="shared" si="0"/>
        <v>8.6999999999999993</v>
      </c>
    </row>
    <row r="10" spans="1:56" x14ac:dyDescent="0.35">
      <c r="A10">
        <v>8</v>
      </c>
      <c r="B10">
        <f>[1]CRP_Outcome_CRP!$S10</f>
        <v>16</v>
      </c>
      <c r="C10">
        <f>[1]CRP_Outcome_CRP!$T10</f>
        <v>12</v>
      </c>
      <c r="D10">
        <f>[1]CRP_Outcome_CRP!$U10</f>
        <v>8</v>
      </c>
      <c r="E10">
        <f>[1]CRP_Outcome_CRP!$V10</f>
        <v>6</v>
      </c>
      <c r="G10">
        <f>[2]CRP_Outcome_CRP!$S10</f>
        <v>16</v>
      </c>
      <c r="H10">
        <f>[2]CRP_Outcome_CRP!$T10</f>
        <v>11</v>
      </c>
      <c r="I10">
        <f>[2]CRP_Outcome_CRP!$U10</f>
        <v>8</v>
      </c>
      <c r="J10">
        <f>[2]CRP_Outcome_CRP!$V10</f>
        <v>7</v>
      </c>
      <c r="L10">
        <f>[3]CRP_Outcome_CRP!$S10</f>
        <v>16</v>
      </c>
      <c r="M10">
        <f>[3]CRP_Outcome_CRP!$T10</f>
        <v>12</v>
      </c>
      <c r="N10">
        <f>[3]CRP_Outcome_CRP!$U10</f>
        <v>8</v>
      </c>
      <c r="O10">
        <f>[3]CRP_Outcome_CRP!$V10</f>
        <v>6</v>
      </c>
      <c r="Q10">
        <f>[4]CRP_Outcome_CRP!$S10</f>
        <v>16</v>
      </c>
      <c r="R10">
        <f>[4]CRP_Outcome_CRP!$T10</f>
        <v>12</v>
      </c>
      <c r="S10">
        <f>[4]CRP_Outcome_CRP!$U10</f>
        <v>8</v>
      </c>
      <c r="T10">
        <f>[4]CRP_Outcome_CRP!$V10</f>
        <v>6</v>
      </c>
      <c r="V10">
        <f>[5]CRP_Outcome_CRP!$S10</f>
        <v>16</v>
      </c>
      <c r="W10">
        <f>[5]CRP_Outcome_CRP!$T10</f>
        <v>11</v>
      </c>
      <c r="X10">
        <f>[5]CRP_Outcome_CRP!$U10</f>
        <v>8</v>
      </c>
      <c r="Y10">
        <f>[5]CRP_Outcome_CRP!$V10</f>
        <v>7</v>
      </c>
      <c r="AA10">
        <f>[6]CRP_Outcome_CRP!$S10</f>
        <v>16</v>
      </c>
      <c r="AB10">
        <f>[6]CRP_Outcome_CRP!$T10</f>
        <v>11</v>
      </c>
      <c r="AC10">
        <f>[6]CRP_Outcome_CRP!$U10</f>
        <v>8</v>
      </c>
      <c r="AD10">
        <f>[6]CRP_Outcome_CRP!$V10</f>
        <v>7</v>
      </c>
      <c r="AF10">
        <f>[7]CRP_Outcome_CRP!$S10</f>
        <v>16</v>
      </c>
      <c r="AG10">
        <f>[7]CRP_Outcome_CRP!$T10</f>
        <v>12</v>
      </c>
      <c r="AH10">
        <f>[7]CRP_Outcome_CRP!$U10</f>
        <v>8</v>
      </c>
      <c r="AI10">
        <f>[7]CRP_Outcome_CRP!$V10</f>
        <v>7</v>
      </c>
      <c r="AK10">
        <f>[8]CRP_Outcome_CRP!$S10</f>
        <v>16</v>
      </c>
      <c r="AL10">
        <f>[8]CRP_Outcome_CRP!$T10</f>
        <v>12</v>
      </c>
      <c r="AM10">
        <f>[8]CRP_Outcome_CRP!$U10</f>
        <v>8</v>
      </c>
      <c r="AN10">
        <f>[8]CRP_Outcome_CRP!$V10</f>
        <v>7</v>
      </c>
      <c r="AP10">
        <f>[9]CRP_Outcome_CRP!$S10</f>
        <v>15</v>
      </c>
      <c r="AQ10">
        <f>[9]CRP_Outcome_CRP!$T10</f>
        <v>12</v>
      </c>
      <c r="AR10">
        <f>[9]CRP_Outcome_CRP!$U10</f>
        <v>8</v>
      </c>
      <c r="AS10">
        <f>[9]CRP_Outcome_CRP!$V10</f>
        <v>10</v>
      </c>
      <c r="AU10">
        <f>[9]CRP_Outcome_CRP!$S10</f>
        <v>15</v>
      </c>
      <c r="AV10">
        <f>[9]CRP_Outcome_CRP!$T10</f>
        <v>12</v>
      </c>
      <c r="AW10">
        <f>[9]CRP_Outcome_CRP!$U10</f>
        <v>8</v>
      </c>
      <c r="AX10">
        <f>[9]CRP_Outcome_CRP!$V10</f>
        <v>10</v>
      </c>
      <c r="BA10">
        <f t="shared" si="1"/>
        <v>15.8</v>
      </c>
      <c r="BB10">
        <f t="shared" si="0"/>
        <v>11.7</v>
      </c>
      <c r="BC10">
        <f t="shared" si="0"/>
        <v>8</v>
      </c>
      <c r="BD10">
        <f t="shared" si="0"/>
        <v>7.3</v>
      </c>
    </row>
    <row r="11" spans="1:56" x14ac:dyDescent="0.35">
      <c r="A11">
        <v>9</v>
      </c>
      <c r="B11">
        <f>[1]CRP_Outcome_CRP!$S11</f>
        <v>1</v>
      </c>
      <c r="C11">
        <f>[1]CRP_Outcome_CRP!$T11</f>
        <v>12</v>
      </c>
      <c r="D11">
        <f>[1]CRP_Outcome_CRP!$U11</f>
        <v>12</v>
      </c>
      <c r="E11">
        <f>[1]CRP_Outcome_CRP!$V11</f>
        <v>2</v>
      </c>
      <c r="G11">
        <f>[2]CRP_Outcome_CRP!$S11</f>
        <v>2</v>
      </c>
      <c r="H11">
        <f>[2]CRP_Outcome_CRP!$T11</f>
        <v>12</v>
      </c>
      <c r="I11">
        <f>[2]CRP_Outcome_CRP!$U11</f>
        <v>11</v>
      </c>
      <c r="J11">
        <f>[2]CRP_Outcome_CRP!$V11</f>
        <v>2</v>
      </c>
      <c r="L11">
        <f>[3]CRP_Outcome_CRP!$S11</f>
        <v>3</v>
      </c>
      <c r="M11">
        <f>[3]CRP_Outcome_CRP!$T11</f>
        <v>12</v>
      </c>
      <c r="N11">
        <f>[3]CRP_Outcome_CRP!$U11</f>
        <v>12</v>
      </c>
      <c r="O11">
        <f>[3]CRP_Outcome_CRP!$V11</f>
        <v>2</v>
      </c>
      <c r="Q11">
        <f>[4]CRP_Outcome_CRP!$S11</f>
        <v>3</v>
      </c>
      <c r="R11">
        <f>[4]CRP_Outcome_CRP!$T11</f>
        <v>12</v>
      </c>
      <c r="S11">
        <f>[4]CRP_Outcome_CRP!$U11</f>
        <v>12</v>
      </c>
      <c r="T11">
        <f>[4]CRP_Outcome_CRP!$V11</f>
        <v>2</v>
      </c>
      <c r="V11">
        <f>[5]CRP_Outcome_CRP!$S11</f>
        <v>5</v>
      </c>
      <c r="W11">
        <f>[5]CRP_Outcome_CRP!$T11</f>
        <v>12</v>
      </c>
      <c r="X11">
        <f>[5]CRP_Outcome_CRP!$U11</f>
        <v>10</v>
      </c>
      <c r="Y11">
        <f>[5]CRP_Outcome_CRP!$V11</f>
        <v>2</v>
      </c>
      <c r="AA11">
        <f>[6]CRP_Outcome_CRP!$S11</f>
        <v>5</v>
      </c>
      <c r="AB11">
        <f>[6]CRP_Outcome_CRP!$T11</f>
        <v>12</v>
      </c>
      <c r="AC11">
        <f>[6]CRP_Outcome_CRP!$U11</f>
        <v>10</v>
      </c>
      <c r="AD11">
        <f>[6]CRP_Outcome_CRP!$V11</f>
        <v>2</v>
      </c>
      <c r="AF11">
        <f>[7]CRP_Outcome_CRP!$S11</f>
        <v>11</v>
      </c>
      <c r="AG11">
        <f>[7]CRP_Outcome_CRP!$T11</f>
        <v>13</v>
      </c>
      <c r="AH11">
        <f>[7]CRP_Outcome_CRP!$U11</f>
        <v>11</v>
      </c>
      <c r="AI11">
        <f>[7]CRP_Outcome_CRP!$V11</f>
        <v>3</v>
      </c>
      <c r="AK11">
        <f>[8]CRP_Outcome_CRP!$S11</f>
        <v>5</v>
      </c>
      <c r="AL11">
        <f>[8]CRP_Outcome_CRP!$T11</f>
        <v>13</v>
      </c>
      <c r="AM11">
        <f>[8]CRP_Outcome_CRP!$U11</f>
        <v>11</v>
      </c>
      <c r="AN11">
        <f>[8]CRP_Outcome_CRP!$V11</f>
        <v>3</v>
      </c>
      <c r="AP11">
        <f>[9]CRP_Outcome_CRP!$S11</f>
        <v>9</v>
      </c>
      <c r="AQ11">
        <f>[9]CRP_Outcome_CRP!$T11</f>
        <v>12</v>
      </c>
      <c r="AR11">
        <f>[9]CRP_Outcome_CRP!$U11</f>
        <v>8</v>
      </c>
      <c r="AS11">
        <f>[9]CRP_Outcome_CRP!$V11</f>
        <v>6</v>
      </c>
      <c r="AU11">
        <f>[9]CRP_Outcome_CRP!$S11</f>
        <v>9</v>
      </c>
      <c r="AV11">
        <f>[9]CRP_Outcome_CRP!$T11</f>
        <v>12</v>
      </c>
      <c r="AW11">
        <f>[9]CRP_Outcome_CRP!$U11</f>
        <v>8</v>
      </c>
      <c r="AX11">
        <f>[9]CRP_Outcome_CRP!$V11</f>
        <v>6</v>
      </c>
      <c r="BA11">
        <f t="shared" si="1"/>
        <v>5.3</v>
      </c>
      <c r="BB11">
        <f t="shared" si="0"/>
        <v>12.2</v>
      </c>
      <c r="BC11">
        <f t="shared" si="0"/>
        <v>10.5</v>
      </c>
      <c r="BD11">
        <f t="shared" si="0"/>
        <v>3</v>
      </c>
    </row>
    <row r="12" spans="1:56" x14ac:dyDescent="0.35">
      <c r="A12">
        <v>10</v>
      </c>
      <c r="B12">
        <f>[1]CRP_Outcome_CRP!$S12</f>
        <v>0</v>
      </c>
      <c r="C12">
        <f>[1]CRP_Outcome_CRP!$T12</f>
        <v>12</v>
      </c>
      <c r="D12">
        <f>[1]CRP_Outcome_CRP!$U12</f>
        <v>14</v>
      </c>
      <c r="E12">
        <f>[1]CRP_Outcome_CRP!$V12</f>
        <v>3</v>
      </c>
      <c r="G12">
        <f>[2]CRP_Outcome_CRP!$S12</f>
        <v>0</v>
      </c>
      <c r="H12">
        <f>[2]CRP_Outcome_CRP!$T12</f>
        <v>12</v>
      </c>
      <c r="I12">
        <f>[2]CRP_Outcome_CRP!$U12</f>
        <v>13</v>
      </c>
      <c r="J12">
        <f>[2]CRP_Outcome_CRP!$V12</f>
        <v>2</v>
      </c>
      <c r="L12">
        <f>[3]CRP_Outcome_CRP!$S12</f>
        <v>0</v>
      </c>
      <c r="M12">
        <f>[3]CRP_Outcome_CRP!$T12</f>
        <v>12</v>
      </c>
      <c r="N12">
        <f>[3]CRP_Outcome_CRP!$U12</f>
        <v>14</v>
      </c>
      <c r="O12">
        <f>[3]CRP_Outcome_CRP!$V12</f>
        <v>3</v>
      </c>
      <c r="Q12">
        <f>[4]CRP_Outcome_CRP!$S12</f>
        <v>0</v>
      </c>
      <c r="R12">
        <f>[4]CRP_Outcome_CRP!$T12</f>
        <v>12</v>
      </c>
      <c r="S12">
        <f>[4]CRP_Outcome_CRP!$U12</f>
        <v>14</v>
      </c>
      <c r="T12">
        <f>[4]CRP_Outcome_CRP!$V12</f>
        <v>3</v>
      </c>
      <c r="V12">
        <f>[5]CRP_Outcome_CRP!$S12</f>
        <v>0</v>
      </c>
      <c r="W12">
        <f>[5]CRP_Outcome_CRP!$T12</f>
        <v>12</v>
      </c>
      <c r="X12">
        <f>[5]CRP_Outcome_CRP!$U12</f>
        <v>13</v>
      </c>
      <c r="Y12">
        <f>[5]CRP_Outcome_CRP!$V12</f>
        <v>3</v>
      </c>
      <c r="AA12">
        <f>[6]CRP_Outcome_CRP!$S12</f>
        <v>0</v>
      </c>
      <c r="AB12">
        <f>[6]CRP_Outcome_CRP!$T12</f>
        <v>12</v>
      </c>
      <c r="AC12">
        <f>[6]CRP_Outcome_CRP!$U12</f>
        <v>13</v>
      </c>
      <c r="AD12">
        <f>[6]CRP_Outcome_CRP!$V12</f>
        <v>3</v>
      </c>
      <c r="AF12">
        <f>[7]CRP_Outcome_CRP!$S12</f>
        <v>0</v>
      </c>
      <c r="AG12">
        <f>[7]CRP_Outcome_CRP!$T12</f>
        <v>17</v>
      </c>
      <c r="AH12">
        <f>[7]CRP_Outcome_CRP!$U12</f>
        <v>13</v>
      </c>
      <c r="AI12">
        <f>[7]CRP_Outcome_CRP!$V12</f>
        <v>3</v>
      </c>
      <c r="AK12">
        <f>[8]CRP_Outcome_CRP!$S12</f>
        <v>0</v>
      </c>
      <c r="AL12">
        <f>[8]CRP_Outcome_CRP!$T12</f>
        <v>12</v>
      </c>
      <c r="AM12">
        <f>[8]CRP_Outcome_CRP!$U12</f>
        <v>13</v>
      </c>
      <c r="AN12">
        <f>[8]CRP_Outcome_CRP!$V12</f>
        <v>3</v>
      </c>
      <c r="AP12">
        <f>[9]CRP_Outcome_CRP!$S12</f>
        <v>7</v>
      </c>
      <c r="AQ12">
        <f>[9]CRP_Outcome_CRP!$T12</f>
        <v>12</v>
      </c>
      <c r="AR12">
        <f>[9]CRP_Outcome_CRP!$U12</f>
        <v>10</v>
      </c>
      <c r="AS12">
        <f>[9]CRP_Outcome_CRP!$V12</f>
        <v>7</v>
      </c>
      <c r="AU12">
        <f>[9]CRP_Outcome_CRP!$S12</f>
        <v>7</v>
      </c>
      <c r="AV12">
        <f>[9]CRP_Outcome_CRP!$T12</f>
        <v>12</v>
      </c>
      <c r="AW12">
        <f>[9]CRP_Outcome_CRP!$U12</f>
        <v>10</v>
      </c>
      <c r="AX12">
        <f>[9]CRP_Outcome_CRP!$V12</f>
        <v>7</v>
      </c>
      <c r="BA12">
        <f t="shared" si="1"/>
        <v>1.4</v>
      </c>
      <c r="BB12">
        <f t="shared" si="0"/>
        <v>12.5</v>
      </c>
      <c r="BC12">
        <f t="shared" si="0"/>
        <v>12.7</v>
      </c>
      <c r="BD12">
        <f t="shared" si="0"/>
        <v>3.7</v>
      </c>
    </row>
    <row r="13" spans="1:56" x14ac:dyDescent="0.35">
      <c r="A13">
        <v>11</v>
      </c>
      <c r="B13">
        <f>[1]CRP_Outcome_CRP!$S13</f>
        <v>0</v>
      </c>
      <c r="C13">
        <f>[1]CRP_Outcome_CRP!$T13</f>
        <v>0</v>
      </c>
      <c r="D13">
        <f>[1]CRP_Outcome_CRP!$U13</f>
        <v>14</v>
      </c>
      <c r="E13">
        <f>[1]CRP_Outcome_CRP!$V13</f>
        <v>15</v>
      </c>
      <c r="G13">
        <f>[2]CRP_Outcome_CRP!$S13</f>
        <v>0</v>
      </c>
      <c r="H13">
        <f>[2]CRP_Outcome_CRP!$T13</f>
        <v>1</v>
      </c>
      <c r="I13">
        <f>[2]CRP_Outcome_CRP!$U13</f>
        <v>14</v>
      </c>
      <c r="J13">
        <f>[2]CRP_Outcome_CRP!$V13</f>
        <v>14</v>
      </c>
      <c r="L13">
        <f>[3]CRP_Outcome_CRP!$S13</f>
        <v>0</v>
      </c>
      <c r="M13">
        <f>[3]CRP_Outcome_CRP!$T13</f>
        <v>4</v>
      </c>
      <c r="N13">
        <f>[3]CRP_Outcome_CRP!$U13</f>
        <v>14</v>
      </c>
      <c r="O13">
        <f>[3]CRP_Outcome_CRP!$V13</f>
        <v>13</v>
      </c>
      <c r="Q13">
        <f>[4]CRP_Outcome_CRP!$S13</f>
        <v>0</v>
      </c>
      <c r="R13">
        <f>[4]CRP_Outcome_CRP!$T13</f>
        <v>0</v>
      </c>
      <c r="S13">
        <f>[4]CRP_Outcome_CRP!$U13</f>
        <v>14</v>
      </c>
      <c r="T13">
        <f>[4]CRP_Outcome_CRP!$V13</f>
        <v>13</v>
      </c>
      <c r="V13">
        <f>[5]CRP_Outcome_CRP!$S13</f>
        <v>0</v>
      </c>
      <c r="W13">
        <f>[5]CRP_Outcome_CRP!$T13</f>
        <v>5</v>
      </c>
      <c r="X13">
        <f>[5]CRP_Outcome_CRP!$U13</f>
        <v>14</v>
      </c>
      <c r="Y13">
        <f>[5]CRP_Outcome_CRP!$V13</f>
        <v>11</v>
      </c>
      <c r="AA13">
        <f>[6]CRP_Outcome_CRP!$S13</f>
        <v>0</v>
      </c>
      <c r="AB13">
        <f>[6]CRP_Outcome_CRP!$T13</f>
        <v>5</v>
      </c>
      <c r="AC13">
        <f>[6]CRP_Outcome_CRP!$U13</f>
        <v>14</v>
      </c>
      <c r="AD13">
        <f>[6]CRP_Outcome_CRP!$V13</f>
        <v>11</v>
      </c>
      <c r="AF13">
        <f>[7]CRP_Outcome_CRP!$S13</f>
        <v>1</v>
      </c>
      <c r="AG13">
        <f>[7]CRP_Outcome_CRP!$T13</f>
        <v>7</v>
      </c>
      <c r="AH13">
        <f>[7]CRP_Outcome_CRP!$U13</f>
        <v>13</v>
      </c>
      <c r="AI13">
        <f>[7]CRP_Outcome_CRP!$V13</f>
        <v>11</v>
      </c>
      <c r="AK13">
        <f>[8]CRP_Outcome_CRP!$S13</f>
        <v>1</v>
      </c>
      <c r="AL13">
        <f>[8]CRP_Outcome_CRP!$T13</f>
        <v>6</v>
      </c>
      <c r="AM13">
        <f>[8]CRP_Outcome_CRP!$U13</f>
        <v>13</v>
      </c>
      <c r="AN13">
        <f>[8]CRP_Outcome_CRP!$V13</f>
        <v>11</v>
      </c>
      <c r="AP13">
        <f>[9]CRP_Outcome_CRP!$S13</f>
        <v>5</v>
      </c>
      <c r="AQ13">
        <f>[9]CRP_Outcome_CRP!$T13</f>
        <v>11</v>
      </c>
      <c r="AR13">
        <f>[9]CRP_Outcome_CRP!$U13</f>
        <v>10</v>
      </c>
      <c r="AS13">
        <f>[9]CRP_Outcome_CRP!$V13</f>
        <v>9</v>
      </c>
      <c r="AU13">
        <f>[9]CRP_Outcome_CRP!$S13</f>
        <v>5</v>
      </c>
      <c r="AV13">
        <f>[9]CRP_Outcome_CRP!$T13</f>
        <v>11</v>
      </c>
      <c r="AW13">
        <f>[9]CRP_Outcome_CRP!$U13</f>
        <v>10</v>
      </c>
      <c r="AX13">
        <f>[9]CRP_Outcome_CRP!$V13</f>
        <v>9</v>
      </c>
      <c r="BA13">
        <f t="shared" si="1"/>
        <v>1.2</v>
      </c>
      <c r="BB13">
        <f t="shared" si="0"/>
        <v>5</v>
      </c>
      <c r="BC13">
        <f t="shared" si="0"/>
        <v>13</v>
      </c>
      <c r="BD13">
        <f t="shared" si="0"/>
        <v>11.7</v>
      </c>
    </row>
    <row r="14" spans="1:56" x14ac:dyDescent="0.35">
      <c r="A14">
        <v>12</v>
      </c>
      <c r="B14">
        <f>[1]CRP_Outcome_CRP!$S14</f>
        <v>7</v>
      </c>
      <c r="C14">
        <f>[1]CRP_Outcome_CRP!$T14</f>
        <v>0</v>
      </c>
      <c r="D14">
        <f>[1]CRP_Outcome_CRP!$U14</f>
        <v>13</v>
      </c>
      <c r="E14">
        <f>[1]CRP_Outcome_CRP!$V14</f>
        <v>16</v>
      </c>
      <c r="G14">
        <f>[2]CRP_Outcome_CRP!$S14</f>
        <v>6</v>
      </c>
      <c r="H14">
        <f>[2]CRP_Outcome_CRP!$T14</f>
        <v>0</v>
      </c>
      <c r="I14">
        <f>[2]CRP_Outcome_CRP!$U14</f>
        <v>14</v>
      </c>
      <c r="J14">
        <f>[2]CRP_Outcome_CRP!$V14</f>
        <v>17</v>
      </c>
      <c r="L14">
        <f>[3]CRP_Outcome_CRP!$S14</f>
        <v>6</v>
      </c>
      <c r="M14">
        <f>[3]CRP_Outcome_CRP!$T14</f>
        <v>0</v>
      </c>
      <c r="N14">
        <f>[3]CRP_Outcome_CRP!$U14</f>
        <v>13</v>
      </c>
      <c r="O14">
        <f>[3]CRP_Outcome_CRP!$V14</f>
        <v>16</v>
      </c>
      <c r="Q14">
        <f>[4]CRP_Outcome_CRP!$S14</f>
        <v>6</v>
      </c>
      <c r="R14">
        <f>[4]CRP_Outcome_CRP!$T14</f>
        <v>0</v>
      </c>
      <c r="S14">
        <f>[4]CRP_Outcome_CRP!$U14</f>
        <v>13</v>
      </c>
      <c r="T14">
        <f>[4]CRP_Outcome_CRP!$V14</f>
        <v>16</v>
      </c>
      <c r="V14">
        <f>[5]CRP_Outcome_CRP!$S14</f>
        <v>6</v>
      </c>
      <c r="W14">
        <f>[5]CRP_Outcome_CRP!$T14</f>
        <v>0</v>
      </c>
      <c r="X14">
        <f>[5]CRP_Outcome_CRP!$U14</f>
        <v>13</v>
      </c>
      <c r="Y14">
        <f>[5]CRP_Outcome_CRP!$V14</f>
        <v>18</v>
      </c>
      <c r="AA14">
        <f>[6]CRP_Outcome_CRP!$S14</f>
        <v>6</v>
      </c>
      <c r="AB14">
        <f>[6]CRP_Outcome_CRP!$T14</f>
        <v>0</v>
      </c>
      <c r="AC14">
        <f>[6]CRP_Outcome_CRP!$U14</f>
        <v>13</v>
      </c>
      <c r="AD14">
        <f>[6]CRP_Outcome_CRP!$V14</f>
        <v>18</v>
      </c>
      <c r="AF14">
        <f>[7]CRP_Outcome_CRP!$S14</f>
        <v>6</v>
      </c>
      <c r="AG14">
        <f>[7]CRP_Outcome_CRP!$T14</f>
        <v>0</v>
      </c>
      <c r="AH14">
        <f>[7]CRP_Outcome_CRP!$U14</f>
        <v>13</v>
      </c>
      <c r="AI14">
        <f>[7]CRP_Outcome_CRP!$V14</f>
        <v>16</v>
      </c>
      <c r="AK14">
        <f>[8]CRP_Outcome_CRP!$S14</f>
        <v>6</v>
      </c>
      <c r="AL14">
        <f>[8]CRP_Outcome_CRP!$T14</f>
        <v>0</v>
      </c>
      <c r="AM14">
        <f>[8]CRP_Outcome_CRP!$U14</f>
        <v>13</v>
      </c>
      <c r="AN14">
        <f>[8]CRP_Outcome_CRP!$V14</f>
        <v>16</v>
      </c>
      <c r="AP14">
        <f>[9]CRP_Outcome_CRP!$S14</f>
        <v>9</v>
      </c>
      <c r="AQ14">
        <f>[9]CRP_Outcome_CRP!$T14</f>
        <v>8</v>
      </c>
      <c r="AR14">
        <f>[9]CRP_Outcome_CRP!$U14</f>
        <v>10</v>
      </c>
      <c r="AS14">
        <f>[9]CRP_Outcome_CRP!$V14</f>
        <v>12</v>
      </c>
      <c r="AU14">
        <f>[9]CRP_Outcome_CRP!$S14</f>
        <v>9</v>
      </c>
      <c r="AV14">
        <f>[9]CRP_Outcome_CRP!$T14</f>
        <v>8</v>
      </c>
      <c r="AW14">
        <f>[9]CRP_Outcome_CRP!$U14</f>
        <v>10</v>
      </c>
      <c r="AX14">
        <f>[9]CRP_Outcome_CRP!$V14</f>
        <v>12</v>
      </c>
      <c r="BA14">
        <f t="shared" si="1"/>
        <v>6.7</v>
      </c>
      <c r="BB14">
        <f t="shared" si="0"/>
        <v>1.6</v>
      </c>
      <c r="BC14">
        <f t="shared" si="0"/>
        <v>12.5</v>
      </c>
      <c r="BD14">
        <f t="shared" si="0"/>
        <v>15.7</v>
      </c>
    </row>
    <row r="15" spans="1:56" x14ac:dyDescent="0.35">
      <c r="A15">
        <v>13</v>
      </c>
      <c r="B15">
        <f>[1]CRP_Outcome_CRP!$S15</f>
        <v>24</v>
      </c>
      <c r="C15">
        <f>[1]CRP_Outcome_CRP!$T15</f>
        <v>10</v>
      </c>
      <c r="D15">
        <f>[1]CRP_Outcome_CRP!$U15</f>
        <v>12</v>
      </c>
      <c r="E15">
        <f>[1]CRP_Outcome_CRP!$V15</f>
        <v>15</v>
      </c>
      <c r="G15">
        <f>[2]CRP_Outcome_CRP!$S15</f>
        <v>23</v>
      </c>
      <c r="H15">
        <f>[2]CRP_Outcome_CRP!$T15</f>
        <v>0</v>
      </c>
      <c r="I15">
        <f>[2]CRP_Outcome_CRP!$U15</f>
        <v>12</v>
      </c>
      <c r="J15">
        <f>[2]CRP_Outcome_CRP!$V15</f>
        <v>15</v>
      </c>
      <c r="L15">
        <f>[3]CRP_Outcome_CRP!$S15</f>
        <v>20</v>
      </c>
      <c r="M15">
        <f>[3]CRP_Outcome_CRP!$T15</f>
        <v>0</v>
      </c>
      <c r="N15">
        <f>[3]CRP_Outcome_CRP!$U15</f>
        <v>12</v>
      </c>
      <c r="O15">
        <f>[3]CRP_Outcome_CRP!$V15</f>
        <v>15</v>
      </c>
      <c r="Q15">
        <f>[4]CRP_Outcome_CRP!$S15</f>
        <v>24</v>
      </c>
      <c r="R15">
        <f>[4]CRP_Outcome_CRP!$T15</f>
        <v>4</v>
      </c>
      <c r="S15">
        <f>[4]CRP_Outcome_CRP!$U15</f>
        <v>12</v>
      </c>
      <c r="T15">
        <f>[4]CRP_Outcome_CRP!$V15</f>
        <v>15</v>
      </c>
      <c r="V15">
        <f>[5]CRP_Outcome_CRP!$S15</f>
        <v>19</v>
      </c>
      <c r="W15">
        <f>[5]CRP_Outcome_CRP!$T15</f>
        <v>0</v>
      </c>
      <c r="X15">
        <f>[5]CRP_Outcome_CRP!$U15</f>
        <v>12</v>
      </c>
      <c r="Y15">
        <f>[5]CRP_Outcome_CRP!$V15</f>
        <v>16</v>
      </c>
      <c r="AA15">
        <f>[6]CRP_Outcome_CRP!$S15</f>
        <v>19</v>
      </c>
      <c r="AB15">
        <f>[6]CRP_Outcome_CRP!$T15</f>
        <v>0</v>
      </c>
      <c r="AC15">
        <f>[6]CRP_Outcome_CRP!$U15</f>
        <v>12</v>
      </c>
      <c r="AD15">
        <f>[6]CRP_Outcome_CRP!$V15</f>
        <v>16</v>
      </c>
      <c r="AF15">
        <f>[7]CRP_Outcome_CRP!$S15</f>
        <v>17</v>
      </c>
      <c r="AG15">
        <f>[7]CRP_Outcome_CRP!$T15</f>
        <v>7</v>
      </c>
      <c r="AH15">
        <f>[7]CRP_Outcome_CRP!$U15</f>
        <v>12</v>
      </c>
      <c r="AI15">
        <f>[7]CRP_Outcome_CRP!$V15</f>
        <v>15</v>
      </c>
      <c r="AK15">
        <f>[8]CRP_Outcome_CRP!$S15</f>
        <v>18</v>
      </c>
      <c r="AL15">
        <f>[8]CRP_Outcome_CRP!$T15</f>
        <v>1</v>
      </c>
      <c r="AM15">
        <f>[8]CRP_Outcome_CRP!$U15</f>
        <v>12</v>
      </c>
      <c r="AN15">
        <f>[8]CRP_Outcome_CRP!$V15</f>
        <v>15</v>
      </c>
      <c r="AP15">
        <f>[9]CRP_Outcome_CRP!$S15</f>
        <v>11</v>
      </c>
      <c r="AQ15">
        <f>[9]CRP_Outcome_CRP!$T15</f>
        <v>6</v>
      </c>
      <c r="AR15">
        <f>[9]CRP_Outcome_CRP!$U15</f>
        <v>10</v>
      </c>
      <c r="AS15">
        <f>[9]CRP_Outcome_CRP!$V15</f>
        <v>13</v>
      </c>
      <c r="AU15">
        <f>[9]CRP_Outcome_CRP!$S15</f>
        <v>11</v>
      </c>
      <c r="AV15">
        <f>[9]CRP_Outcome_CRP!$T15</f>
        <v>6</v>
      </c>
      <c r="AW15">
        <f>[9]CRP_Outcome_CRP!$U15</f>
        <v>10</v>
      </c>
      <c r="AX15">
        <f>[9]CRP_Outcome_CRP!$V15</f>
        <v>13</v>
      </c>
      <c r="BA15">
        <f t="shared" si="1"/>
        <v>18.600000000000001</v>
      </c>
      <c r="BB15">
        <f t="shared" si="0"/>
        <v>3.4</v>
      </c>
      <c r="BC15">
        <f t="shared" si="0"/>
        <v>11.6</v>
      </c>
      <c r="BD15">
        <f t="shared" si="0"/>
        <v>14.8</v>
      </c>
    </row>
    <row r="16" spans="1:56" x14ac:dyDescent="0.35">
      <c r="A16">
        <v>14</v>
      </c>
      <c r="B16">
        <f>[1]CRP_Outcome_CRP!$S16</f>
        <v>18</v>
      </c>
      <c r="C16">
        <f>[1]CRP_Outcome_CRP!$T16</f>
        <v>32</v>
      </c>
      <c r="D16">
        <f>[1]CRP_Outcome_CRP!$U16</f>
        <v>12</v>
      </c>
      <c r="E16">
        <f>[1]CRP_Outcome_CRP!$V16</f>
        <v>7</v>
      </c>
      <c r="G16">
        <f>[2]CRP_Outcome_CRP!$S16</f>
        <v>10</v>
      </c>
      <c r="H16">
        <f>[2]CRP_Outcome_CRP!$T16</f>
        <v>14</v>
      </c>
      <c r="I16">
        <f>[2]CRP_Outcome_CRP!$U16</f>
        <v>12</v>
      </c>
      <c r="J16">
        <f>[2]CRP_Outcome_CRP!$V16</f>
        <v>9</v>
      </c>
      <c r="L16">
        <f>[3]CRP_Outcome_CRP!$S16</f>
        <v>21</v>
      </c>
      <c r="M16">
        <f>[3]CRP_Outcome_CRP!$T16</f>
        <v>13</v>
      </c>
      <c r="N16">
        <f>[3]CRP_Outcome_CRP!$U16</f>
        <v>12</v>
      </c>
      <c r="O16">
        <f>[3]CRP_Outcome_CRP!$V16</f>
        <v>8</v>
      </c>
      <c r="Q16">
        <f>[4]CRP_Outcome_CRP!$S16</f>
        <v>21</v>
      </c>
      <c r="R16">
        <f>[4]CRP_Outcome_CRP!$T16</f>
        <v>26</v>
      </c>
      <c r="S16">
        <f>[4]CRP_Outcome_CRP!$U16</f>
        <v>12</v>
      </c>
      <c r="T16">
        <f>[4]CRP_Outcome_CRP!$V16</f>
        <v>8</v>
      </c>
      <c r="V16">
        <f>[5]CRP_Outcome_CRP!$S16</f>
        <v>22</v>
      </c>
      <c r="W16">
        <f>[5]CRP_Outcome_CRP!$T16</f>
        <v>12</v>
      </c>
      <c r="X16">
        <f>[5]CRP_Outcome_CRP!$U16</f>
        <v>11</v>
      </c>
      <c r="Y16">
        <f>[5]CRP_Outcome_CRP!$V16</f>
        <v>9</v>
      </c>
      <c r="AA16">
        <f>[6]CRP_Outcome_CRP!$S16</f>
        <v>22</v>
      </c>
      <c r="AB16">
        <f>[6]CRP_Outcome_CRP!$T16</f>
        <v>12</v>
      </c>
      <c r="AC16">
        <f>[6]CRP_Outcome_CRP!$U16</f>
        <v>11</v>
      </c>
      <c r="AD16">
        <f>[6]CRP_Outcome_CRP!$V16</f>
        <v>9</v>
      </c>
      <c r="AF16">
        <f>[7]CRP_Outcome_CRP!$S16</f>
        <v>22</v>
      </c>
      <c r="AG16">
        <f>[7]CRP_Outcome_CRP!$T16</f>
        <v>14</v>
      </c>
      <c r="AH16">
        <f>[7]CRP_Outcome_CRP!$U16</f>
        <v>12</v>
      </c>
      <c r="AI16">
        <f>[7]CRP_Outcome_CRP!$V16</f>
        <v>9</v>
      </c>
      <c r="AK16">
        <f>[8]CRP_Outcome_CRP!$S16</f>
        <v>22</v>
      </c>
      <c r="AL16">
        <f>[8]CRP_Outcome_CRP!$T16</f>
        <v>10</v>
      </c>
      <c r="AM16">
        <f>[8]CRP_Outcome_CRP!$U16</f>
        <v>12</v>
      </c>
      <c r="AN16">
        <f>[8]CRP_Outcome_CRP!$V16</f>
        <v>9</v>
      </c>
      <c r="AP16">
        <f>[9]CRP_Outcome_CRP!$S16</f>
        <v>16</v>
      </c>
      <c r="AQ16">
        <f>[9]CRP_Outcome_CRP!$T16</f>
        <v>12</v>
      </c>
      <c r="AR16">
        <f>[9]CRP_Outcome_CRP!$U16</f>
        <v>9</v>
      </c>
      <c r="AS16">
        <f>[9]CRP_Outcome_CRP!$V16</f>
        <v>9</v>
      </c>
      <c r="AU16">
        <f>[9]CRP_Outcome_CRP!$S16</f>
        <v>16</v>
      </c>
      <c r="AV16">
        <f>[9]CRP_Outcome_CRP!$T16</f>
        <v>12</v>
      </c>
      <c r="AW16">
        <f>[9]CRP_Outcome_CRP!$U16</f>
        <v>9</v>
      </c>
      <c r="AX16">
        <f>[9]CRP_Outcome_CRP!$V16</f>
        <v>9</v>
      </c>
      <c r="BA16">
        <f t="shared" si="1"/>
        <v>19</v>
      </c>
      <c r="BB16">
        <f t="shared" si="0"/>
        <v>15.7</v>
      </c>
      <c r="BC16">
        <f t="shared" si="0"/>
        <v>11.2</v>
      </c>
      <c r="BD16">
        <f t="shared" si="0"/>
        <v>8.6</v>
      </c>
    </row>
    <row r="17" spans="1:56" x14ac:dyDescent="0.35">
      <c r="A17">
        <v>15</v>
      </c>
      <c r="B17">
        <f>[1]CRP_Outcome_CRP!$S17</f>
        <v>3</v>
      </c>
      <c r="C17">
        <f>[1]CRP_Outcome_CRP!$T17</f>
        <v>21</v>
      </c>
      <c r="D17">
        <f>[1]CRP_Outcome_CRP!$U17</f>
        <v>13</v>
      </c>
      <c r="E17">
        <f>[1]CRP_Outcome_CRP!$V17</f>
        <v>2</v>
      </c>
      <c r="G17">
        <f>[2]CRP_Outcome_CRP!$S17</f>
        <v>10</v>
      </c>
      <c r="H17">
        <f>[2]CRP_Outcome_CRP!$T17</f>
        <v>28</v>
      </c>
      <c r="I17">
        <f>[2]CRP_Outcome_CRP!$U17</f>
        <v>13</v>
      </c>
      <c r="J17">
        <f>[2]CRP_Outcome_CRP!$V17</f>
        <v>2</v>
      </c>
      <c r="L17">
        <f>[3]CRP_Outcome_CRP!$S17</f>
        <v>14</v>
      </c>
      <c r="M17">
        <f>[3]CRP_Outcome_CRP!$T17</f>
        <v>21</v>
      </c>
      <c r="N17">
        <f>[3]CRP_Outcome_CRP!$U17</f>
        <v>13</v>
      </c>
      <c r="O17">
        <f>[3]CRP_Outcome_CRP!$V17</f>
        <v>2</v>
      </c>
      <c r="Q17">
        <f>[4]CRP_Outcome_CRP!$S17</f>
        <v>10</v>
      </c>
      <c r="R17">
        <f>[4]CRP_Outcome_CRP!$T17</f>
        <v>24</v>
      </c>
      <c r="S17">
        <f>[4]CRP_Outcome_CRP!$U17</f>
        <v>13</v>
      </c>
      <c r="T17">
        <f>[4]CRP_Outcome_CRP!$V17</f>
        <v>2</v>
      </c>
      <c r="V17">
        <f>[5]CRP_Outcome_CRP!$S17</f>
        <v>14</v>
      </c>
      <c r="W17">
        <f>[5]CRP_Outcome_CRP!$T17</f>
        <v>27</v>
      </c>
      <c r="X17">
        <f>[5]CRP_Outcome_CRP!$U17</f>
        <v>12</v>
      </c>
      <c r="Y17">
        <f>[5]CRP_Outcome_CRP!$V17</f>
        <v>3</v>
      </c>
      <c r="AA17">
        <f>[6]CRP_Outcome_CRP!$S17</f>
        <v>14</v>
      </c>
      <c r="AB17">
        <f>[6]CRP_Outcome_CRP!$T17</f>
        <v>27</v>
      </c>
      <c r="AC17">
        <f>[6]CRP_Outcome_CRP!$U17</f>
        <v>12</v>
      </c>
      <c r="AD17">
        <f>[6]CRP_Outcome_CRP!$V17</f>
        <v>3</v>
      </c>
      <c r="AF17">
        <f>[7]CRP_Outcome_CRP!$S17</f>
        <v>8</v>
      </c>
      <c r="AG17">
        <f>[7]CRP_Outcome_CRP!$T17</f>
        <v>54</v>
      </c>
      <c r="AH17">
        <f>[7]CRP_Outcome_CRP!$U17</f>
        <v>12</v>
      </c>
      <c r="AI17">
        <f>[7]CRP_Outcome_CRP!$V17</f>
        <v>3</v>
      </c>
      <c r="AK17">
        <f>[8]CRP_Outcome_CRP!$S17</f>
        <v>14</v>
      </c>
      <c r="AL17">
        <f>[8]CRP_Outcome_CRP!$T17</f>
        <v>20</v>
      </c>
      <c r="AM17">
        <f>[8]CRP_Outcome_CRP!$U17</f>
        <v>12</v>
      </c>
      <c r="AN17">
        <f>[8]CRP_Outcome_CRP!$V17</f>
        <v>3</v>
      </c>
      <c r="AP17">
        <f>[9]CRP_Outcome_CRP!$S17</f>
        <v>14</v>
      </c>
      <c r="AQ17">
        <f>[9]CRP_Outcome_CRP!$T17</f>
        <v>12</v>
      </c>
      <c r="AR17">
        <f>[9]CRP_Outcome_CRP!$U17</f>
        <v>10</v>
      </c>
      <c r="AS17">
        <f>[9]CRP_Outcome_CRP!$V17</f>
        <v>8</v>
      </c>
      <c r="AU17">
        <f>[9]CRP_Outcome_CRP!$S17</f>
        <v>14</v>
      </c>
      <c r="AV17">
        <f>[9]CRP_Outcome_CRP!$T17</f>
        <v>12</v>
      </c>
      <c r="AW17">
        <f>[9]CRP_Outcome_CRP!$U17</f>
        <v>10</v>
      </c>
      <c r="AX17">
        <f>[9]CRP_Outcome_CRP!$V17</f>
        <v>8</v>
      </c>
      <c r="BA17">
        <f t="shared" si="1"/>
        <v>11.5</v>
      </c>
      <c r="BB17">
        <f t="shared" si="0"/>
        <v>24.6</v>
      </c>
      <c r="BC17">
        <f t="shared" si="0"/>
        <v>12</v>
      </c>
      <c r="BD17">
        <f t="shared" si="0"/>
        <v>3.6</v>
      </c>
    </row>
    <row r="18" spans="1:56" x14ac:dyDescent="0.35">
      <c r="A18">
        <v>16</v>
      </c>
      <c r="B18">
        <f>[1]CRP_Outcome_CRP!$S18</f>
        <v>0</v>
      </c>
      <c r="C18">
        <f>[1]CRP_Outcome_CRP!$T18</f>
        <v>6</v>
      </c>
      <c r="D18">
        <f>[1]CRP_Outcome_CRP!$U18</f>
        <v>14</v>
      </c>
      <c r="E18">
        <f>[1]CRP_Outcome_CRP!$V18</f>
        <v>9</v>
      </c>
      <c r="G18">
        <f>[2]CRP_Outcome_CRP!$S18</f>
        <v>0</v>
      </c>
      <c r="H18">
        <f>[2]CRP_Outcome_CRP!$T18</f>
        <v>17</v>
      </c>
      <c r="I18">
        <f>[2]CRP_Outcome_CRP!$U18</f>
        <v>13</v>
      </c>
      <c r="J18">
        <f>[2]CRP_Outcome_CRP!$V18</f>
        <v>6</v>
      </c>
      <c r="L18">
        <f>[3]CRP_Outcome_CRP!$S18</f>
        <v>0</v>
      </c>
      <c r="M18">
        <f>[3]CRP_Outcome_CRP!$T18</f>
        <v>20</v>
      </c>
      <c r="N18">
        <f>[3]CRP_Outcome_CRP!$U18</f>
        <v>14</v>
      </c>
      <c r="O18">
        <f>[3]CRP_Outcome_CRP!$V18</f>
        <v>6</v>
      </c>
      <c r="Q18">
        <f>[4]CRP_Outcome_CRP!$S18</f>
        <v>0</v>
      </c>
      <c r="R18">
        <f>[4]CRP_Outcome_CRP!$T18</f>
        <v>12</v>
      </c>
      <c r="S18">
        <f>[4]CRP_Outcome_CRP!$U18</f>
        <v>14</v>
      </c>
      <c r="T18">
        <f>[4]CRP_Outcome_CRP!$V18</f>
        <v>6</v>
      </c>
      <c r="V18">
        <f>[5]CRP_Outcome_CRP!$S18</f>
        <v>0</v>
      </c>
      <c r="W18">
        <f>[5]CRP_Outcome_CRP!$T18</f>
        <v>31</v>
      </c>
      <c r="X18">
        <f>[5]CRP_Outcome_CRP!$U18</f>
        <v>13</v>
      </c>
      <c r="Y18">
        <f>[5]CRP_Outcome_CRP!$V18</f>
        <v>5</v>
      </c>
      <c r="AA18">
        <f>[6]CRP_Outcome_CRP!$S18</f>
        <v>0</v>
      </c>
      <c r="AB18">
        <f>[6]CRP_Outcome_CRP!$T18</f>
        <v>31</v>
      </c>
      <c r="AC18">
        <f>[6]CRP_Outcome_CRP!$U18</f>
        <v>13</v>
      </c>
      <c r="AD18">
        <f>[6]CRP_Outcome_CRP!$V18</f>
        <v>5</v>
      </c>
      <c r="AF18">
        <f>[7]CRP_Outcome_CRP!$S18</f>
        <v>0</v>
      </c>
      <c r="AG18">
        <f>[7]CRP_Outcome_CRP!$T18</f>
        <v>15</v>
      </c>
      <c r="AH18">
        <f>[7]CRP_Outcome_CRP!$U18</f>
        <v>13</v>
      </c>
      <c r="AI18">
        <f>[7]CRP_Outcome_CRP!$V18</f>
        <v>5</v>
      </c>
      <c r="AK18">
        <f>[8]CRP_Outcome_CRP!$S18</f>
        <v>0</v>
      </c>
      <c r="AL18">
        <f>[8]CRP_Outcome_CRP!$T18</f>
        <v>17</v>
      </c>
      <c r="AM18">
        <f>[8]CRP_Outcome_CRP!$U18</f>
        <v>13</v>
      </c>
      <c r="AN18">
        <f>[8]CRP_Outcome_CRP!$V18</f>
        <v>5</v>
      </c>
      <c r="AP18">
        <f>[9]CRP_Outcome_CRP!$S18</f>
        <v>4</v>
      </c>
      <c r="AQ18">
        <f>[9]CRP_Outcome_CRP!$T18</f>
        <v>13</v>
      </c>
      <c r="AR18">
        <f>[9]CRP_Outcome_CRP!$U18</f>
        <v>10</v>
      </c>
      <c r="AS18">
        <f>[9]CRP_Outcome_CRP!$V18</f>
        <v>6</v>
      </c>
      <c r="AU18">
        <f>[9]CRP_Outcome_CRP!$S18</f>
        <v>4</v>
      </c>
      <c r="AV18">
        <f>[9]CRP_Outcome_CRP!$T18</f>
        <v>13</v>
      </c>
      <c r="AW18">
        <f>[9]CRP_Outcome_CRP!$U18</f>
        <v>10</v>
      </c>
      <c r="AX18">
        <f>[9]CRP_Outcome_CRP!$V18</f>
        <v>6</v>
      </c>
      <c r="BA18">
        <f t="shared" si="1"/>
        <v>0.8</v>
      </c>
      <c r="BB18">
        <f t="shared" si="1"/>
        <v>17.5</v>
      </c>
      <c r="BC18">
        <f t="shared" si="1"/>
        <v>12.7</v>
      </c>
      <c r="BD18">
        <f t="shared" si="1"/>
        <v>5.9</v>
      </c>
    </row>
    <row r="19" spans="1:56" x14ac:dyDescent="0.35">
      <c r="A19">
        <v>17</v>
      </c>
      <c r="B19">
        <f>[1]CRP_Outcome_CRP!$S19</f>
        <v>1</v>
      </c>
      <c r="C19">
        <f>[1]CRP_Outcome_CRP!$T19</f>
        <v>0</v>
      </c>
      <c r="D19">
        <f>[1]CRP_Outcome_CRP!$U19</f>
        <v>14</v>
      </c>
      <c r="E19">
        <f>[1]CRP_Outcome_CRP!$V19</f>
        <v>14</v>
      </c>
      <c r="G19">
        <f>[2]CRP_Outcome_CRP!$S19</f>
        <v>0</v>
      </c>
      <c r="H19">
        <f>[2]CRP_Outcome_CRP!$T19</f>
        <v>0</v>
      </c>
      <c r="I19">
        <f>[2]CRP_Outcome_CRP!$U19</f>
        <v>14</v>
      </c>
      <c r="J19">
        <f>[2]CRP_Outcome_CRP!$V19</f>
        <v>17</v>
      </c>
      <c r="L19">
        <f>[3]CRP_Outcome_CRP!$S19</f>
        <v>0</v>
      </c>
      <c r="M19">
        <f>[3]CRP_Outcome_CRP!$T19</f>
        <v>5</v>
      </c>
      <c r="N19">
        <f>[3]CRP_Outcome_CRP!$U19</f>
        <v>14</v>
      </c>
      <c r="O19">
        <f>[3]CRP_Outcome_CRP!$V19</f>
        <v>13</v>
      </c>
      <c r="Q19">
        <f>[4]CRP_Outcome_CRP!$S19</f>
        <v>0</v>
      </c>
      <c r="R19">
        <f>[4]CRP_Outcome_CRP!$T19</f>
        <v>0</v>
      </c>
      <c r="S19">
        <f>[4]CRP_Outcome_CRP!$U19</f>
        <v>16</v>
      </c>
      <c r="T19">
        <f>[4]CRP_Outcome_CRP!$V19</f>
        <v>13</v>
      </c>
      <c r="V19">
        <f>[5]CRP_Outcome_CRP!$S19</f>
        <v>1</v>
      </c>
      <c r="W19">
        <f>[5]CRP_Outcome_CRP!$T19</f>
        <v>5</v>
      </c>
      <c r="X19">
        <f>[5]CRP_Outcome_CRP!$U19</f>
        <v>13</v>
      </c>
      <c r="Y19">
        <f>[5]CRP_Outcome_CRP!$V19</f>
        <v>13</v>
      </c>
      <c r="AA19">
        <f>[6]CRP_Outcome_CRP!$S19</f>
        <v>1</v>
      </c>
      <c r="AB19">
        <f>[6]CRP_Outcome_CRP!$T19</f>
        <v>5</v>
      </c>
      <c r="AC19">
        <f>[6]CRP_Outcome_CRP!$U19</f>
        <v>13</v>
      </c>
      <c r="AD19">
        <f>[6]CRP_Outcome_CRP!$V19</f>
        <v>13</v>
      </c>
      <c r="AF19">
        <f>[7]CRP_Outcome_CRP!$S19</f>
        <v>0</v>
      </c>
      <c r="AG19">
        <f>[7]CRP_Outcome_CRP!$T19</f>
        <v>0</v>
      </c>
      <c r="AH19">
        <f>[7]CRP_Outcome_CRP!$U19</f>
        <v>13</v>
      </c>
      <c r="AI19">
        <f>[7]CRP_Outcome_CRP!$V19</f>
        <v>13</v>
      </c>
      <c r="AK19">
        <f>[8]CRP_Outcome_CRP!$S19</f>
        <v>0</v>
      </c>
      <c r="AL19">
        <f>[8]CRP_Outcome_CRP!$T19</f>
        <v>7</v>
      </c>
      <c r="AM19">
        <f>[8]CRP_Outcome_CRP!$U19</f>
        <v>13</v>
      </c>
      <c r="AN19">
        <f>[8]CRP_Outcome_CRP!$V19</f>
        <v>13</v>
      </c>
      <c r="AP19">
        <f>[9]CRP_Outcome_CRP!$S19</f>
        <v>7</v>
      </c>
      <c r="AQ19">
        <f>[9]CRP_Outcome_CRP!$T19</f>
        <v>12</v>
      </c>
      <c r="AR19">
        <f>[9]CRP_Outcome_CRP!$U19</f>
        <v>10</v>
      </c>
      <c r="AS19">
        <f>[9]CRP_Outcome_CRP!$V19</f>
        <v>11</v>
      </c>
      <c r="AU19">
        <f>[9]CRP_Outcome_CRP!$S19</f>
        <v>7</v>
      </c>
      <c r="AV19">
        <f>[9]CRP_Outcome_CRP!$T19</f>
        <v>12</v>
      </c>
      <c r="AW19">
        <f>[9]CRP_Outcome_CRP!$U19</f>
        <v>10</v>
      </c>
      <c r="AX19">
        <f>[9]CRP_Outcome_CRP!$V19</f>
        <v>11</v>
      </c>
      <c r="BA19">
        <f t="shared" si="1"/>
        <v>1.7</v>
      </c>
      <c r="BB19">
        <f t="shared" si="1"/>
        <v>4.5999999999999996</v>
      </c>
      <c r="BC19">
        <f t="shared" si="1"/>
        <v>13</v>
      </c>
      <c r="BD19">
        <f t="shared" si="1"/>
        <v>13.1</v>
      </c>
    </row>
    <row r="20" spans="1:56" x14ac:dyDescent="0.35">
      <c r="A20">
        <v>18</v>
      </c>
      <c r="B20">
        <f>[1]CRP_Outcome_CRP!$S20</f>
        <v>16</v>
      </c>
      <c r="C20">
        <f>[1]CRP_Outcome_CRP!$T20</f>
        <v>0</v>
      </c>
      <c r="D20">
        <f>[1]CRP_Outcome_CRP!$U20</f>
        <v>13</v>
      </c>
      <c r="E20">
        <f>[1]CRP_Outcome_CRP!$V20</f>
        <v>15</v>
      </c>
      <c r="G20">
        <f>[2]CRP_Outcome_CRP!$S20</f>
        <v>12</v>
      </c>
      <c r="H20">
        <f>[2]CRP_Outcome_CRP!$T20</f>
        <v>0</v>
      </c>
      <c r="I20">
        <f>[2]CRP_Outcome_CRP!$U20</f>
        <v>13</v>
      </c>
      <c r="J20">
        <f>[2]CRP_Outcome_CRP!$V20</f>
        <v>17</v>
      </c>
      <c r="L20">
        <f>[3]CRP_Outcome_CRP!$S20</f>
        <v>8</v>
      </c>
      <c r="M20">
        <f>[3]CRP_Outcome_CRP!$T20</f>
        <v>0</v>
      </c>
      <c r="N20">
        <f>[3]CRP_Outcome_CRP!$U20</f>
        <v>13</v>
      </c>
      <c r="O20">
        <f>[3]CRP_Outcome_CRP!$V20</f>
        <v>16</v>
      </c>
      <c r="Q20">
        <f>[4]CRP_Outcome_CRP!$S20</f>
        <v>8</v>
      </c>
      <c r="R20">
        <f>[4]CRP_Outcome_CRP!$T20</f>
        <v>0</v>
      </c>
      <c r="S20">
        <f>[4]CRP_Outcome_CRP!$U20</f>
        <v>17</v>
      </c>
      <c r="T20">
        <f>[4]CRP_Outcome_CRP!$V20</f>
        <v>15</v>
      </c>
      <c r="V20">
        <f>[5]CRP_Outcome_CRP!$S20</f>
        <v>8</v>
      </c>
      <c r="W20">
        <f>[5]CRP_Outcome_CRP!$T20</f>
        <v>0</v>
      </c>
      <c r="X20">
        <f>[5]CRP_Outcome_CRP!$U20</f>
        <v>13</v>
      </c>
      <c r="Y20">
        <f>[5]CRP_Outcome_CRP!$V20</f>
        <v>19</v>
      </c>
      <c r="AA20">
        <f>[6]CRP_Outcome_CRP!$S20</f>
        <v>8</v>
      </c>
      <c r="AB20">
        <f>[6]CRP_Outcome_CRP!$T20</f>
        <v>0</v>
      </c>
      <c r="AC20">
        <f>[6]CRP_Outcome_CRP!$U20</f>
        <v>13</v>
      </c>
      <c r="AD20">
        <f>[6]CRP_Outcome_CRP!$V20</f>
        <v>19</v>
      </c>
      <c r="AF20">
        <f>[7]CRP_Outcome_CRP!$S20</f>
        <v>8</v>
      </c>
      <c r="AG20">
        <f>[7]CRP_Outcome_CRP!$T20</f>
        <v>0</v>
      </c>
      <c r="AH20">
        <f>[7]CRP_Outcome_CRP!$U20</f>
        <v>13</v>
      </c>
      <c r="AI20">
        <f>[7]CRP_Outcome_CRP!$V20</f>
        <v>16</v>
      </c>
      <c r="AK20">
        <f>[8]CRP_Outcome_CRP!$S20</f>
        <v>8</v>
      </c>
      <c r="AL20">
        <f>[8]CRP_Outcome_CRP!$T20</f>
        <v>0</v>
      </c>
      <c r="AM20">
        <f>[8]CRP_Outcome_CRP!$U20</f>
        <v>13</v>
      </c>
      <c r="AN20">
        <f>[8]CRP_Outcome_CRP!$V20</f>
        <v>18</v>
      </c>
      <c r="AP20">
        <f>[9]CRP_Outcome_CRP!$S20</f>
        <v>8</v>
      </c>
      <c r="AQ20">
        <f>[9]CRP_Outcome_CRP!$T20</f>
        <v>3</v>
      </c>
      <c r="AR20">
        <f>[9]CRP_Outcome_CRP!$U20</f>
        <v>10</v>
      </c>
      <c r="AS20">
        <f>[9]CRP_Outcome_CRP!$V20</f>
        <v>14</v>
      </c>
      <c r="AU20">
        <f>[9]CRP_Outcome_CRP!$S20</f>
        <v>8</v>
      </c>
      <c r="AV20">
        <f>[9]CRP_Outcome_CRP!$T20</f>
        <v>3</v>
      </c>
      <c r="AW20">
        <f>[9]CRP_Outcome_CRP!$U20</f>
        <v>10</v>
      </c>
      <c r="AX20">
        <f>[9]CRP_Outcome_CRP!$V20</f>
        <v>14</v>
      </c>
      <c r="BA20">
        <f t="shared" si="1"/>
        <v>9.1999999999999993</v>
      </c>
      <c r="BB20">
        <f t="shared" si="1"/>
        <v>0.6</v>
      </c>
      <c r="BC20">
        <f t="shared" si="1"/>
        <v>12.8</v>
      </c>
      <c r="BD20">
        <f t="shared" si="1"/>
        <v>16.3</v>
      </c>
    </row>
    <row r="21" spans="1:56" x14ac:dyDescent="0.35">
      <c r="A21">
        <v>19</v>
      </c>
      <c r="B21">
        <f>[1]CRP_Outcome_CRP!$S21</f>
        <v>19</v>
      </c>
      <c r="C21">
        <f>[1]CRP_Outcome_CRP!$T21</f>
        <v>0</v>
      </c>
      <c r="D21">
        <f>[1]CRP_Outcome_CRP!$U21</f>
        <v>13</v>
      </c>
      <c r="E21">
        <f>[1]CRP_Outcome_CRP!$V21</f>
        <v>14</v>
      </c>
      <c r="G21">
        <f>[2]CRP_Outcome_CRP!$S21</f>
        <v>24</v>
      </c>
      <c r="H21">
        <f>[2]CRP_Outcome_CRP!$T21</f>
        <v>0</v>
      </c>
      <c r="I21">
        <f>[2]CRP_Outcome_CRP!$U21</f>
        <v>13</v>
      </c>
      <c r="J21">
        <f>[2]CRP_Outcome_CRP!$V21</f>
        <v>15</v>
      </c>
      <c r="L21">
        <f>[3]CRP_Outcome_CRP!$S21</f>
        <v>17</v>
      </c>
      <c r="M21">
        <f>[3]CRP_Outcome_CRP!$T21</f>
        <v>0</v>
      </c>
      <c r="N21">
        <f>[3]CRP_Outcome_CRP!$U21</f>
        <v>13</v>
      </c>
      <c r="O21">
        <f>[3]CRP_Outcome_CRP!$V21</f>
        <v>15</v>
      </c>
      <c r="Q21">
        <f>[4]CRP_Outcome_CRP!$S21</f>
        <v>21</v>
      </c>
      <c r="R21">
        <f>[4]CRP_Outcome_CRP!$T21</f>
        <v>12</v>
      </c>
      <c r="S21">
        <f>[4]CRP_Outcome_CRP!$U21</f>
        <v>13</v>
      </c>
      <c r="T21">
        <f>[4]CRP_Outcome_CRP!$V21</f>
        <v>16</v>
      </c>
      <c r="V21">
        <f>[5]CRP_Outcome_CRP!$S21</f>
        <v>18</v>
      </c>
      <c r="W21">
        <f>[5]CRP_Outcome_CRP!$T21</f>
        <v>0</v>
      </c>
      <c r="X21">
        <f>[5]CRP_Outcome_CRP!$U21</f>
        <v>13</v>
      </c>
      <c r="Y21">
        <f>[5]CRP_Outcome_CRP!$V21</f>
        <v>15</v>
      </c>
      <c r="AA21">
        <f>[6]CRP_Outcome_CRP!$S21</f>
        <v>18</v>
      </c>
      <c r="AB21">
        <f>[6]CRP_Outcome_CRP!$T21</f>
        <v>0</v>
      </c>
      <c r="AC21">
        <f>[6]CRP_Outcome_CRP!$U21</f>
        <v>13</v>
      </c>
      <c r="AD21">
        <f>[6]CRP_Outcome_CRP!$V21</f>
        <v>15</v>
      </c>
      <c r="AF21">
        <f>[7]CRP_Outcome_CRP!$S21</f>
        <v>24</v>
      </c>
      <c r="AG21">
        <f>[7]CRP_Outcome_CRP!$T21</f>
        <v>9</v>
      </c>
      <c r="AH21">
        <f>[7]CRP_Outcome_CRP!$U21</f>
        <v>12</v>
      </c>
      <c r="AI21">
        <f>[7]CRP_Outcome_CRP!$V21</f>
        <v>15</v>
      </c>
      <c r="AK21">
        <f>[8]CRP_Outcome_CRP!$S21</f>
        <v>17</v>
      </c>
      <c r="AL21">
        <f>[8]CRP_Outcome_CRP!$T21</f>
        <v>0</v>
      </c>
      <c r="AM21">
        <f>[8]CRP_Outcome_CRP!$U21</f>
        <v>12</v>
      </c>
      <c r="AN21">
        <f>[8]CRP_Outcome_CRP!$V21</f>
        <v>15</v>
      </c>
      <c r="AP21">
        <f>[9]CRP_Outcome_CRP!$S21</f>
        <v>12</v>
      </c>
      <c r="AQ21">
        <f>[9]CRP_Outcome_CRP!$T21</f>
        <v>8</v>
      </c>
      <c r="AR21">
        <f>[9]CRP_Outcome_CRP!$U21</f>
        <v>9</v>
      </c>
      <c r="AS21">
        <f>[9]CRP_Outcome_CRP!$V21</f>
        <v>11</v>
      </c>
      <c r="AU21">
        <f>[9]CRP_Outcome_CRP!$S21</f>
        <v>12</v>
      </c>
      <c r="AV21">
        <f>[9]CRP_Outcome_CRP!$T21</f>
        <v>8</v>
      </c>
      <c r="AW21">
        <f>[9]CRP_Outcome_CRP!$U21</f>
        <v>9</v>
      </c>
      <c r="AX21">
        <f>[9]CRP_Outcome_CRP!$V21</f>
        <v>11</v>
      </c>
      <c r="BA21">
        <f t="shared" si="1"/>
        <v>18.2</v>
      </c>
      <c r="BB21">
        <f t="shared" si="1"/>
        <v>3.7</v>
      </c>
      <c r="BC21">
        <f t="shared" si="1"/>
        <v>12</v>
      </c>
      <c r="BD21">
        <f t="shared" si="1"/>
        <v>14.2</v>
      </c>
    </row>
    <row r="22" spans="1:56" x14ac:dyDescent="0.35">
      <c r="A22">
        <v>20</v>
      </c>
      <c r="B22">
        <f>[1]CRP_Outcome_CRP!$S22</f>
        <v>15</v>
      </c>
      <c r="C22">
        <f>[1]CRP_Outcome_CRP!$T22</f>
        <v>38</v>
      </c>
      <c r="D22">
        <f>[1]CRP_Outcome_CRP!$U22</f>
        <v>13</v>
      </c>
      <c r="E22">
        <f>[1]CRP_Outcome_CRP!$V22</f>
        <v>5</v>
      </c>
      <c r="G22">
        <f>[2]CRP_Outcome_CRP!$S22</f>
        <v>13</v>
      </c>
      <c r="H22">
        <f>[2]CRP_Outcome_CRP!$T22</f>
        <v>21</v>
      </c>
      <c r="I22">
        <f>[2]CRP_Outcome_CRP!$U22</f>
        <v>13</v>
      </c>
      <c r="J22">
        <f>[2]CRP_Outcome_CRP!$V22</f>
        <v>3</v>
      </c>
      <c r="L22">
        <f>[3]CRP_Outcome_CRP!$S22</f>
        <v>18</v>
      </c>
      <c r="M22">
        <f>[3]CRP_Outcome_CRP!$T22</f>
        <v>14</v>
      </c>
      <c r="N22">
        <f>[3]CRP_Outcome_CRP!$U22</f>
        <v>13</v>
      </c>
      <c r="O22">
        <f>[3]CRP_Outcome_CRP!$V22</f>
        <v>7</v>
      </c>
      <c r="Q22">
        <f>[4]CRP_Outcome_CRP!$S22</f>
        <v>18</v>
      </c>
      <c r="R22">
        <f>[4]CRP_Outcome_CRP!$T22</f>
        <v>30</v>
      </c>
      <c r="S22">
        <f>[4]CRP_Outcome_CRP!$U22</f>
        <v>13</v>
      </c>
      <c r="T22">
        <f>[4]CRP_Outcome_CRP!$V22</f>
        <v>8</v>
      </c>
      <c r="V22">
        <f>[5]CRP_Outcome_CRP!$S22</f>
        <v>20</v>
      </c>
      <c r="W22">
        <f>[5]CRP_Outcome_CRP!$T22</f>
        <v>18</v>
      </c>
      <c r="X22">
        <f>[5]CRP_Outcome_CRP!$U22</f>
        <v>12</v>
      </c>
      <c r="Y22">
        <f>[5]CRP_Outcome_CRP!$V22</f>
        <v>7</v>
      </c>
      <c r="AA22">
        <f>[6]CRP_Outcome_CRP!$S22</f>
        <v>20</v>
      </c>
      <c r="AB22">
        <f>[6]CRP_Outcome_CRP!$T22</f>
        <v>18</v>
      </c>
      <c r="AC22">
        <f>[6]CRP_Outcome_CRP!$U22</f>
        <v>12</v>
      </c>
      <c r="AD22">
        <f>[6]CRP_Outcome_CRP!$V22</f>
        <v>7</v>
      </c>
      <c r="AF22">
        <f>[7]CRP_Outcome_CRP!$S22</f>
        <v>21</v>
      </c>
      <c r="AG22">
        <f>[7]CRP_Outcome_CRP!$T22</f>
        <v>35</v>
      </c>
      <c r="AH22">
        <f>[7]CRP_Outcome_CRP!$U22</f>
        <v>12</v>
      </c>
      <c r="AI22">
        <f>[7]CRP_Outcome_CRP!$V22</f>
        <v>7</v>
      </c>
      <c r="AK22">
        <f>[8]CRP_Outcome_CRP!$S22</f>
        <v>23</v>
      </c>
      <c r="AL22">
        <f>[8]CRP_Outcome_CRP!$T22</f>
        <v>12</v>
      </c>
      <c r="AM22">
        <f>[8]CRP_Outcome_CRP!$U22</f>
        <v>12</v>
      </c>
      <c r="AN22">
        <f>[8]CRP_Outcome_CRP!$V22</f>
        <v>7</v>
      </c>
      <c r="AP22">
        <f>[9]CRP_Outcome_CRP!$S22</f>
        <v>20</v>
      </c>
      <c r="AQ22">
        <f>[9]CRP_Outcome_CRP!$T22</f>
        <v>11</v>
      </c>
      <c r="AR22">
        <f>[9]CRP_Outcome_CRP!$U22</f>
        <v>10</v>
      </c>
      <c r="AS22">
        <f>[9]CRP_Outcome_CRP!$V22</f>
        <v>10</v>
      </c>
      <c r="AU22">
        <f>[9]CRP_Outcome_CRP!$S22</f>
        <v>20</v>
      </c>
      <c r="AV22">
        <f>[9]CRP_Outcome_CRP!$T22</f>
        <v>11</v>
      </c>
      <c r="AW22">
        <f>[9]CRP_Outcome_CRP!$U22</f>
        <v>10</v>
      </c>
      <c r="AX22">
        <f>[9]CRP_Outcome_CRP!$V22</f>
        <v>10</v>
      </c>
      <c r="BA22">
        <f t="shared" si="1"/>
        <v>18.8</v>
      </c>
      <c r="BB22">
        <f t="shared" si="1"/>
        <v>20.8</v>
      </c>
      <c r="BC22">
        <f t="shared" si="1"/>
        <v>12</v>
      </c>
      <c r="BD22">
        <f t="shared" si="1"/>
        <v>7.1</v>
      </c>
    </row>
    <row r="23" spans="1:56" x14ac:dyDescent="0.35">
      <c r="A23">
        <v>21</v>
      </c>
      <c r="B23">
        <f>[1]CRP_Outcome_CRP!$S23</f>
        <v>2</v>
      </c>
      <c r="C23">
        <f>[1]CRP_Outcome_CRP!$T23</f>
        <v>25</v>
      </c>
      <c r="D23">
        <f>[1]CRP_Outcome_CRP!$U23</f>
        <v>13</v>
      </c>
      <c r="E23">
        <f>[1]CRP_Outcome_CRP!$V23</f>
        <v>8</v>
      </c>
      <c r="G23">
        <f>[2]CRP_Outcome_CRP!$S23</f>
        <v>10</v>
      </c>
      <c r="H23">
        <f>[2]CRP_Outcome_CRP!$T23</f>
        <v>26</v>
      </c>
      <c r="I23">
        <f>[2]CRP_Outcome_CRP!$U23</f>
        <v>13</v>
      </c>
      <c r="J23">
        <f>[2]CRP_Outcome_CRP!$V23</f>
        <v>3</v>
      </c>
      <c r="L23">
        <f>[3]CRP_Outcome_CRP!$S23</f>
        <v>14</v>
      </c>
      <c r="M23">
        <f>[3]CRP_Outcome_CRP!$T23</f>
        <v>26</v>
      </c>
      <c r="N23">
        <f>[3]CRP_Outcome_CRP!$U23</f>
        <v>13</v>
      </c>
      <c r="O23">
        <f>[3]CRP_Outcome_CRP!$V23</f>
        <v>5</v>
      </c>
      <c r="Q23">
        <f>[4]CRP_Outcome_CRP!$S23</f>
        <v>5</v>
      </c>
      <c r="R23">
        <f>[4]CRP_Outcome_CRP!$T23</f>
        <v>34</v>
      </c>
      <c r="S23">
        <f>[4]CRP_Outcome_CRP!$U23</f>
        <v>12</v>
      </c>
      <c r="T23">
        <f>[4]CRP_Outcome_CRP!$V23</f>
        <v>5</v>
      </c>
      <c r="V23">
        <f>[5]CRP_Outcome_CRP!$S23</f>
        <v>13</v>
      </c>
      <c r="W23">
        <f>[5]CRP_Outcome_CRP!$T23</f>
        <v>35</v>
      </c>
      <c r="X23">
        <f>[5]CRP_Outcome_CRP!$U23</f>
        <v>12</v>
      </c>
      <c r="Y23">
        <f>[5]CRP_Outcome_CRP!$V23</f>
        <v>5</v>
      </c>
      <c r="AA23">
        <f>[6]CRP_Outcome_CRP!$S23</f>
        <v>13</v>
      </c>
      <c r="AB23">
        <f>[6]CRP_Outcome_CRP!$T23</f>
        <v>35</v>
      </c>
      <c r="AC23">
        <f>[6]CRP_Outcome_CRP!$U23</f>
        <v>12</v>
      </c>
      <c r="AD23">
        <f>[6]CRP_Outcome_CRP!$V23</f>
        <v>5</v>
      </c>
      <c r="AF23">
        <f>[7]CRP_Outcome_CRP!$S23</f>
        <v>4</v>
      </c>
      <c r="AG23">
        <f>[7]CRP_Outcome_CRP!$T23</f>
        <v>49</v>
      </c>
      <c r="AH23">
        <f>[7]CRP_Outcome_CRP!$U23</f>
        <v>13</v>
      </c>
      <c r="AI23">
        <f>[7]CRP_Outcome_CRP!$V23</f>
        <v>3</v>
      </c>
      <c r="AK23">
        <f>[8]CRP_Outcome_CRP!$S23</f>
        <v>11</v>
      </c>
      <c r="AL23">
        <f>[8]CRP_Outcome_CRP!$T23</f>
        <v>24</v>
      </c>
      <c r="AM23">
        <f>[8]CRP_Outcome_CRP!$U23</f>
        <v>13</v>
      </c>
      <c r="AN23">
        <f>[8]CRP_Outcome_CRP!$V23</f>
        <v>3</v>
      </c>
      <c r="AP23">
        <f>[9]CRP_Outcome_CRP!$S23</f>
        <v>9</v>
      </c>
      <c r="AQ23">
        <f>[9]CRP_Outcome_CRP!$T23</f>
        <v>14</v>
      </c>
      <c r="AR23">
        <f>[9]CRP_Outcome_CRP!$U23</f>
        <v>10</v>
      </c>
      <c r="AS23">
        <f>[9]CRP_Outcome_CRP!$V23</f>
        <v>6</v>
      </c>
      <c r="AU23">
        <f>[9]CRP_Outcome_CRP!$S23</f>
        <v>9</v>
      </c>
      <c r="AV23">
        <f>[9]CRP_Outcome_CRP!$T23</f>
        <v>14</v>
      </c>
      <c r="AW23">
        <f>[9]CRP_Outcome_CRP!$U23</f>
        <v>10</v>
      </c>
      <c r="AX23">
        <f>[9]CRP_Outcome_CRP!$V23</f>
        <v>6</v>
      </c>
      <c r="BA23">
        <f t="shared" si="1"/>
        <v>9</v>
      </c>
      <c r="BB23">
        <f t="shared" si="1"/>
        <v>28.2</v>
      </c>
      <c r="BC23">
        <f t="shared" si="1"/>
        <v>12.1</v>
      </c>
      <c r="BD23">
        <f t="shared" si="1"/>
        <v>4.9000000000000004</v>
      </c>
    </row>
    <row r="24" spans="1:56" x14ac:dyDescent="0.35">
      <c r="A24">
        <v>22</v>
      </c>
      <c r="B24">
        <f>[1]CRP_Outcome_CRP!$S24</f>
        <v>0</v>
      </c>
      <c r="C24">
        <f>[1]CRP_Outcome_CRP!$T24</f>
        <v>0</v>
      </c>
      <c r="D24">
        <f>[1]CRP_Outcome_CRP!$U24</f>
        <v>13</v>
      </c>
      <c r="E24">
        <f>[1]CRP_Outcome_CRP!$V24</f>
        <v>12</v>
      </c>
      <c r="G24">
        <f>[2]CRP_Outcome_CRP!$S24</f>
        <v>0</v>
      </c>
      <c r="H24">
        <f>[2]CRP_Outcome_CRP!$T24</f>
        <v>11</v>
      </c>
      <c r="I24">
        <f>[2]CRP_Outcome_CRP!$U24</f>
        <v>13</v>
      </c>
      <c r="J24">
        <f>[2]CRP_Outcome_CRP!$V24</f>
        <v>14</v>
      </c>
      <c r="L24">
        <f>[3]CRP_Outcome_CRP!$S24</f>
        <v>0</v>
      </c>
      <c r="M24">
        <f>[3]CRP_Outcome_CRP!$T24</f>
        <v>21</v>
      </c>
      <c r="N24">
        <f>[3]CRP_Outcome_CRP!$U24</f>
        <v>13</v>
      </c>
      <c r="O24">
        <f>[3]CRP_Outcome_CRP!$V24</f>
        <v>9</v>
      </c>
      <c r="Q24">
        <f>[4]CRP_Outcome_CRP!$S24</f>
        <v>1</v>
      </c>
      <c r="R24">
        <f>[4]CRP_Outcome_CRP!$T24</f>
        <v>0</v>
      </c>
      <c r="S24">
        <f>[4]CRP_Outcome_CRP!$U24</f>
        <v>12</v>
      </c>
      <c r="T24">
        <f>[4]CRP_Outcome_CRP!$V24</f>
        <v>8</v>
      </c>
      <c r="V24">
        <f>[5]CRP_Outcome_CRP!$S24</f>
        <v>0</v>
      </c>
      <c r="W24">
        <f>[5]CRP_Outcome_CRP!$T24</f>
        <v>28</v>
      </c>
      <c r="X24">
        <f>[5]CRP_Outcome_CRP!$U24</f>
        <v>13</v>
      </c>
      <c r="Y24">
        <f>[5]CRP_Outcome_CRP!$V24</f>
        <v>7</v>
      </c>
      <c r="AA24">
        <f>[6]CRP_Outcome_CRP!$S24</f>
        <v>0</v>
      </c>
      <c r="AB24">
        <f>[6]CRP_Outcome_CRP!$T24</f>
        <v>28</v>
      </c>
      <c r="AC24">
        <f>[6]CRP_Outcome_CRP!$U24</f>
        <v>13</v>
      </c>
      <c r="AD24">
        <f>[6]CRP_Outcome_CRP!$V24</f>
        <v>7</v>
      </c>
      <c r="AF24">
        <f>[7]CRP_Outcome_CRP!$S24</f>
        <v>0</v>
      </c>
      <c r="AG24">
        <f>[7]CRP_Outcome_CRP!$T24</f>
        <v>12</v>
      </c>
      <c r="AH24">
        <f>[7]CRP_Outcome_CRP!$U24</f>
        <v>13</v>
      </c>
      <c r="AI24">
        <f>[7]CRP_Outcome_CRP!$V24</f>
        <v>6</v>
      </c>
      <c r="AK24">
        <f>[8]CRP_Outcome_CRP!$S24</f>
        <v>0</v>
      </c>
      <c r="AL24">
        <f>[8]CRP_Outcome_CRP!$T24</f>
        <v>18</v>
      </c>
      <c r="AM24">
        <f>[8]CRP_Outcome_CRP!$U24</f>
        <v>13</v>
      </c>
      <c r="AN24">
        <f>[8]CRP_Outcome_CRP!$V24</f>
        <v>4</v>
      </c>
      <c r="AP24">
        <f>[9]CRP_Outcome_CRP!$S24</f>
        <v>7</v>
      </c>
      <c r="AQ24">
        <f>[9]CRP_Outcome_CRP!$T24</f>
        <v>12</v>
      </c>
      <c r="AR24">
        <f>[9]CRP_Outcome_CRP!$U24</f>
        <v>10</v>
      </c>
      <c r="AS24">
        <f>[9]CRP_Outcome_CRP!$V24</f>
        <v>8</v>
      </c>
      <c r="AU24">
        <f>[9]CRP_Outcome_CRP!$S24</f>
        <v>7</v>
      </c>
      <c r="AV24">
        <f>[9]CRP_Outcome_CRP!$T24</f>
        <v>12</v>
      </c>
      <c r="AW24">
        <f>[9]CRP_Outcome_CRP!$U24</f>
        <v>10</v>
      </c>
      <c r="AX24">
        <f>[9]CRP_Outcome_CRP!$V24</f>
        <v>8</v>
      </c>
      <c r="BA24">
        <f t="shared" si="1"/>
        <v>1.5</v>
      </c>
      <c r="BB24">
        <f t="shared" si="1"/>
        <v>14.2</v>
      </c>
      <c r="BC24">
        <f t="shared" si="1"/>
        <v>12.3</v>
      </c>
      <c r="BD24">
        <f t="shared" si="1"/>
        <v>8.3000000000000007</v>
      </c>
    </row>
    <row r="25" spans="1:56" x14ac:dyDescent="0.35">
      <c r="A25">
        <v>23</v>
      </c>
      <c r="B25">
        <f>[1]CRP_Outcome_CRP!$S25</f>
        <v>7</v>
      </c>
      <c r="C25">
        <f>[1]CRP_Outcome_CRP!$T25</f>
        <v>0</v>
      </c>
      <c r="D25">
        <f>[1]CRP_Outcome_CRP!$U25</f>
        <v>13</v>
      </c>
      <c r="E25">
        <f>[1]CRP_Outcome_CRP!$V25</f>
        <v>14</v>
      </c>
      <c r="G25">
        <f>[2]CRP_Outcome_CRP!$S25</f>
        <v>9</v>
      </c>
      <c r="H25">
        <f>[2]CRP_Outcome_CRP!$T25</f>
        <v>0</v>
      </c>
      <c r="I25">
        <f>[2]CRP_Outcome_CRP!$U25</f>
        <v>13</v>
      </c>
      <c r="J25">
        <f>[2]CRP_Outcome_CRP!$V25</f>
        <v>17</v>
      </c>
      <c r="L25">
        <f>[3]CRP_Outcome_CRP!$S25</f>
        <v>3</v>
      </c>
      <c r="M25">
        <f>[3]CRP_Outcome_CRP!$T25</f>
        <v>11</v>
      </c>
      <c r="N25">
        <f>[3]CRP_Outcome_CRP!$U25</f>
        <v>13</v>
      </c>
      <c r="O25">
        <f>[3]CRP_Outcome_CRP!$V25</f>
        <v>13</v>
      </c>
      <c r="Q25">
        <f>[4]CRP_Outcome_CRP!$S25</f>
        <v>1</v>
      </c>
      <c r="R25">
        <f>[4]CRP_Outcome_CRP!$T25</f>
        <v>0</v>
      </c>
      <c r="S25">
        <f>[4]CRP_Outcome_CRP!$U25</f>
        <v>14</v>
      </c>
      <c r="T25">
        <f>[4]CRP_Outcome_CRP!$V25</f>
        <v>9</v>
      </c>
      <c r="V25">
        <f>[5]CRP_Outcome_CRP!$S25</f>
        <v>3</v>
      </c>
      <c r="W25">
        <f>[5]CRP_Outcome_CRP!$T25</f>
        <v>0</v>
      </c>
      <c r="X25">
        <f>[5]CRP_Outcome_CRP!$U25</f>
        <v>13</v>
      </c>
      <c r="Y25">
        <f>[5]CRP_Outcome_CRP!$V25</f>
        <v>14</v>
      </c>
      <c r="AA25">
        <f>[6]CRP_Outcome_CRP!$S25</f>
        <v>3</v>
      </c>
      <c r="AB25">
        <f>[6]CRP_Outcome_CRP!$T25</f>
        <v>0</v>
      </c>
      <c r="AC25">
        <f>[6]CRP_Outcome_CRP!$U25</f>
        <v>13</v>
      </c>
      <c r="AD25">
        <f>[6]CRP_Outcome_CRP!$V25</f>
        <v>14</v>
      </c>
      <c r="AF25">
        <f>[7]CRP_Outcome_CRP!$S25</f>
        <v>2</v>
      </c>
      <c r="AG25">
        <f>[7]CRP_Outcome_CRP!$T25</f>
        <v>0</v>
      </c>
      <c r="AH25">
        <f>[7]CRP_Outcome_CRP!$U25</f>
        <v>13</v>
      </c>
      <c r="AI25">
        <f>[7]CRP_Outcome_CRP!$V25</f>
        <v>15</v>
      </c>
      <c r="AK25">
        <f>[8]CRP_Outcome_CRP!$S25</f>
        <v>2</v>
      </c>
      <c r="AL25">
        <f>[8]CRP_Outcome_CRP!$T25</f>
        <v>2</v>
      </c>
      <c r="AM25">
        <f>[8]CRP_Outcome_CRP!$U25</f>
        <v>13</v>
      </c>
      <c r="AN25">
        <f>[8]CRP_Outcome_CRP!$V25</f>
        <v>17</v>
      </c>
      <c r="AP25">
        <f>[9]CRP_Outcome_CRP!$S25</f>
        <v>6</v>
      </c>
      <c r="AQ25">
        <f>[9]CRP_Outcome_CRP!$T25</f>
        <v>8</v>
      </c>
      <c r="AR25">
        <f>[9]CRP_Outcome_CRP!$U25</f>
        <v>10</v>
      </c>
      <c r="AS25">
        <f>[9]CRP_Outcome_CRP!$V25</f>
        <v>13</v>
      </c>
      <c r="AU25">
        <f>[9]CRP_Outcome_CRP!$S25</f>
        <v>6</v>
      </c>
      <c r="AV25">
        <f>[9]CRP_Outcome_CRP!$T25</f>
        <v>8</v>
      </c>
      <c r="AW25">
        <f>[9]CRP_Outcome_CRP!$U25</f>
        <v>10</v>
      </c>
      <c r="AX25">
        <f>[9]CRP_Outcome_CRP!$V25</f>
        <v>13</v>
      </c>
      <c r="BA25">
        <f t="shared" si="1"/>
        <v>4.2</v>
      </c>
      <c r="BB25">
        <f t="shared" si="1"/>
        <v>2.9</v>
      </c>
      <c r="BC25">
        <f t="shared" si="1"/>
        <v>12.5</v>
      </c>
      <c r="BD25">
        <f t="shared" si="1"/>
        <v>13.9</v>
      </c>
    </row>
    <row r="26" spans="1:56" x14ac:dyDescent="0.35">
      <c r="A26">
        <v>24</v>
      </c>
      <c r="B26">
        <f>[1]CRP_Outcome_CRP!$S26</f>
        <v>19</v>
      </c>
      <c r="C26">
        <f>[1]CRP_Outcome_CRP!$T26</f>
        <v>6</v>
      </c>
      <c r="D26">
        <f>[1]CRP_Outcome_CRP!$U26</f>
        <v>13</v>
      </c>
      <c r="E26">
        <f>[1]CRP_Outcome_CRP!$V26</f>
        <v>15</v>
      </c>
      <c r="G26">
        <f>[2]CRP_Outcome_CRP!$S26</f>
        <v>18</v>
      </c>
      <c r="H26">
        <f>[2]CRP_Outcome_CRP!$T26</f>
        <v>0</v>
      </c>
      <c r="I26">
        <f>[2]CRP_Outcome_CRP!$U26</f>
        <v>13</v>
      </c>
      <c r="J26">
        <f>[2]CRP_Outcome_CRP!$V26</f>
        <v>15</v>
      </c>
      <c r="L26">
        <f>[3]CRP_Outcome_CRP!$S26</f>
        <v>8</v>
      </c>
      <c r="M26">
        <f>[3]CRP_Outcome_CRP!$T26</f>
        <v>0</v>
      </c>
      <c r="N26">
        <f>[3]CRP_Outcome_CRP!$U26</f>
        <v>13</v>
      </c>
      <c r="O26">
        <f>[3]CRP_Outcome_CRP!$V26</f>
        <v>15</v>
      </c>
      <c r="Q26">
        <f>[4]CRP_Outcome_CRP!$S26</f>
        <v>16</v>
      </c>
      <c r="R26">
        <f>[4]CRP_Outcome_CRP!$T26</f>
        <v>0</v>
      </c>
      <c r="S26">
        <f>[4]CRP_Outcome_CRP!$U26</f>
        <v>14</v>
      </c>
      <c r="T26">
        <f>[4]CRP_Outcome_CRP!$V26</f>
        <v>14</v>
      </c>
      <c r="V26">
        <f>[5]CRP_Outcome_CRP!$S26</f>
        <v>8</v>
      </c>
      <c r="W26">
        <f>[5]CRP_Outcome_CRP!$T26</f>
        <v>0</v>
      </c>
      <c r="X26">
        <f>[5]CRP_Outcome_CRP!$U26</f>
        <v>13</v>
      </c>
      <c r="Y26">
        <f>[5]CRP_Outcome_CRP!$V26</f>
        <v>16</v>
      </c>
      <c r="AA26">
        <f>[6]CRP_Outcome_CRP!$S26</f>
        <v>8</v>
      </c>
      <c r="AB26">
        <f>[6]CRP_Outcome_CRP!$T26</f>
        <v>0</v>
      </c>
      <c r="AC26">
        <f>[6]CRP_Outcome_CRP!$U26</f>
        <v>13</v>
      </c>
      <c r="AD26">
        <f>[6]CRP_Outcome_CRP!$V26</f>
        <v>16</v>
      </c>
      <c r="AF26">
        <f>[7]CRP_Outcome_CRP!$S26</f>
        <v>9</v>
      </c>
      <c r="AG26">
        <f>[7]CRP_Outcome_CRP!$T26</f>
        <v>0</v>
      </c>
      <c r="AH26">
        <f>[7]CRP_Outcome_CRP!$U26</f>
        <v>13</v>
      </c>
      <c r="AI26">
        <f>[7]CRP_Outcome_CRP!$V26</f>
        <v>16</v>
      </c>
      <c r="AK26">
        <f>[8]CRP_Outcome_CRP!$S26</f>
        <v>9</v>
      </c>
      <c r="AL26">
        <f>[8]CRP_Outcome_CRP!$T26</f>
        <v>0</v>
      </c>
      <c r="AM26">
        <f>[8]CRP_Outcome_CRP!$U26</f>
        <v>13</v>
      </c>
      <c r="AN26">
        <f>[8]CRP_Outcome_CRP!$V26</f>
        <v>16</v>
      </c>
      <c r="AP26">
        <f>[9]CRP_Outcome_CRP!$S26</f>
        <v>12</v>
      </c>
      <c r="AQ26">
        <f>[9]CRP_Outcome_CRP!$T26</f>
        <v>7</v>
      </c>
      <c r="AR26">
        <f>[9]CRP_Outcome_CRP!$U26</f>
        <v>9</v>
      </c>
      <c r="AS26">
        <f>[9]CRP_Outcome_CRP!$V26</f>
        <v>12</v>
      </c>
      <c r="AU26">
        <f>[9]CRP_Outcome_CRP!$S26</f>
        <v>12</v>
      </c>
      <c r="AV26">
        <f>[9]CRP_Outcome_CRP!$T26</f>
        <v>7</v>
      </c>
      <c r="AW26">
        <f>[9]CRP_Outcome_CRP!$U26</f>
        <v>9</v>
      </c>
      <c r="AX26">
        <f>[9]CRP_Outcome_CRP!$V26</f>
        <v>12</v>
      </c>
      <c r="BA26">
        <f t="shared" si="1"/>
        <v>11.9</v>
      </c>
      <c r="BB26">
        <f t="shared" si="1"/>
        <v>2</v>
      </c>
      <c r="BC26">
        <f t="shared" si="1"/>
        <v>12.3</v>
      </c>
      <c r="BD26">
        <f t="shared" si="1"/>
        <v>14.7</v>
      </c>
    </row>
    <row r="27" spans="1:56" x14ac:dyDescent="0.35">
      <c r="A27">
        <v>25</v>
      </c>
      <c r="B27">
        <f>[1]CRP_Outcome_CRP!$S27</f>
        <v>17</v>
      </c>
      <c r="C27">
        <f>[1]CRP_Outcome_CRP!$T27</f>
        <v>23</v>
      </c>
      <c r="D27">
        <f>[1]CRP_Outcome_CRP!$U27</f>
        <v>13</v>
      </c>
      <c r="E27">
        <f>[1]CRP_Outcome_CRP!$V27</f>
        <v>8</v>
      </c>
      <c r="G27">
        <f>[2]CRP_Outcome_CRP!$S27</f>
        <v>15</v>
      </c>
      <c r="H27">
        <f>[2]CRP_Outcome_CRP!$T27</f>
        <v>12</v>
      </c>
      <c r="I27">
        <f>[2]CRP_Outcome_CRP!$U27</f>
        <v>13</v>
      </c>
      <c r="J27">
        <f>[2]CRP_Outcome_CRP!$V27</f>
        <v>6</v>
      </c>
      <c r="L27">
        <f>[3]CRP_Outcome_CRP!$S27</f>
        <v>18</v>
      </c>
      <c r="M27">
        <f>[3]CRP_Outcome_CRP!$T27</f>
        <v>4</v>
      </c>
      <c r="N27">
        <f>[3]CRP_Outcome_CRP!$U27</f>
        <v>13</v>
      </c>
      <c r="O27">
        <f>[3]CRP_Outcome_CRP!$V27</f>
        <v>12</v>
      </c>
      <c r="Q27">
        <f>[4]CRP_Outcome_CRP!$S27</f>
        <v>17</v>
      </c>
      <c r="R27">
        <f>[4]CRP_Outcome_CRP!$T27</f>
        <v>15</v>
      </c>
      <c r="S27">
        <f>[4]CRP_Outcome_CRP!$U27</f>
        <v>14</v>
      </c>
      <c r="T27">
        <f>[4]CRP_Outcome_CRP!$V27</f>
        <v>15</v>
      </c>
      <c r="V27">
        <f>[5]CRP_Outcome_CRP!$S27</f>
        <v>19</v>
      </c>
      <c r="W27">
        <f>[5]CRP_Outcome_CRP!$T27</f>
        <v>3</v>
      </c>
      <c r="X27">
        <f>[5]CRP_Outcome_CRP!$U27</f>
        <v>13</v>
      </c>
      <c r="Y27">
        <f>[5]CRP_Outcome_CRP!$V27</f>
        <v>13</v>
      </c>
      <c r="AA27">
        <f>[6]CRP_Outcome_CRP!$S27</f>
        <v>19</v>
      </c>
      <c r="AB27">
        <f>[6]CRP_Outcome_CRP!$T27</f>
        <v>3</v>
      </c>
      <c r="AC27">
        <f>[6]CRP_Outcome_CRP!$U27</f>
        <v>13</v>
      </c>
      <c r="AD27">
        <f>[6]CRP_Outcome_CRP!$V27</f>
        <v>13</v>
      </c>
      <c r="AF27">
        <f>[7]CRP_Outcome_CRP!$S27</f>
        <v>24</v>
      </c>
      <c r="AG27">
        <f>[7]CRP_Outcome_CRP!$T27</f>
        <v>12</v>
      </c>
      <c r="AH27">
        <f>[7]CRP_Outcome_CRP!$U27</f>
        <v>12</v>
      </c>
      <c r="AI27">
        <f>[7]CRP_Outcome_CRP!$V27</f>
        <v>13</v>
      </c>
      <c r="AK27">
        <f>[8]CRP_Outcome_CRP!$S27</f>
        <v>22</v>
      </c>
      <c r="AL27">
        <f>[8]CRP_Outcome_CRP!$T27</f>
        <v>3</v>
      </c>
      <c r="AM27">
        <f>[8]CRP_Outcome_CRP!$U27</f>
        <v>12</v>
      </c>
      <c r="AN27">
        <f>[8]CRP_Outcome_CRP!$V27</f>
        <v>13</v>
      </c>
      <c r="AP27">
        <f>[9]CRP_Outcome_CRP!$S27</f>
        <v>16</v>
      </c>
      <c r="AQ27">
        <f>[9]CRP_Outcome_CRP!$T27</f>
        <v>7</v>
      </c>
      <c r="AR27">
        <f>[9]CRP_Outcome_CRP!$U27</f>
        <v>10</v>
      </c>
      <c r="AS27">
        <f>[9]CRP_Outcome_CRP!$V27</f>
        <v>12</v>
      </c>
      <c r="AU27">
        <f>[9]CRP_Outcome_CRP!$S27</f>
        <v>16</v>
      </c>
      <c r="AV27">
        <f>[9]CRP_Outcome_CRP!$T27</f>
        <v>7</v>
      </c>
      <c r="AW27">
        <f>[9]CRP_Outcome_CRP!$U27</f>
        <v>10</v>
      </c>
      <c r="AX27">
        <f>[9]CRP_Outcome_CRP!$V27</f>
        <v>12</v>
      </c>
      <c r="BA27">
        <f t="shared" si="1"/>
        <v>18.3</v>
      </c>
      <c r="BB27">
        <f t="shared" si="1"/>
        <v>8.9</v>
      </c>
      <c r="BC27">
        <f t="shared" si="1"/>
        <v>12.3</v>
      </c>
      <c r="BD27">
        <f t="shared" si="1"/>
        <v>11.7</v>
      </c>
    </row>
    <row r="28" spans="1:56" x14ac:dyDescent="0.35">
      <c r="A28">
        <v>26</v>
      </c>
      <c r="B28">
        <f>[1]CRP_Outcome_CRP!$S28</f>
        <v>9</v>
      </c>
      <c r="C28">
        <f>[1]CRP_Outcome_CRP!$T28</f>
        <v>25</v>
      </c>
      <c r="D28">
        <f>[1]CRP_Outcome_CRP!$U28</f>
        <v>13</v>
      </c>
      <c r="E28">
        <f>[1]CRP_Outcome_CRP!$V28</f>
        <v>8</v>
      </c>
      <c r="G28">
        <f>[2]CRP_Outcome_CRP!$S28</f>
        <v>11</v>
      </c>
      <c r="H28">
        <f>[2]CRP_Outcome_CRP!$T28</f>
        <v>25</v>
      </c>
      <c r="I28">
        <f>[2]CRP_Outcome_CRP!$U28</f>
        <v>13</v>
      </c>
      <c r="J28">
        <f>[2]CRP_Outcome_CRP!$V28</f>
        <v>3</v>
      </c>
      <c r="L28">
        <f>[3]CRP_Outcome_CRP!$S28</f>
        <v>17</v>
      </c>
      <c r="M28">
        <f>[3]CRP_Outcome_CRP!$T28</f>
        <v>12</v>
      </c>
      <c r="N28">
        <f>[3]CRP_Outcome_CRP!$U28</f>
        <v>13</v>
      </c>
      <c r="O28">
        <f>[3]CRP_Outcome_CRP!$V28</f>
        <v>7</v>
      </c>
      <c r="Q28">
        <f>[4]CRP_Outcome_CRP!$S28</f>
        <v>20</v>
      </c>
      <c r="R28">
        <f>[4]CRP_Outcome_CRP!$T28</f>
        <v>21</v>
      </c>
      <c r="S28">
        <f>[4]CRP_Outcome_CRP!$U28</f>
        <v>13</v>
      </c>
      <c r="T28">
        <f>[4]CRP_Outcome_CRP!$V28</f>
        <v>11</v>
      </c>
      <c r="V28">
        <f>[5]CRP_Outcome_CRP!$S28</f>
        <v>18</v>
      </c>
      <c r="W28">
        <f>[5]CRP_Outcome_CRP!$T28</f>
        <v>24</v>
      </c>
      <c r="X28">
        <f>[5]CRP_Outcome_CRP!$U28</f>
        <v>12</v>
      </c>
      <c r="Y28">
        <f>[5]CRP_Outcome_CRP!$V28</f>
        <v>7</v>
      </c>
      <c r="AA28">
        <f>[6]CRP_Outcome_CRP!$S28</f>
        <v>18</v>
      </c>
      <c r="AB28">
        <f>[6]CRP_Outcome_CRP!$T28</f>
        <v>24</v>
      </c>
      <c r="AC28">
        <f>[6]CRP_Outcome_CRP!$U28</f>
        <v>12</v>
      </c>
      <c r="AD28">
        <f>[6]CRP_Outcome_CRP!$V28</f>
        <v>7</v>
      </c>
      <c r="AF28">
        <f>[7]CRP_Outcome_CRP!$S28</f>
        <v>18</v>
      </c>
      <c r="AG28">
        <f>[7]CRP_Outcome_CRP!$T28</f>
        <v>49</v>
      </c>
      <c r="AH28">
        <f>[7]CRP_Outcome_CRP!$U28</f>
        <v>12</v>
      </c>
      <c r="AI28">
        <f>[7]CRP_Outcome_CRP!$V28</f>
        <v>6</v>
      </c>
      <c r="AK28">
        <f>[8]CRP_Outcome_CRP!$S28</f>
        <v>18</v>
      </c>
      <c r="AL28">
        <f>[8]CRP_Outcome_CRP!$T28</f>
        <v>16</v>
      </c>
      <c r="AM28">
        <f>[8]CRP_Outcome_CRP!$U28</f>
        <v>12</v>
      </c>
      <c r="AN28">
        <f>[8]CRP_Outcome_CRP!$V28</f>
        <v>6</v>
      </c>
      <c r="AP28">
        <f>[9]CRP_Outcome_CRP!$S28</f>
        <v>12</v>
      </c>
      <c r="AQ28">
        <f>[9]CRP_Outcome_CRP!$T28</f>
        <v>12</v>
      </c>
      <c r="AR28">
        <f>[9]CRP_Outcome_CRP!$U28</f>
        <v>10</v>
      </c>
      <c r="AS28">
        <f>[9]CRP_Outcome_CRP!$V28</f>
        <v>6</v>
      </c>
      <c r="AU28">
        <f>[9]CRP_Outcome_CRP!$S28</f>
        <v>12</v>
      </c>
      <c r="AV28">
        <f>[9]CRP_Outcome_CRP!$T28</f>
        <v>12</v>
      </c>
      <c r="AW28">
        <f>[9]CRP_Outcome_CRP!$U28</f>
        <v>10</v>
      </c>
      <c r="AX28">
        <f>[9]CRP_Outcome_CRP!$V28</f>
        <v>6</v>
      </c>
      <c r="BA28">
        <f t="shared" si="1"/>
        <v>15.3</v>
      </c>
      <c r="BB28">
        <f t="shared" si="1"/>
        <v>22</v>
      </c>
      <c r="BC28">
        <f t="shared" si="1"/>
        <v>12</v>
      </c>
      <c r="BD28">
        <f t="shared" si="1"/>
        <v>6.7</v>
      </c>
    </row>
    <row r="29" spans="1:56" x14ac:dyDescent="0.35">
      <c r="A29">
        <v>27</v>
      </c>
      <c r="B29">
        <f>[1]CRP_Outcome_CRP!$S29</f>
        <v>0</v>
      </c>
      <c r="C29">
        <f>[1]CRP_Outcome_CRP!$T29</f>
        <v>1</v>
      </c>
      <c r="D29">
        <f>[1]CRP_Outcome_CRP!$U29</f>
        <v>13</v>
      </c>
      <c r="E29">
        <f>[1]CRP_Outcome_CRP!$V29</f>
        <v>10</v>
      </c>
      <c r="G29">
        <f>[2]CRP_Outcome_CRP!$S29</f>
        <v>0</v>
      </c>
      <c r="H29">
        <f>[2]CRP_Outcome_CRP!$T29</f>
        <v>23</v>
      </c>
      <c r="I29">
        <f>[2]CRP_Outcome_CRP!$U29</f>
        <v>13</v>
      </c>
      <c r="J29">
        <f>[2]CRP_Outcome_CRP!$V29</f>
        <v>12</v>
      </c>
      <c r="L29">
        <f>[3]CRP_Outcome_CRP!$S29</f>
        <v>10</v>
      </c>
      <c r="M29">
        <f>[3]CRP_Outcome_CRP!$T29</f>
        <v>26</v>
      </c>
      <c r="N29">
        <f>[3]CRP_Outcome_CRP!$U29</f>
        <v>13</v>
      </c>
      <c r="O29">
        <f>[3]CRP_Outcome_CRP!$V29</f>
        <v>7</v>
      </c>
      <c r="Q29">
        <f>[4]CRP_Outcome_CRP!$S29</f>
        <v>12</v>
      </c>
      <c r="R29">
        <f>[4]CRP_Outcome_CRP!$T29</f>
        <v>12</v>
      </c>
      <c r="S29">
        <f>[4]CRP_Outcome_CRP!$U29</f>
        <v>12</v>
      </c>
      <c r="T29">
        <f>[4]CRP_Outcome_CRP!$V29</f>
        <v>10</v>
      </c>
      <c r="V29">
        <f>[5]CRP_Outcome_CRP!$S29</f>
        <v>11</v>
      </c>
      <c r="W29">
        <f>[5]CRP_Outcome_CRP!$T29</f>
        <v>36</v>
      </c>
      <c r="X29">
        <f>[5]CRP_Outcome_CRP!$U29</f>
        <v>12</v>
      </c>
      <c r="Y29">
        <f>[5]CRP_Outcome_CRP!$V29</f>
        <v>8</v>
      </c>
      <c r="AA29">
        <f>[6]CRP_Outcome_CRP!$S29</f>
        <v>11</v>
      </c>
      <c r="AB29">
        <f>[6]CRP_Outcome_CRP!$T29</f>
        <v>36</v>
      </c>
      <c r="AC29">
        <f>[6]CRP_Outcome_CRP!$U29</f>
        <v>12</v>
      </c>
      <c r="AD29">
        <f>[6]CRP_Outcome_CRP!$V29</f>
        <v>8</v>
      </c>
      <c r="AF29">
        <f>[7]CRP_Outcome_CRP!$S29</f>
        <v>0</v>
      </c>
      <c r="AG29">
        <f>[7]CRP_Outcome_CRP!$T29</f>
        <v>43</v>
      </c>
      <c r="AH29">
        <f>[7]CRP_Outcome_CRP!$U29</f>
        <v>13</v>
      </c>
      <c r="AI29">
        <f>[7]CRP_Outcome_CRP!$V29</f>
        <v>3</v>
      </c>
      <c r="AK29">
        <f>[8]CRP_Outcome_CRP!$S29</f>
        <v>9</v>
      </c>
      <c r="AL29">
        <f>[8]CRP_Outcome_CRP!$T29</f>
        <v>26</v>
      </c>
      <c r="AM29">
        <f>[8]CRP_Outcome_CRP!$U29</f>
        <v>13</v>
      </c>
      <c r="AN29">
        <f>[8]CRP_Outcome_CRP!$V29</f>
        <v>3</v>
      </c>
      <c r="AP29">
        <f>[9]CRP_Outcome_CRP!$S29</f>
        <v>11</v>
      </c>
      <c r="AQ29">
        <f>[9]CRP_Outcome_CRP!$T29</f>
        <v>12</v>
      </c>
      <c r="AR29">
        <f>[9]CRP_Outcome_CRP!$U29</f>
        <v>10</v>
      </c>
      <c r="AS29">
        <f>[9]CRP_Outcome_CRP!$V29</f>
        <v>7</v>
      </c>
      <c r="AU29">
        <f>[9]CRP_Outcome_CRP!$S29</f>
        <v>11</v>
      </c>
      <c r="AV29">
        <f>[9]CRP_Outcome_CRP!$T29</f>
        <v>12</v>
      </c>
      <c r="AW29">
        <f>[9]CRP_Outcome_CRP!$U29</f>
        <v>10</v>
      </c>
      <c r="AX29">
        <f>[9]CRP_Outcome_CRP!$V29</f>
        <v>7</v>
      </c>
      <c r="BA29">
        <f t="shared" si="1"/>
        <v>7.5</v>
      </c>
      <c r="BB29">
        <f t="shared" si="1"/>
        <v>22.7</v>
      </c>
      <c r="BC29">
        <f t="shared" si="1"/>
        <v>12.1</v>
      </c>
      <c r="BD29">
        <f t="shared" si="1"/>
        <v>7.5</v>
      </c>
    </row>
    <row r="30" spans="1:56" x14ac:dyDescent="0.35">
      <c r="A30">
        <v>28</v>
      </c>
      <c r="B30">
        <f>[1]CRP_Outcome_CRP!$S30</f>
        <v>4</v>
      </c>
      <c r="C30">
        <f>[1]CRP_Outcome_CRP!$T30</f>
        <v>0</v>
      </c>
      <c r="D30">
        <f>[1]CRP_Outcome_CRP!$U30</f>
        <v>13</v>
      </c>
      <c r="E30">
        <f>[1]CRP_Outcome_CRP!$V30</f>
        <v>12</v>
      </c>
      <c r="G30">
        <f>[2]CRP_Outcome_CRP!$S30</f>
        <v>6</v>
      </c>
      <c r="H30">
        <f>[2]CRP_Outcome_CRP!$T30</f>
        <v>0</v>
      </c>
      <c r="I30">
        <f>[2]CRP_Outcome_CRP!$U30</f>
        <v>13</v>
      </c>
      <c r="J30">
        <f>[2]CRP_Outcome_CRP!$V30</f>
        <v>16</v>
      </c>
      <c r="L30">
        <f>[3]CRP_Outcome_CRP!$S30</f>
        <v>1</v>
      </c>
      <c r="M30">
        <f>[3]CRP_Outcome_CRP!$T30</f>
        <v>14</v>
      </c>
      <c r="N30">
        <f>[3]CRP_Outcome_CRP!$U30</f>
        <v>13</v>
      </c>
      <c r="O30">
        <f>[3]CRP_Outcome_CRP!$V30</f>
        <v>10</v>
      </c>
      <c r="Q30">
        <f>[4]CRP_Outcome_CRP!$S30</f>
        <v>2</v>
      </c>
      <c r="R30">
        <f>[4]CRP_Outcome_CRP!$T30</f>
        <v>12</v>
      </c>
      <c r="S30">
        <f>[4]CRP_Outcome_CRP!$U30</f>
        <v>13</v>
      </c>
      <c r="T30">
        <f>[4]CRP_Outcome_CRP!$V30</f>
        <v>6</v>
      </c>
      <c r="V30">
        <f>[5]CRP_Outcome_CRP!$S30</f>
        <v>0</v>
      </c>
      <c r="W30">
        <f>[5]CRP_Outcome_CRP!$T30</f>
        <v>17</v>
      </c>
      <c r="X30">
        <f>[5]CRP_Outcome_CRP!$U30</f>
        <v>13</v>
      </c>
      <c r="Y30">
        <f>[5]CRP_Outcome_CRP!$V30</f>
        <v>9</v>
      </c>
      <c r="AA30">
        <f>[6]CRP_Outcome_CRP!$S30</f>
        <v>0</v>
      </c>
      <c r="AB30">
        <f>[6]CRP_Outcome_CRP!$T30</f>
        <v>17</v>
      </c>
      <c r="AC30">
        <f>[6]CRP_Outcome_CRP!$U30</f>
        <v>13</v>
      </c>
      <c r="AD30">
        <f>[6]CRP_Outcome_CRP!$V30</f>
        <v>9</v>
      </c>
      <c r="AF30">
        <f>[7]CRP_Outcome_CRP!$S30</f>
        <v>0</v>
      </c>
      <c r="AG30">
        <f>[7]CRP_Outcome_CRP!$T30</f>
        <v>9</v>
      </c>
      <c r="AH30">
        <f>[7]CRP_Outcome_CRP!$U30</f>
        <v>13</v>
      </c>
      <c r="AI30">
        <f>[7]CRP_Outcome_CRP!$V30</f>
        <v>9</v>
      </c>
      <c r="AK30">
        <f>[8]CRP_Outcome_CRP!$S30</f>
        <v>0</v>
      </c>
      <c r="AL30">
        <f>[8]CRP_Outcome_CRP!$T30</f>
        <v>14</v>
      </c>
      <c r="AM30">
        <f>[8]CRP_Outcome_CRP!$U30</f>
        <v>13</v>
      </c>
      <c r="AN30">
        <f>[8]CRP_Outcome_CRP!$V30</f>
        <v>9</v>
      </c>
      <c r="AP30">
        <f>[9]CRP_Outcome_CRP!$S30</f>
        <v>4</v>
      </c>
      <c r="AQ30">
        <f>[9]CRP_Outcome_CRP!$T30</f>
        <v>12</v>
      </c>
      <c r="AR30">
        <f>[9]CRP_Outcome_CRP!$U30</f>
        <v>10</v>
      </c>
      <c r="AS30">
        <f>[9]CRP_Outcome_CRP!$V30</f>
        <v>11</v>
      </c>
      <c r="AU30">
        <f>[9]CRP_Outcome_CRP!$S30</f>
        <v>4</v>
      </c>
      <c r="AV30">
        <f>[9]CRP_Outcome_CRP!$T30</f>
        <v>12</v>
      </c>
      <c r="AW30">
        <f>[9]CRP_Outcome_CRP!$U30</f>
        <v>10</v>
      </c>
      <c r="AX30">
        <f>[9]CRP_Outcome_CRP!$V30</f>
        <v>11</v>
      </c>
      <c r="BA30">
        <f t="shared" si="1"/>
        <v>2.1</v>
      </c>
      <c r="BB30">
        <f t="shared" si="1"/>
        <v>10.7</v>
      </c>
      <c r="BC30">
        <f t="shared" si="1"/>
        <v>12.4</v>
      </c>
      <c r="BD30">
        <f t="shared" si="1"/>
        <v>10.199999999999999</v>
      </c>
    </row>
    <row r="31" spans="1:56" x14ac:dyDescent="0.35">
      <c r="A31">
        <v>29</v>
      </c>
      <c r="B31">
        <f>[1]CRP_Outcome_CRP!$S31</f>
        <v>18</v>
      </c>
      <c r="C31">
        <f>[1]CRP_Outcome_CRP!$T31</f>
        <v>0</v>
      </c>
      <c r="D31">
        <f>[1]CRP_Outcome_CRP!$U31</f>
        <v>13</v>
      </c>
      <c r="E31">
        <f>[1]CRP_Outcome_CRP!$V31</f>
        <v>15</v>
      </c>
      <c r="G31">
        <f>[2]CRP_Outcome_CRP!$S31</f>
        <v>17</v>
      </c>
      <c r="H31">
        <f>[2]CRP_Outcome_CRP!$T31</f>
        <v>0</v>
      </c>
      <c r="I31">
        <f>[2]CRP_Outcome_CRP!$U31</f>
        <v>13</v>
      </c>
      <c r="J31">
        <f>[2]CRP_Outcome_CRP!$V31</f>
        <v>15</v>
      </c>
      <c r="L31">
        <f>[3]CRP_Outcome_CRP!$S31</f>
        <v>4</v>
      </c>
      <c r="M31">
        <f>[3]CRP_Outcome_CRP!$T31</f>
        <v>1</v>
      </c>
      <c r="N31">
        <f>[3]CRP_Outcome_CRP!$U31</f>
        <v>13</v>
      </c>
      <c r="O31">
        <f>[3]CRP_Outcome_CRP!$V31</f>
        <v>13</v>
      </c>
      <c r="Q31">
        <f>[4]CRP_Outcome_CRP!$S31</f>
        <v>7</v>
      </c>
      <c r="R31">
        <f>[4]CRP_Outcome_CRP!$T31</f>
        <v>0</v>
      </c>
      <c r="S31">
        <f>[4]CRP_Outcome_CRP!$U31</f>
        <v>13</v>
      </c>
      <c r="T31">
        <f>[4]CRP_Outcome_CRP!$V31</f>
        <v>7</v>
      </c>
      <c r="V31">
        <f>[5]CRP_Outcome_CRP!$S31</f>
        <v>5</v>
      </c>
      <c r="W31">
        <f>[5]CRP_Outcome_CRP!$T31</f>
        <v>0</v>
      </c>
      <c r="X31">
        <f>[5]CRP_Outcome_CRP!$U31</f>
        <v>13</v>
      </c>
      <c r="Y31">
        <f>[5]CRP_Outcome_CRP!$V31</f>
        <v>13</v>
      </c>
      <c r="AA31">
        <f>[6]CRP_Outcome_CRP!$S31</f>
        <v>5</v>
      </c>
      <c r="AB31">
        <f>[6]CRP_Outcome_CRP!$T31</f>
        <v>0</v>
      </c>
      <c r="AC31">
        <f>[6]CRP_Outcome_CRP!$U31</f>
        <v>13</v>
      </c>
      <c r="AD31">
        <f>[6]CRP_Outcome_CRP!$V31</f>
        <v>13</v>
      </c>
      <c r="AF31">
        <f>[7]CRP_Outcome_CRP!$S31</f>
        <v>4</v>
      </c>
      <c r="AG31">
        <f>[7]CRP_Outcome_CRP!$T31</f>
        <v>0</v>
      </c>
      <c r="AH31">
        <f>[7]CRP_Outcome_CRP!$U31</f>
        <v>13</v>
      </c>
      <c r="AI31">
        <f>[7]CRP_Outcome_CRP!$V31</f>
        <v>16</v>
      </c>
      <c r="AK31">
        <f>[8]CRP_Outcome_CRP!$S31</f>
        <v>4</v>
      </c>
      <c r="AL31">
        <f>[8]CRP_Outcome_CRP!$T31</f>
        <v>0</v>
      </c>
      <c r="AM31">
        <f>[8]CRP_Outcome_CRP!$U31</f>
        <v>13</v>
      </c>
      <c r="AN31">
        <f>[8]CRP_Outcome_CRP!$V31</f>
        <v>16</v>
      </c>
      <c r="AP31">
        <f>[9]CRP_Outcome_CRP!$S31</f>
        <v>11</v>
      </c>
      <c r="AQ31">
        <f>[9]CRP_Outcome_CRP!$T31</f>
        <v>8</v>
      </c>
      <c r="AR31">
        <f>[9]CRP_Outcome_CRP!$U31</f>
        <v>9</v>
      </c>
      <c r="AS31">
        <f>[9]CRP_Outcome_CRP!$V31</f>
        <v>12</v>
      </c>
      <c r="AU31">
        <f>[9]CRP_Outcome_CRP!$S31</f>
        <v>11</v>
      </c>
      <c r="AV31">
        <f>[9]CRP_Outcome_CRP!$T31</f>
        <v>8</v>
      </c>
      <c r="AW31">
        <f>[9]CRP_Outcome_CRP!$U31</f>
        <v>9</v>
      </c>
      <c r="AX31">
        <f>[9]CRP_Outcome_CRP!$V31</f>
        <v>12</v>
      </c>
      <c r="BA31">
        <f t="shared" si="1"/>
        <v>8.6</v>
      </c>
      <c r="BB31">
        <f t="shared" si="1"/>
        <v>1.7</v>
      </c>
      <c r="BC31">
        <f t="shared" si="1"/>
        <v>12.2</v>
      </c>
      <c r="BD31">
        <f t="shared" si="1"/>
        <v>13.2</v>
      </c>
    </row>
    <row r="32" spans="1:56" x14ac:dyDescent="0.35">
      <c r="A32">
        <v>30</v>
      </c>
      <c r="B32">
        <f>[1]CRP_Outcome_CRP!$S32</f>
        <v>18</v>
      </c>
      <c r="C32">
        <f>[1]CRP_Outcome_CRP!$T32</f>
        <v>18</v>
      </c>
      <c r="D32">
        <f>[1]CRP_Outcome_CRP!$U32</f>
        <v>13</v>
      </c>
      <c r="E32">
        <f>[1]CRP_Outcome_CRP!$V32</f>
        <v>11</v>
      </c>
      <c r="G32">
        <f>[2]CRP_Outcome_CRP!$S32</f>
        <v>17</v>
      </c>
      <c r="H32">
        <f>[2]CRP_Outcome_CRP!$T32</f>
        <v>8</v>
      </c>
      <c r="I32">
        <f>[2]CRP_Outcome_CRP!$U32</f>
        <v>13</v>
      </c>
      <c r="J32">
        <f>[2]CRP_Outcome_CRP!$V32</f>
        <v>9</v>
      </c>
      <c r="L32">
        <f>[3]CRP_Outcome_CRP!$S32</f>
        <v>9</v>
      </c>
      <c r="M32">
        <f>[3]CRP_Outcome_CRP!$T32</f>
        <v>0</v>
      </c>
      <c r="N32">
        <f>[3]CRP_Outcome_CRP!$U32</f>
        <v>13</v>
      </c>
      <c r="O32">
        <f>[3]CRP_Outcome_CRP!$V32</f>
        <v>14</v>
      </c>
      <c r="Q32">
        <f>[4]CRP_Outcome_CRP!$S32</f>
        <v>1</v>
      </c>
      <c r="R32">
        <f>[4]CRP_Outcome_CRP!$T32</f>
        <v>0</v>
      </c>
      <c r="S32">
        <f>[4]CRP_Outcome_CRP!$U32</f>
        <v>14</v>
      </c>
      <c r="T32">
        <f>[4]CRP_Outcome_CRP!$V32</f>
        <v>13</v>
      </c>
      <c r="V32">
        <f>[5]CRP_Outcome_CRP!$S32</f>
        <v>10</v>
      </c>
      <c r="W32">
        <f>[5]CRP_Outcome_CRP!$T32</f>
        <v>0</v>
      </c>
      <c r="X32">
        <f>[5]CRP_Outcome_CRP!$U32</f>
        <v>13</v>
      </c>
      <c r="Y32">
        <f>[5]CRP_Outcome_CRP!$V32</f>
        <v>16</v>
      </c>
      <c r="AA32">
        <f>[6]CRP_Outcome_CRP!$S32</f>
        <v>10</v>
      </c>
      <c r="AB32">
        <f>[6]CRP_Outcome_CRP!$T32</f>
        <v>0</v>
      </c>
      <c r="AC32">
        <f>[6]CRP_Outcome_CRP!$U32</f>
        <v>13</v>
      </c>
      <c r="AD32">
        <f>[6]CRP_Outcome_CRP!$V32</f>
        <v>16</v>
      </c>
      <c r="AF32">
        <f>[7]CRP_Outcome_CRP!$S32</f>
        <v>14</v>
      </c>
      <c r="AG32">
        <f>[7]CRP_Outcome_CRP!$T32</f>
        <v>0</v>
      </c>
      <c r="AH32">
        <f>[7]CRP_Outcome_CRP!$U32</f>
        <v>13</v>
      </c>
      <c r="AI32">
        <f>[7]CRP_Outcome_CRP!$V32</f>
        <v>16</v>
      </c>
      <c r="AK32">
        <f>[8]CRP_Outcome_CRP!$S32</f>
        <v>11</v>
      </c>
      <c r="AL32">
        <f>[8]CRP_Outcome_CRP!$T32</f>
        <v>0</v>
      </c>
      <c r="AM32">
        <f>[8]CRP_Outcome_CRP!$U32</f>
        <v>13</v>
      </c>
      <c r="AN32">
        <f>[8]CRP_Outcome_CRP!$V32</f>
        <v>16</v>
      </c>
      <c r="AP32">
        <f>[9]CRP_Outcome_CRP!$S32</f>
        <v>12</v>
      </c>
      <c r="AQ32">
        <f>[9]CRP_Outcome_CRP!$T32</f>
        <v>3</v>
      </c>
      <c r="AR32">
        <f>[9]CRP_Outcome_CRP!$U32</f>
        <v>7</v>
      </c>
      <c r="AS32">
        <f>[9]CRP_Outcome_CRP!$V32</f>
        <v>14</v>
      </c>
      <c r="AU32">
        <f>[9]CRP_Outcome_CRP!$S32</f>
        <v>12</v>
      </c>
      <c r="AV32">
        <f>[9]CRP_Outcome_CRP!$T32</f>
        <v>3</v>
      </c>
      <c r="AW32">
        <f>[9]CRP_Outcome_CRP!$U32</f>
        <v>7</v>
      </c>
      <c r="AX32">
        <f>[9]CRP_Outcome_CRP!$V32</f>
        <v>14</v>
      </c>
      <c r="BA32">
        <f t="shared" si="1"/>
        <v>11.4</v>
      </c>
      <c r="BB32">
        <f t="shared" si="1"/>
        <v>3.2</v>
      </c>
      <c r="BC32">
        <f t="shared" si="1"/>
        <v>11.9</v>
      </c>
      <c r="BD32">
        <f t="shared" si="1"/>
        <v>13.9</v>
      </c>
    </row>
    <row r="33" spans="1:56" x14ac:dyDescent="0.35">
      <c r="A33">
        <v>31</v>
      </c>
      <c r="B33">
        <f>[1]CRP_Outcome_CRP!$S33</f>
        <v>16</v>
      </c>
      <c r="C33">
        <f>[1]CRP_Outcome_CRP!$T33</f>
        <v>26</v>
      </c>
      <c r="D33">
        <f>[1]CRP_Outcome_CRP!$U33</f>
        <v>13</v>
      </c>
      <c r="E33">
        <f>[1]CRP_Outcome_CRP!$V33</f>
        <v>8</v>
      </c>
      <c r="G33">
        <f>[2]CRP_Outcome_CRP!$S33</f>
        <v>12</v>
      </c>
      <c r="H33">
        <f>[2]CRP_Outcome_CRP!$T33</f>
        <v>24</v>
      </c>
      <c r="I33">
        <f>[2]CRP_Outcome_CRP!$U33</f>
        <v>13</v>
      </c>
      <c r="J33">
        <f>[2]CRP_Outcome_CRP!$V33</f>
        <v>3</v>
      </c>
      <c r="L33">
        <f>[3]CRP_Outcome_CRP!$S33</f>
        <v>18</v>
      </c>
      <c r="M33">
        <f>[3]CRP_Outcome_CRP!$T33</f>
        <v>6</v>
      </c>
      <c r="N33">
        <f>[3]CRP_Outcome_CRP!$U33</f>
        <v>13</v>
      </c>
      <c r="O33">
        <f>[3]CRP_Outcome_CRP!$V33</f>
        <v>11</v>
      </c>
      <c r="Q33">
        <f>[4]CRP_Outcome_CRP!$S33</f>
        <v>16</v>
      </c>
      <c r="R33">
        <f>[4]CRP_Outcome_CRP!$T33</f>
        <v>10</v>
      </c>
      <c r="S33">
        <f>[4]CRP_Outcome_CRP!$U33</f>
        <v>14</v>
      </c>
      <c r="T33">
        <f>[4]CRP_Outcome_CRP!$V33</f>
        <v>13</v>
      </c>
      <c r="V33">
        <f>[5]CRP_Outcome_CRP!$S33</f>
        <v>19</v>
      </c>
      <c r="W33">
        <f>[5]CRP_Outcome_CRP!$T33</f>
        <v>6</v>
      </c>
      <c r="X33">
        <f>[5]CRP_Outcome_CRP!$U33</f>
        <v>13</v>
      </c>
      <c r="Y33">
        <f>[5]CRP_Outcome_CRP!$V33</f>
        <v>11</v>
      </c>
      <c r="AA33">
        <f>[6]CRP_Outcome_CRP!$S33</f>
        <v>19</v>
      </c>
      <c r="AB33">
        <f>[6]CRP_Outcome_CRP!$T33</f>
        <v>6</v>
      </c>
      <c r="AC33">
        <f>[6]CRP_Outcome_CRP!$U33</f>
        <v>13</v>
      </c>
      <c r="AD33">
        <f>[6]CRP_Outcome_CRP!$V33</f>
        <v>11</v>
      </c>
      <c r="AF33">
        <f>[7]CRP_Outcome_CRP!$S33</f>
        <v>23</v>
      </c>
      <c r="AG33">
        <f>[7]CRP_Outcome_CRP!$T33</f>
        <v>15</v>
      </c>
      <c r="AH33">
        <f>[7]CRP_Outcome_CRP!$U33</f>
        <v>12</v>
      </c>
      <c r="AI33">
        <f>[7]CRP_Outcome_CRP!$V33</f>
        <v>11</v>
      </c>
      <c r="AK33">
        <f>[8]CRP_Outcome_CRP!$S33</f>
        <v>23</v>
      </c>
      <c r="AL33">
        <f>[8]CRP_Outcome_CRP!$T33</f>
        <v>6</v>
      </c>
      <c r="AM33">
        <f>[8]CRP_Outcome_CRP!$U33</f>
        <v>12</v>
      </c>
      <c r="AN33">
        <f>[8]CRP_Outcome_CRP!$V33</f>
        <v>11</v>
      </c>
      <c r="AP33">
        <f>[9]CRP_Outcome_CRP!$S33</f>
        <v>13</v>
      </c>
      <c r="AQ33">
        <f>[9]CRP_Outcome_CRP!$T33</f>
        <v>12</v>
      </c>
      <c r="AR33">
        <f>[9]CRP_Outcome_CRP!$U33</f>
        <v>10</v>
      </c>
      <c r="AS33">
        <f>[9]CRP_Outcome_CRP!$V33</f>
        <v>7</v>
      </c>
      <c r="AU33">
        <f>[9]CRP_Outcome_CRP!$S33</f>
        <v>13</v>
      </c>
      <c r="AV33">
        <f>[9]CRP_Outcome_CRP!$T33</f>
        <v>12</v>
      </c>
      <c r="AW33">
        <f>[9]CRP_Outcome_CRP!$U33</f>
        <v>10</v>
      </c>
      <c r="AX33">
        <f>[9]CRP_Outcome_CRP!$V33</f>
        <v>7</v>
      </c>
      <c r="BA33">
        <f t="shared" si="1"/>
        <v>17.2</v>
      </c>
      <c r="BB33">
        <f t="shared" si="1"/>
        <v>12.3</v>
      </c>
      <c r="BC33">
        <f t="shared" si="1"/>
        <v>12.3</v>
      </c>
      <c r="BD33">
        <f t="shared" si="1"/>
        <v>9.3000000000000007</v>
      </c>
    </row>
    <row r="34" spans="1:56" x14ac:dyDescent="0.35">
      <c r="A34">
        <v>32</v>
      </c>
      <c r="B34">
        <f>[1]CRP_Outcome_CRP!$S34</f>
        <v>1</v>
      </c>
      <c r="C34">
        <f>[1]CRP_Outcome_CRP!$T34</f>
        <v>19</v>
      </c>
      <c r="D34">
        <f>[1]CRP_Outcome_CRP!$U34</f>
        <v>13</v>
      </c>
      <c r="E34">
        <f>[1]CRP_Outcome_CRP!$V34</f>
        <v>9</v>
      </c>
      <c r="G34">
        <f>[2]CRP_Outcome_CRP!$S34</f>
        <v>2</v>
      </c>
      <c r="H34">
        <f>[2]CRP_Outcome_CRP!$T34</f>
        <v>25</v>
      </c>
      <c r="I34">
        <f>[2]CRP_Outcome_CRP!$U34</f>
        <v>13</v>
      </c>
      <c r="J34">
        <f>[2]CRP_Outcome_CRP!$V34</f>
        <v>10</v>
      </c>
      <c r="L34">
        <f>[3]CRP_Outcome_CRP!$S34</f>
        <v>17</v>
      </c>
      <c r="M34">
        <f>[3]CRP_Outcome_CRP!$T34</f>
        <v>12</v>
      </c>
      <c r="N34">
        <f>[3]CRP_Outcome_CRP!$U34</f>
        <v>13</v>
      </c>
      <c r="O34">
        <f>[3]CRP_Outcome_CRP!$V34</f>
        <v>8</v>
      </c>
      <c r="Q34">
        <f>[4]CRP_Outcome_CRP!$S34</f>
        <v>21</v>
      </c>
      <c r="R34">
        <f>[4]CRP_Outcome_CRP!$T34</f>
        <v>6</v>
      </c>
      <c r="S34">
        <f>[4]CRP_Outcome_CRP!$U34</f>
        <v>13</v>
      </c>
      <c r="T34">
        <f>[4]CRP_Outcome_CRP!$V34</f>
        <v>14</v>
      </c>
      <c r="V34">
        <f>[5]CRP_Outcome_CRP!$S34</f>
        <v>18</v>
      </c>
      <c r="W34">
        <f>[5]CRP_Outcome_CRP!$T34</f>
        <v>25</v>
      </c>
      <c r="X34">
        <f>[5]CRP_Outcome_CRP!$U34</f>
        <v>12</v>
      </c>
      <c r="Y34">
        <f>[5]CRP_Outcome_CRP!$V34</f>
        <v>9</v>
      </c>
      <c r="AA34">
        <f>[6]CRP_Outcome_CRP!$S34</f>
        <v>18</v>
      </c>
      <c r="AB34">
        <f>[6]CRP_Outcome_CRP!$T34</f>
        <v>25</v>
      </c>
      <c r="AC34">
        <f>[6]CRP_Outcome_CRP!$U34</f>
        <v>12</v>
      </c>
      <c r="AD34">
        <f>[6]CRP_Outcome_CRP!$V34</f>
        <v>9</v>
      </c>
      <c r="AF34">
        <f>[7]CRP_Outcome_CRP!$S34</f>
        <v>17</v>
      </c>
      <c r="AG34">
        <f>[7]CRP_Outcome_CRP!$T34</f>
        <v>59</v>
      </c>
      <c r="AH34">
        <f>[7]CRP_Outcome_CRP!$U34</f>
        <v>12</v>
      </c>
      <c r="AI34">
        <f>[7]CRP_Outcome_CRP!$V34</f>
        <v>4</v>
      </c>
      <c r="AK34">
        <f>[8]CRP_Outcome_CRP!$S34</f>
        <v>17</v>
      </c>
      <c r="AL34">
        <f>[8]CRP_Outcome_CRP!$T34</f>
        <v>19</v>
      </c>
      <c r="AM34">
        <f>[8]CRP_Outcome_CRP!$U34</f>
        <v>12</v>
      </c>
      <c r="AN34">
        <f>[8]CRP_Outcome_CRP!$V34</f>
        <v>4</v>
      </c>
      <c r="AP34">
        <f>[9]CRP_Outcome_CRP!$S34</f>
        <v>16</v>
      </c>
      <c r="AQ34">
        <f>[9]CRP_Outcome_CRP!$T34</f>
        <v>12</v>
      </c>
      <c r="AR34">
        <f>[9]CRP_Outcome_CRP!$U34</f>
        <v>10</v>
      </c>
      <c r="AS34">
        <f>[9]CRP_Outcome_CRP!$V34</f>
        <v>5</v>
      </c>
      <c r="AU34">
        <f>[9]CRP_Outcome_CRP!$S34</f>
        <v>16</v>
      </c>
      <c r="AV34">
        <f>[9]CRP_Outcome_CRP!$T34</f>
        <v>12</v>
      </c>
      <c r="AW34">
        <f>[9]CRP_Outcome_CRP!$U34</f>
        <v>10</v>
      </c>
      <c r="AX34">
        <f>[9]CRP_Outcome_CRP!$V34</f>
        <v>5</v>
      </c>
      <c r="BA34">
        <f t="shared" si="1"/>
        <v>14.3</v>
      </c>
      <c r="BB34">
        <f t="shared" si="1"/>
        <v>21.4</v>
      </c>
      <c r="BC34">
        <f t="shared" si="1"/>
        <v>12</v>
      </c>
      <c r="BD34">
        <f t="shared" si="1"/>
        <v>7.7</v>
      </c>
    </row>
    <row r="35" spans="1:56" x14ac:dyDescent="0.35">
      <c r="A35">
        <v>33</v>
      </c>
      <c r="B35">
        <f>[1]CRP_Outcome_CRP!$S35</f>
        <v>2</v>
      </c>
      <c r="C35">
        <f>[1]CRP_Outcome_CRP!$T35</f>
        <v>0</v>
      </c>
      <c r="D35">
        <f>[1]CRP_Outcome_CRP!$U35</f>
        <v>13</v>
      </c>
      <c r="E35">
        <f>[1]CRP_Outcome_CRP!$V35</f>
        <v>11</v>
      </c>
      <c r="G35">
        <f>[2]CRP_Outcome_CRP!$S35</f>
        <v>4</v>
      </c>
      <c r="H35">
        <f>[2]CRP_Outcome_CRP!$T35</f>
        <v>0</v>
      </c>
      <c r="I35">
        <f>[2]CRP_Outcome_CRP!$U35</f>
        <v>13</v>
      </c>
      <c r="J35">
        <f>[2]CRP_Outcome_CRP!$V35</f>
        <v>15</v>
      </c>
      <c r="L35">
        <f>[3]CRP_Outcome_CRP!$S35</f>
        <v>8</v>
      </c>
      <c r="M35">
        <f>[3]CRP_Outcome_CRP!$T35</f>
        <v>21</v>
      </c>
      <c r="N35">
        <f>[3]CRP_Outcome_CRP!$U35</f>
        <v>13</v>
      </c>
      <c r="O35">
        <f>[3]CRP_Outcome_CRP!$V35</f>
        <v>8</v>
      </c>
      <c r="Q35">
        <f>[4]CRP_Outcome_CRP!$S35</f>
        <v>7</v>
      </c>
      <c r="R35">
        <f>[4]CRP_Outcome_CRP!$T35</f>
        <v>24</v>
      </c>
      <c r="S35">
        <f>[4]CRP_Outcome_CRP!$U35</f>
        <v>13</v>
      </c>
      <c r="T35">
        <f>[4]CRP_Outcome_CRP!$V35</f>
        <v>11</v>
      </c>
      <c r="V35">
        <f>[5]CRP_Outcome_CRP!$S35</f>
        <v>8</v>
      </c>
      <c r="W35">
        <f>[5]CRP_Outcome_CRP!$T35</f>
        <v>32</v>
      </c>
      <c r="X35">
        <f>[5]CRP_Outcome_CRP!$U35</f>
        <v>12</v>
      </c>
      <c r="Y35">
        <f>[5]CRP_Outcome_CRP!$V35</f>
        <v>8</v>
      </c>
      <c r="AA35">
        <f>[6]CRP_Outcome_CRP!$S35</f>
        <v>8</v>
      </c>
      <c r="AB35">
        <f>[6]CRP_Outcome_CRP!$T35</f>
        <v>32</v>
      </c>
      <c r="AC35">
        <f>[6]CRP_Outcome_CRP!$U35</f>
        <v>12</v>
      </c>
      <c r="AD35">
        <f>[6]CRP_Outcome_CRP!$V35</f>
        <v>8</v>
      </c>
      <c r="AF35">
        <f>[7]CRP_Outcome_CRP!$S35</f>
        <v>0</v>
      </c>
      <c r="AG35">
        <f>[7]CRP_Outcome_CRP!$T35</f>
        <v>28</v>
      </c>
      <c r="AH35">
        <f>[7]CRP_Outcome_CRP!$U35</f>
        <v>13</v>
      </c>
      <c r="AI35">
        <f>[7]CRP_Outcome_CRP!$V35</f>
        <v>4</v>
      </c>
      <c r="AK35">
        <f>[8]CRP_Outcome_CRP!$S35</f>
        <v>4</v>
      </c>
      <c r="AL35">
        <f>[8]CRP_Outcome_CRP!$T35</f>
        <v>23</v>
      </c>
      <c r="AM35">
        <f>[8]CRP_Outcome_CRP!$U35</f>
        <v>13</v>
      </c>
      <c r="AN35">
        <f>[8]CRP_Outcome_CRP!$V35</f>
        <v>4</v>
      </c>
      <c r="AP35">
        <f>[9]CRP_Outcome_CRP!$S35</f>
        <v>3</v>
      </c>
      <c r="AQ35">
        <f>[9]CRP_Outcome_CRP!$T35</f>
        <v>15</v>
      </c>
      <c r="AR35">
        <f>[9]CRP_Outcome_CRP!$U35</f>
        <v>10</v>
      </c>
      <c r="AS35">
        <f>[9]CRP_Outcome_CRP!$V35</f>
        <v>10</v>
      </c>
      <c r="AU35">
        <f>[9]CRP_Outcome_CRP!$S35</f>
        <v>3</v>
      </c>
      <c r="AV35">
        <f>[9]CRP_Outcome_CRP!$T35</f>
        <v>15</v>
      </c>
      <c r="AW35">
        <f>[9]CRP_Outcome_CRP!$U35</f>
        <v>10</v>
      </c>
      <c r="AX35">
        <f>[9]CRP_Outcome_CRP!$V35</f>
        <v>10</v>
      </c>
      <c r="BA35">
        <f t="shared" si="1"/>
        <v>4.7</v>
      </c>
      <c r="BB35">
        <f t="shared" si="1"/>
        <v>19</v>
      </c>
      <c r="BC35">
        <f t="shared" si="1"/>
        <v>12.2</v>
      </c>
      <c r="BD35">
        <f t="shared" si="1"/>
        <v>8.9</v>
      </c>
    </row>
    <row r="36" spans="1:56" x14ac:dyDescent="0.35">
      <c r="A36">
        <v>34</v>
      </c>
      <c r="B36">
        <f>[1]CRP_Outcome_CRP!$S36</f>
        <v>8</v>
      </c>
      <c r="C36">
        <f>[1]CRP_Outcome_CRP!$T36</f>
        <v>0</v>
      </c>
      <c r="D36">
        <f>[1]CRP_Outcome_CRP!$U36</f>
        <v>13</v>
      </c>
      <c r="E36">
        <f>[1]CRP_Outcome_CRP!$V36</f>
        <v>14</v>
      </c>
      <c r="G36">
        <f>[2]CRP_Outcome_CRP!$S36</f>
        <v>12</v>
      </c>
      <c r="H36">
        <f>[2]CRP_Outcome_CRP!$T36</f>
        <v>0</v>
      </c>
      <c r="I36">
        <f>[2]CRP_Outcome_CRP!$U36</f>
        <v>13</v>
      </c>
      <c r="J36">
        <f>[2]CRP_Outcome_CRP!$V36</f>
        <v>17</v>
      </c>
      <c r="L36">
        <f>[3]CRP_Outcome_CRP!$S36</f>
        <v>2</v>
      </c>
      <c r="M36">
        <f>[3]CRP_Outcome_CRP!$T36</f>
        <v>10</v>
      </c>
      <c r="N36">
        <f>[3]CRP_Outcome_CRP!$U36</f>
        <v>13</v>
      </c>
      <c r="O36">
        <f>[3]CRP_Outcome_CRP!$V36</f>
        <v>10</v>
      </c>
      <c r="Q36">
        <f>[4]CRP_Outcome_CRP!$S36</f>
        <v>18</v>
      </c>
      <c r="R36">
        <f>[4]CRP_Outcome_CRP!$T36</f>
        <v>12</v>
      </c>
      <c r="S36">
        <f>[4]CRP_Outcome_CRP!$U36</f>
        <v>13</v>
      </c>
      <c r="T36">
        <f>[4]CRP_Outcome_CRP!$V36</f>
        <v>5</v>
      </c>
      <c r="V36">
        <f>[5]CRP_Outcome_CRP!$S36</f>
        <v>2</v>
      </c>
      <c r="W36">
        <f>[5]CRP_Outcome_CRP!$T36</f>
        <v>12</v>
      </c>
      <c r="X36">
        <f>[5]CRP_Outcome_CRP!$U36</f>
        <v>13</v>
      </c>
      <c r="Y36">
        <f>[5]CRP_Outcome_CRP!$V36</f>
        <v>9</v>
      </c>
      <c r="AA36">
        <f>[6]CRP_Outcome_CRP!$S36</f>
        <v>2</v>
      </c>
      <c r="AB36">
        <f>[6]CRP_Outcome_CRP!$T36</f>
        <v>12</v>
      </c>
      <c r="AC36">
        <f>[6]CRP_Outcome_CRP!$U36</f>
        <v>13</v>
      </c>
      <c r="AD36">
        <f>[6]CRP_Outcome_CRP!$V36</f>
        <v>9</v>
      </c>
      <c r="AF36">
        <f>[7]CRP_Outcome_CRP!$S36</f>
        <v>0</v>
      </c>
      <c r="AG36">
        <f>[7]CRP_Outcome_CRP!$T36</f>
        <v>7</v>
      </c>
      <c r="AH36">
        <f>[7]CRP_Outcome_CRP!$U36</f>
        <v>13</v>
      </c>
      <c r="AI36">
        <f>[7]CRP_Outcome_CRP!$V36</f>
        <v>10</v>
      </c>
      <c r="AK36">
        <f>[8]CRP_Outcome_CRP!$S36</f>
        <v>0</v>
      </c>
      <c r="AL36">
        <f>[8]CRP_Outcome_CRP!$T36</f>
        <v>11</v>
      </c>
      <c r="AM36">
        <f>[8]CRP_Outcome_CRP!$U36</f>
        <v>13</v>
      </c>
      <c r="AN36">
        <f>[8]CRP_Outcome_CRP!$V36</f>
        <v>10</v>
      </c>
      <c r="AP36">
        <f>[9]CRP_Outcome_CRP!$S36</f>
        <v>5</v>
      </c>
      <c r="AQ36">
        <f>[9]CRP_Outcome_CRP!$T36</f>
        <v>12</v>
      </c>
      <c r="AR36">
        <f>[9]CRP_Outcome_CRP!$U36</f>
        <v>11</v>
      </c>
      <c r="AS36">
        <f>[9]CRP_Outcome_CRP!$V36</f>
        <v>10</v>
      </c>
      <c r="AU36">
        <f>[9]CRP_Outcome_CRP!$S36</f>
        <v>5</v>
      </c>
      <c r="AV36">
        <f>[9]CRP_Outcome_CRP!$T36</f>
        <v>12</v>
      </c>
      <c r="AW36">
        <f>[9]CRP_Outcome_CRP!$U36</f>
        <v>11</v>
      </c>
      <c r="AX36">
        <f>[9]CRP_Outcome_CRP!$V36</f>
        <v>10</v>
      </c>
      <c r="BA36">
        <f t="shared" si="1"/>
        <v>5.4</v>
      </c>
      <c r="BB36">
        <f t="shared" si="1"/>
        <v>8.8000000000000007</v>
      </c>
      <c r="BC36">
        <f t="shared" si="1"/>
        <v>12.6</v>
      </c>
      <c r="BD36">
        <f t="shared" si="1"/>
        <v>10.4</v>
      </c>
    </row>
    <row r="37" spans="1:56" x14ac:dyDescent="0.35">
      <c r="A37">
        <v>35</v>
      </c>
      <c r="B37">
        <f>[1]CRP_Outcome_CRP!$S37</f>
        <v>18</v>
      </c>
      <c r="C37">
        <f>[1]CRP_Outcome_CRP!$T37</f>
        <v>12</v>
      </c>
      <c r="D37">
        <f>[1]CRP_Outcome_CRP!$U37</f>
        <v>13</v>
      </c>
      <c r="E37">
        <f>[1]CRP_Outcome_CRP!$V37</f>
        <v>13</v>
      </c>
      <c r="G37">
        <f>[2]CRP_Outcome_CRP!$S37</f>
        <v>20</v>
      </c>
      <c r="H37">
        <f>[2]CRP_Outcome_CRP!$T37</f>
        <v>3</v>
      </c>
      <c r="I37">
        <f>[2]CRP_Outcome_CRP!$U37</f>
        <v>13</v>
      </c>
      <c r="J37">
        <f>[2]CRP_Outcome_CRP!$V37</f>
        <v>11</v>
      </c>
      <c r="L37">
        <f>[3]CRP_Outcome_CRP!$S37</f>
        <v>5</v>
      </c>
      <c r="M37">
        <f>[3]CRP_Outcome_CRP!$T37</f>
        <v>0</v>
      </c>
      <c r="N37">
        <f>[3]CRP_Outcome_CRP!$U37</f>
        <v>13</v>
      </c>
      <c r="O37">
        <f>[3]CRP_Outcome_CRP!$V37</f>
        <v>13</v>
      </c>
      <c r="Q37">
        <f>[4]CRP_Outcome_CRP!$S37</f>
        <v>2</v>
      </c>
      <c r="R37">
        <f>[4]CRP_Outcome_CRP!$T37</f>
        <v>2</v>
      </c>
      <c r="S37">
        <f>[4]CRP_Outcome_CRP!$U37</f>
        <v>13</v>
      </c>
      <c r="T37">
        <f>[4]CRP_Outcome_CRP!$V37</f>
        <v>10</v>
      </c>
      <c r="V37">
        <f>[5]CRP_Outcome_CRP!$S37</f>
        <v>4</v>
      </c>
      <c r="W37">
        <f>[5]CRP_Outcome_CRP!$T37</f>
        <v>0</v>
      </c>
      <c r="X37">
        <f>[5]CRP_Outcome_CRP!$U37</f>
        <v>13</v>
      </c>
      <c r="Y37">
        <f>[5]CRP_Outcome_CRP!$V37</f>
        <v>13</v>
      </c>
      <c r="AA37">
        <f>[6]CRP_Outcome_CRP!$S37</f>
        <v>4</v>
      </c>
      <c r="AB37">
        <f>[6]CRP_Outcome_CRP!$T37</f>
        <v>0</v>
      </c>
      <c r="AC37">
        <f>[6]CRP_Outcome_CRP!$U37</f>
        <v>13</v>
      </c>
      <c r="AD37">
        <f>[6]CRP_Outcome_CRP!$V37</f>
        <v>13</v>
      </c>
      <c r="AF37">
        <f>[7]CRP_Outcome_CRP!$S37</f>
        <v>6</v>
      </c>
      <c r="AG37">
        <f>[7]CRP_Outcome_CRP!$T37</f>
        <v>0</v>
      </c>
      <c r="AH37">
        <f>[7]CRP_Outcome_CRP!$U37</f>
        <v>13</v>
      </c>
      <c r="AI37">
        <f>[7]CRP_Outcome_CRP!$V37</f>
        <v>16</v>
      </c>
      <c r="AK37">
        <f>[8]CRP_Outcome_CRP!$S37</f>
        <v>6</v>
      </c>
      <c r="AL37">
        <f>[8]CRP_Outcome_CRP!$T37</f>
        <v>0</v>
      </c>
      <c r="AM37">
        <f>[8]CRP_Outcome_CRP!$U37</f>
        <v>13</v>
      </c>
      <c r="AN37">
        <f>[8]CRP_Outcome_CRP!$V37</f>
        <v>18</v>
      </c>
      <c r="AP37">
        <f>[9]CRP_Outcome_CRP!$S37</f>
        <v>12</v>
      </c>
      <c r="AQ37">
        <f>[9]CRP_Outcome_CRP!$T37</f>
        <v>1</v>
      </c>
      <c r="AR37">
        <f>[9]CRP_Outcome_CRP!$U37</f>
        <v>9</v>
      </c>
      <c r="AS37">
        <f>[9]CRP_Outcome_CRP!$V37</f>
        <v>15</v>
      </c>
      <c r="AU37">
        <f>[9]CRP_Outcome_CRP!$S37</f>
        <v>12</v>
      </c>
      <c r="AV37">
        <f>[9]CRP_Outcome_CRP!$T37</f>
        <v>1</v>
      </c>
      <c r="AW37">
        <f>[9]CRP_Outcome_CRP!$U37</f>
        <v>9</v>
      </c>
      <c r="AX37">
        <f>[9]CRP_Outcome_CRP!$V37</f>
        <v>15</v>
      </c>
      <c r="BA37">
        <f t="shared" si="1"/>
        <v>8.9</v>
      </c>
      <c r="BB37">
        <f t="shared" si="1"/>
        <v>1.9</v>
      </c>
      <c r="BC37">
        <f t="shared" si="1"/>
        <v>12.2</v>
      </c>
      <c r="BD37">
        <f t="shared" si="1"/>
        <v>13.7</v>
      </c>
    </row>
    <row r="38" spans="1:56" x14ac:dyDescent="0.35">
      <c r="A38">
        <v>36</v>
      </c>
      <c r="B38">
        <f>[1]CRP_Outcome_CRP!$S38</f>
        <v>17</v>
      </c>
      <c r="C38">
        <f>[1]CRP_Outcome_CRP!$T38</f>
        <v>25</v>
      </c>
      <c r="D38">
        <f>[1]CRP_Outcome_CRP!$U38</f>
        <v>13</v>
      </c>
      <c r="E38">
        <f>[1]CRP_Outcome_CRP!$V38</f>
        <v>9</v>
      </c>
      <c r="G38">
        <f>[2]CRP_Outcome_CRP!$S38</f>
        <v>14</v>
      </c>
      <c r="H38">
        <f>[2]CRP_Outcome_CRP!$T38</f>
        <v>21</v>
      </c>
      <c r="I38">
        <f>[2]CRP_Outcome_CRP!$U38</f>
        <v>13</v>
      </c>
      <c r="J38">
        <f>[2]CRP_Outcome_CRP!$V38</f>
        <v>4</v>
      </c>
      <c r="L38">
        <f>[3]CRP_Outcome_CRP!$S38</f>
        <v>10</v>
      </c>
      <c r="M38">
        <f>[3]CRP_Outcome_CRP!$T38</f>
        <v>0</v>
      </c>
      <c r="N38">
        <f>[3]CRP_Outcome_CRP!$U38</f>
        <v>13</v>
      </c>
      <c r="O38">
        <f>[3]CRP_Outcome_CRP!$V38</f>
        <v>13</v>
      </c>
      <c r="Q38">
        <f>[4]CRP_Outcome_CRP!$S38</f>
        <v>1</v>
      </c>
      <c r="R38">
        <f>[4]CRP_Outcome_CRP!$T38</f>
        <v>8</v>
      </c>
      <c r="S38">
        <f>[4]CRP_Outcome_CRP!$U38</f>
        <v>13</v>
      </c>
      <c r="T38">
        <f>[4]CRP_Outcome_CRP!$V38</f>
        <v>11</v>
      </c>
      <c r="V38">
        <f>[5]CRP_Outcome_CRP!$S38</f>
        <v>11</v>
      </c>
      <c r="W38">
        <f>[5]CRP_Outcome_CRP!$T38</f>
        <v>0</v>
      </c>
      <c r="X38">
        <f>[5]CRP_Outcome_CRP!$U38</f>
        <v>13</v>
      </c>
      <c r="Y38">
        <f>[5]CRP_Outcome_CRP!$V38</f>
        <v>14</v>
      </c>
      <c r="AA38">
        <f>[6]CRP_Outcome_CRP!$S38</f>
        <v>11</v>
      </c>
      <c r="AB38">
        <f>[6]CRP_Outcome_CRP!$T38</f>
        <v>0</v>
      </c>
      <c r="AC38">
        <f>[6]CRP_Outcome_CRP!$U38</f>
        <v>13</v>
      </c>
      <c r="AD38">
        <f>[6]CRP_Outcome_CRP!$V38</f>
        <v>14</v>
      </c>
      <c r="AF38">
        <f>[7]CRP_Outcome_CRP!$S38</f>
        <v>15</v>
      </c>
      <c r="AG38">
        <f>[7]CRP_Outcome_CRP!$T38</f>
        <v>5</v>
      </c>
      <c r="AH38">
        <f>[7]CRP_Outcome_CRP!$U38</f>
        <v>13</v>
      </c>
      <c r="AI38">
        <f>[7]CRP_Outcome_CRP!$V38</f>
        <v>16</v>
      </c>
      <c r="AK38">
        <f>[8]CRP_Outcome_CRP!$S38</f>
        <v>12</v>
      </c>
      <c r="AL38">
        <f>[8]CRP_Outcome_CRP!$T38</f>
        <v>0</v>
      </c>
      <c r="AM38">
        <f>[8]CRP_Outcome_CRP!$U38</f>
        <v>13</v>
      </c>
      <c r="AN38">
        <f>[8]CRP_Outcome_CRP!$V38</f>
        <v>16</v>
      </c>
      <c r="AP38">
        <f>[9]CRP_Outcome_CRP!$S38</f>
        <v>12</v>
      </c>
      <c r="AQ38">
        <f>[9]CRP_Outcome_CRP!$T38</f>
        <v>5</v>
      </c>
      <c r="AR38">
        <f>[9]CRP_Outcome_CRP!$U38</f>
        <v>9</v>
      </c>
      <c r="AS38">
        <f>[9]CRP_Outcome_CRP!$V38</f>
        <v>13</v>
      </c>
      <c r="AU38">
        <f>[9]CRP_Outcome_CRP!$S38</f>
        <v>12</v>
      </c>
      <c r="AV38">
        <f>[9]CRP_Outcome_CRP!$T38</f>
        <v>5</v>
      </c>
      <c r="AW38">
        <f>[9]CRP_Outcome_CRP!$U38</f>
        <v>9</v>
      </c>
      <c r="AX38">
        <f>[9]CRP_Outcome_CRP!$V38</f>
        <v>13</v>
      </c>
      <c r="BA38">
        <f t="shared" si="1"/>
        <v>11.5</v>
      </c>
      <c r="BB38">
        <f t="shared" si="1"/>
        <v>6.9</v>
      </c>
      <c r="BC38">
        <f t="shared" si="1"/>
        <v>12.2</v>
      </c>
      <c r="BD38">
        <f t="shared" si="1"/>
        <v>12.3</v>
      </c>
    </row>
    <row r="40" spans="1:56" x14ac:dyDescent="0.35">
      <c r="A40" t="s">
        <v>9</v>
      </c>
      <c r="B40">
        <f>SUM(B2:B38)</f>
        <v>376</v>
      </c>
      <c r="C40">
        <f t="shared" ref="C40:E40" si="2">SUM(C2:C38)</f>
        <v>431</v>
      </c>
      <c r="D40">
        <f t="shared" si="2"/>
        <v>465</v>
      </c>
      <c r="E40">
        <f t="shared" si="2"/>
        <v>392</v>
      </c>
      <c r="G40">
        <f>SUM(G2:G38)</f>
        <v>379</v>
      </c>
      <c r="H40">
        <f t="shared" ref="H40:J40" si="3">SUM(H2:H38)</f>
        <v>402</v>
      </c>
      <c r="I40">
        <f t="shared" si="3"/>
        <v>467</v>
      </c>
      <c r="J40">
        <f t="shared" si="3"/>
        <v>385</v>
      </c>
      <c r="L40">
        <f>SUM(L2:L38)</f>
        <v>363</v>
      </c>
      <c r="M40">
        <f t="shared" ref="M40:O40" si="4">SUM(M2:M38)</f>
        <v>385</v>
      </c>
      <c r="N40">
        <f t="shared" si="4"/>
        <v>465</v>
      </c>
      <c r="O40">
        <f t="shared" si="4"/>
        <v>382</v>
      </c>
      <c r="Q40">
        <f>SUM(Q2:Q38)</f>
        <v>366</v>
      </c>
      <c r="R40">
        <f t="shared" ref="R40:T40" si="5">SUM(R2:R38)</f>
        <v>416</v>
      </c>
      <c r="S40">
        <f t="shared" si="5"/>
        <v>477</v>
      </c>
      <c r="T40">
        <f t="shared" si="5"/>
        <v>377</v>
      </c>
      <c r="V40">
        <f>SUM(V2:V38)</f>
        <v>374</v>
      </c>
      <c r="W40">
        <f t="shared" ref="W40:Y40" si="6">SUM(W2:W38)</f>
        <v>459</v>
      </c>
      <c r="X40">
        <f t="shared" si="6"/>
        <v>452</v>
      </c>
      <c r="Y40">
        <f t="shared" si="6"/>
        <v>398</v>
      </c>
      <c r="AA40">
        <f>SUM(AA2:AA38)</f>
        <v>374</v>
      </c>
      <c r="AB40">
        <f t="shared" ref="AB40:AD40" si="7">SUM(AB2:AB38)</f>
        <v>459</v>
      </c>
      <c r="AC40">
        <f t="shared" si="7"/>
        <v>452</v>
      </c>
      <c r="AD40">
        <f t="shared" si="7"/>
        <v>398</v>
      </c>
      <c r="AF40">
        <f>SUM(AF2:AF38)</f>
        <v>358</v>
      </c>
      <c r="AG40">
        <f t="shared" ref="AG40:AI40" si="8">SUM(AG2:AG38)</f>
        <v>597</v>
      </c>
      <c r="AH40">
        <f t="shared" si="8"/>
        <v>453</v>
      </c>
      <c r="AI40">
        <f t="shared" si="8"/>
        <v>392</v>
      </c>
      <c r="AK40">
        <f>SUM(AK2:AK38)</f>
        <v>378</v>
      </c>
      <c r="AL40">
        <f t="shared" ref="AL40:AN40" si="9">SUM(AL2:AL38)</f>
        <v>372</v>
      </c>
      <c r="AM40">
        <f t="shared" si="9"/>
        <v>453</v>
      </c>
      <c r="AN40">
        <f t="shared" si="9"/>
        <v>380</v>
      </c>
      <c r="AP40">
        <f>SUM(AP2:AP38)</f>
        <v>394</v>
      </c>
      <c r="AQ40">
        <f t="shared" ref="AQ40:AS40" si="10">SUM(AQ2:AQ38)</f>
        <v>392</v>
      </c>
      <c r="AR40">
        <f t="shared" si="10"/>
        <v>362</v>
      </c>
      <c r="AS40">
        <f t="shared" si="10"/>
        <v>351</v>
      </c>
      <c r="AU40">
        <f>SUM(AU2:AU38)</f>
        <v>394</v>
      </c>
      <c r="AV40">
        <f t="shared" ref="AV40:AX40" si="11">SUM(AV2:AV38)</f>
        <v>392</v>
      </c>
      <c r="AW40">
        <f t="shared" si="11"/>
        <v>362</v>
      </c>
      <c r="AX40">
        <f t="shared" si="11"/>
        <v>351</v>
      </c>
      <c r="BA40">
        <f>SUM(BA2:BA38)</f>
        <v>375.59999999999997</v>
      </c>
      <c r="BB40">
        <f t="shared" ref="BB40:BD40" si="12">SUM(BB2:BB38)</f>
        <v>430.49999999999983</v>
      </c>
      <c r="BC40">
        <f t="shared" si="12"/>
        <v>440.8</v>
      </c>
      <c r="BD40">
        <f t="shared" si="12"/>
        <v>380.59999999999991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ABCA-DFDB-4E80-8CCB-3AF4E13C9649}">
  <dimension ref="A1:BD40"/>
  <sheetViews>
    <sheetView topLeftCell="AF1" workbookViewId="0">
      <selection activeCell="AU4" sqref="AU4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1" max="52" width="8.7265625" style="5"/>
  </cols>
  <sheetData>
    <row r="1" spans="1:56" x14ac:dyDescent="0.35">
      <c r="A1" t="s">
        <v>19</v>
      </c>
      <c r="B1" t="s">
        <v>27</v>
      </c>
      <c r="C1" t="s">
        <v>28</v>
      </c>
      <c r="D1" t="s">
        <v>29</v>
      </c>
      <c r="E1" t="s">
        <v>30</v>
      </c>
      <c r="F1" s="5">
        <v>1</v>
      </c>
      <c r="G1" t="s">
        <v>27</v>
      </c>
      <c r="H1" t="s">
        <v>28</v>
      </c>
      <c r="I1" t="s">
        <v>29</v>
      </c>
      <c r="J1" t="s">
        <v>30</v>
      </c>
      <c r="K1" s="5">
        <v>2</v>
      </c>
      <c r="L1" t="s">
        <v>27</v>
      </c>
      <c r="M1" t="s">
        <v>28</v>
      </c>
      <c r="N1" t="s">
        <v>29</v>
      </c>
      <c r="O1" t="s">
        <v>30</v>
      </c>
      <c r="P1" s="5">
        <v>3</v>
      </c>
      <c r="Q1" t="s">
        <v>27</v>
      </c>
      <c r="R1" t="s">
        <v>28</v>
      </c>
      <c r="S1" t="s">
        <v>29</v>
      </c>
      <c r="T1" t="s">
        <v>30</v>
      </c>
      <c r="U1" s="5">
        <v>4</v>
      </c>
      <c r="V1" t="s">
        <v>27</v>
      </c>
      <c r="W1" t="s">
        <v>28</v>
      </c>
      <c r="X1" t="s">
        <v>29</v>
      </c>
      <c r="Y1" t="s">
        <v>30</v>
      </c>
      <c r="Z1" s="5">
        <v>5</v>
      </c>
      <c r="AA1" t="s">
        <v>27</v>
      </c>
      <c r="AB1" t="s">
        <v>28</v>
      </c>
      <c r="AC1" t="s">
        <v>29</v>
      </c>
      <c r="AD1" t="s">
        <v>30</v>
      </c>
      <c r="AE1" s="5">
        <v>6</v>
      </c>
      <c r="AF1" t="s">
        <v>27</v>
      </c>
      <c r="AG1" t="s">
        <v>28</v>
      </c>
      <c r="AH1" t="s">
        <v>29</v>
      </c>
      <c r="AI1" t="s">
        <v>30</v>
      </c>
      <c r="AJ1" s="5">
        <v>7</v>
      </c>
      <c r="AK1" t="s">
        <v>27</v>
      </c>
      <c r="AL1" t="s">
        <v>28</v>
      </c>
      <c r="AM1" t="s">
        <v>29</v>
      </c>
      <c r="AN1" t="s">
        <v>30</v>
      </c>
      <c r="AO1" s="5">
        <v>8</v>
      </c>
      <c r="AP1" t="s">
        <v>27</v>
      </c>
      <c r="AQ1" t="s">
        <v>28</v>
      </c>
      <c r="AR1" t="s">
        <v>29</v>
      </c>
      <c r="AS1" t="s">
        <v>30</v>
      </c>
      <c r="AT1" s="5">
        <v>9</v>
      </c>
      <c r="AU1" t="s">
        <v>27</v>
      </c>
      <c r="AV1" t="s">
        <v>28</v>
      </c>
      <c r="AW1" t="s">
        <v>29</v>
      </c>
      <c r="AX1" t="s">
        <v>30</v>
      </c>
      <c r="AY1" s="5">
        <v>10</v>
      </c>
      <c r="BA1" t="s">
        <v>40</v>
      </c>
      <c r="BB1" t="s">
        <v>127</v>
      </c>
      <c r="BC1" t="s">
        <v>38</v>
      </c>
      <c r="BD1" t="s">
        <v>128</v>
      </c>
    </row>
    <row r="2" spans="1:56" x14ac:dyDescent="0.35">
      <c r="A2">
        <v>0</v>
      </c>
      <c r="B2">
        <f>[1]CRP_Outcome_CRP!$B2</f>
        <v>0</v>
      </c>
      <c r="C2">
        <f>[1]CRP_Outcome_CRP!$C2</f>
        <v>0</v>
      </c>
      <c r="D2">
        <f>[1]CRP_Outcome_CRP!$D2</f>
        <v>0</v>
      </c>
      <c r="E2">
        <f>[1]CRP_Outcome_CRP!$E2</f>
        <v>0</v>
      </c>
      <c r="G2">
        <f>[2]CRP_Outcome_CRP!$B2</f>
        <v>0</v>
      </c>
      <c r="H2">
        <f>[2]CRP_Outcome_CRP!$C2</f>
        <v>0</v>
      </c>
      <c r="I2">
        <f>[2]CRP_Outcome_CRP!$D2</f>
        <v>0</v>
      </c>
      <c r="J2">
        <f>[2]CRP_Outcome_CRP!$E2</f>
        <v>0</v>
      </c>
      <c r="L2">
        <f>[3]CRP_Outcome_CRP!$B2</f>
        <v>0</v>
      </c>
      <c r="M2">
        <f>[3]CRP_Outcome_CRP!$C2</f>
        <v>0</v>
      </c>
      <c r="N2">
        <f>[3]CRP_Outcome_CRP!$D2</f>
        <v>0</v>
      </c>
      <c r="O2">
        <f>[3]CRP_Outcome_CRP!$E2</f>
        <v>0</v>
      </c>
      <c r="Q2">
        <f>[4]CRP_Outcome_CRP!$B2</f>
        <v>0</v>
      </c>
      <c r="R2">
        <f>[4]CRP_Outcome_CRP!$C2</f>
        <v>0</v>
      </c>
      <c r="S2">
        <f>[4]CRP_Outcome_CRP!$D2</f>
        <v>0</v>
      </c>
      <c r="T2">
        <f>[4]CRP_Outcome_CRP!$E2</f>
        <v>0</v>
      </c>
      <c r="V2">
        <f>[5]CRP_Outcome_CRP!$B2</f>
        <v>0</v>
      </c>
      <c r="W2">
        <f>[5]CRP_Outcome_CRP!$C2</f>
        <v>0</v>
      </c>
      <c r="X2">
        <f>[5]CRP_Outcome_CRP!$D2</f>
        <v>0</v>
      </c>
      <c r="Y2">
        <f>[5]CRP_Outcome_CRP!$E2</f>
        <v>0</v>
      </c>
      <c r="AA2">
        <f>[6]CRP_Outcome_CRP!$B2</f>
        <v>0</v>
      </c>
      <c r="AB2">
        <f>[6]CRP_Outcome_CRP!$C2</f>
        <v>0</v>
      </c>
      <c r="AC2">
        <f>[6]CRP_Outcome_CRP!$D2</f>
        <v>0</v>
      </c>
      <c r="AD2">
        <f>[6]CRP_Outcome_CRP!$E2</f>
        <v>0</v>
      </c>
      <c r="AF2">
        <f>[7]CRP_Outcome_CRP!$B2</f>
        <v>0</v>
      </c>
      <c r="AG2">
        <f>[7]CRP_Outcome_CRP!$C2</f>
        <v>0</v>
      </c>
      <c r="AH2">
        <f>[7]CRP_Outcome_CRP!$D2</f>
        <v>0</v>
      </c>
      <c r="AI2">
        <f>[7]CRP_Outcome_CRP!$E2</f>
        <v>0</v>
      </c>
      <c r="AK2">
        <f>[8]CRP_Outcome_CRP!$B2</f>
        <v>0</v>
      </c>
      <c r="AL2">
        <f>[8]CRP_Outcome_CRP!$C2</f>
        <v>0</v>
      </c>
      <c r="AM2">
        <f>[8]CRP_Outcome_CRP!$D2</f>
        <v>0</v>
      </c>
      <c r="AN2">
        <f>[8]CRP_Outcome_CRP!$E2</f>
        <v>0</v>
      </c>
      <c r="AP2">
        <f>[9]CRP_Outcome_CRP!$B2</f>
        <v>0</v>
      </c>
      <c r="AQ2">
        <f>[9]CRP_Outcome_CRP!$C2</f>
        <v>0</v>
      </c>
      <c r="AR2">
        <f>[9]CRP_Outcome_CRP!$D2</f>
        <v>0</v>
      </c>
      <c r="AS2">
        <f>[9]CRP_Outcome_CRP!$E2</f>
        <v>0</v>
      </c>
      <c r="AU2">
        <f>[10]CRP_Outcome_CRP!$B2</f>
        <v>0</v>
      </c>
      <c r="AV2">
        <f>[10]CRP_Outcome_CRP!$C2</f>
        <v>0</v>
      </c>
      <c r="AW2">
        <f>[10]CRP_Outcome_CRP!$D2</f>
        <v>0</v>
      </c>
      <c r="AX2">
        <f>[10]CRP_Outcome_CRP!$E2</f>
        <v>0</v>
      </c>
      <c r="BA2">
        <f>AVERAGE(B2,G2,L2,Q2,V2,AA2,AF2,AK2,AP2,AU2)</f>
        <v>0</v>
      </c>
      <c r="BB2">
        <f t="shared" ref="BB2:BD17" si="0">AVERAGE(C2,H2,M2,R2,W2,AB2,AG2,AL2,AQ2,AV2)</f>
        <v>0</v>
      </c>
      <c r="BC2">
        <f t="shared" si="0"/>
        <v>0</v>
      </c>
      <c r="BD2">
        <f t="shared" si="0"/>
        <v>0</v>
      </c>
    </row>
    <row r="3" spans="1:56" x14ac:dyDescent="0.35">
      <c r="A3">
        <v>1</v>
      </c>
      <c r="B3">
        <f>[1]CRP_Outcome_CRP!$B3</f>
        <v>0</v>
      </c>
      <c r="C3">
        <f>[1]CRP_Outcome_CRP!$C3</f>
        <v>0</v>
      </c>
      <c r="D3">
        <f>[1]CRP_Outcome_CRP!$D3</f>
        <v>0</v>
      </c>
      <c r="E3">
        <f>[1]CRP_Outcome_CRP!$E3</f>
        <v>0</v>
      </c>
      <c r="G3">
        <f>[2]CRP_Outcome_CRP!$B3</f>
        <v>0</v>
      </c>
      <c r="H3">
        <f>[2]CRP_Outcome_CRP!$C3</f>
        <v>0</v>
      </c>
      <c r="I3">
        <f>[2]CRP_Outcome_CRP!$D3</f>
        <v>0</v>
      </c>
      <c r="J3">
        <f>[2]CRP_Outcome_CRP!$E3</f>
        <v>0</v>
      </c>
      <c r="L3">
        <f>[3]CRP_Outcome_CRP!$B3</f>
        <v>0</v>
      </c>
      <c r="M3">
        <f>[3]CRP_Outcome_CRP!$C3</f>
        <v>0</v>
      </c>
      <c r="N3">
        <f>[3]CRP_Outcome_CRP!$D3</f>
        <v>0</v>
      </c>
      <c r="O3">
        <f>[3]CRP_Outcome_CRP!$E3</f>
        <v>0</v>
      </c>
      <c r="Q3">
        <f>[4]CRP_Outcome_CRP!$B3</f>
        <v>0</v>
      </c>
      <c r="R3">
        <f>[4]CRP_Outcome_CRP!$C3</f>
        <v>0</v>
      </c>
      <c r="S3">
        <f>[4]CRP_Outcome_CRP!$D3</f>
        <v>0</v>
      </c>
      <c r="T3">
        <f>[4]CRP_Outcome_CRP!$E3</f>
        <v>0</v>
      </c>
      <c r="V3">
        <f>[5]CRP_Outcome_CRP!$B3</f>
        <v>0</v>
      </c>
      <c r="W3">
        <f>[5]CRP_Outcome_CRP!$C3</f>
        <v>0</v>
      </c>
      <c r="X3">
        <f>[5]CRP_Outcome_CRP!$D3</f>
        <v>0</v>
      </c>
      <c r="Y3">
        <f>[5]CRP_Outcome_CRP!$E3</f>
        <v>0</v>
      </c>
      <c r="AA3">
        <f>[6]CRP_Outcome_CRP!$B3</f>
        <v>0</v>
      </c>
      <c r="AB3">
        <f>[6]CRP_Outcome_CRP!$C3</f>
        <v>0</v>
      </c>
      <c r="AC3">
        <f>[6]CRP_Outcome_CRP!$D3</f>
        <v>0</v>
      </c>
      <c r="AD3">
        <f>[6]CRP_Outcome_CRP!$E3</f>
        <v>0</v>
      </c>
      <c r="AF3">
        <f>[7]CRP_Outcome_CRP!$B3</f>
        <v>0</v>
      </c>
      <c r="AG3">
        <f>[7]CRP_Outcome_CRP!$C3</f>
        <v>0</v>
      </c>
      <c r="AH3">
        <f>[7]CRP_Outcome_CRP!$D3</f>
        <v>0</v>
      </c>
      <c r="AI3">
        <f>[7]CRP_Outcome_CRP!$E3</f>
        <v>0</v>
      </c>
      <c r="AK3">
        <f>[8]CRP_Outcome_CRP!$B3</f>
        <v>0</v>
      </c>
      <c r="AL3">
        <f>[8]CRP_Outcome_CRP!$C3</f>
        <v>0</v>
      </c>
      <c r="AM3">
        <f>[8]CRP_Outcome_CRP!$D3</f>
        <v>0</v>
      </c>
      <c r="AN3">
        <f>[8]CRP_Outcome_CRP!$E3</f>
        <v>0</v>
      </c>
      <c r="AP3">
        <f>[9]CRP_Outcome_CRP!$B3</f>
        <v>0</v>
      </c>
      <c r="AQ3">
        <f>[9]CRP_Outcome_CRP!$C3</f>
        <v>0</v>
      </c>
      <c r="AR3">
        <f>[9]CRP_Outcome_CRP!$D3</f>
        <v>0</v>
      </c>
      <c r="AS3">
        <f>[9]CRP_Outcome_CRP!$E3</f>
        <v>0</v>
      </c>
      <c r="AU3">
        <f>[10]CRP_Outcome_CRP!$B3</f>
        <v>0</v>
      </c>
      <c r="AV3">
        <f>[10]CRP_Outcome_CRP!$C3</f>
        <v>0</v>
      </c>
      <c r="AW3">
        <f>[10]CRP_Outcome_CRP!$D3</f>
        <v>0</v>
      </c>
      <c r="AX3">
        <f>[10]CRP_Outcome_CRP!$E3</f>
        <v>0</v>
      </c>
      <c r="BA3">
        <f t="shared" ref="BA3:BD38" si="1">AVERAGE(B3,G3,L3,Q3,V3,AA3,AF3,AK3,AP3,AU3)</f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35">
      <c r="A4">
        <v>2</v>
      </c>
      <c r="B4">
        <f>[1]CRP_Outcome_CRP!$B4</f>
        <v>0</v>
      </c>
      <c r="C4">
        <f>[1]CRP_Outcome_CRP!$C4</f>
        <v>0</v>
      </c>
      <c r="D4">
        <f>[1]CRP_Outcome_CRP!$D4</f>
        <v>0</v>
      </c>
      <c r="E4">
        <f>[1]CRP_Outcome_CRP!$E4</f>
        <v>0</v>
      </c>
      <c r="G4">
        <f>[2]CRP_Outcome_CRP!$B4</f>
        <v>0</v>
      </c>
      <c r="H4">
        <f>[2]CRP_Outcome_CRP!$C4</f>
        <v>0</v>
      </c>
      <c r="I4">
        <f>[2]CRP_Outcome_CRP!$D4</f>
        <v>0</v>
      </c>
      <c r="J4">
        <f>[2]CRP_Outcome_CRP!$E4</f>
        <v>0</v>
      </c>
      <c r="L4">
        <f>[3]CRP_Outcome_CRP!$B4</f>
        <v>0</v>
      </c>
      <c r="M4">
        <f>[3]CRP_Outcome_CRP!$C4</f>
        <v>0</v>
      </c>
      <c r="N4">
        <f>[3]CRP_Outcome_CRP!$D4</f>
        <v>0</v>
      </c>
      <c r="O4">
        <f>[3]CRP_Outcome_CRP!$E4</f>
        <v>0</v>
      </c>
      <c r="Q4">
        <f>[4]CRP_Outcome_CRP!$B4</f>
        <v>0</v>
      </c>
      <c r="R4">
        <f>[4]CRP_Outcome_CRP!$C4</f>
        <v>0</v>
      </c>
      <c r="S4">
        <f>[4]CRP_Outcome_CRP!$D4</f>
        <v>0</v>
      </c>
      <c r="T4">
        <f>[4]CRP_Outcome_CRP!$E4</f>
        <v>0</v>
      </c>
      <c r="V4">
        <f>[5]CRP_Outcome_CRP!$B4</f>
        <v>0</v>
      </c>
      <c r="W4">
        <f>[5]CRP_Outcome_CRP!$C4</f>
        <v>0</v>
      </c>
      <c r="X4">
        <f>[5]CRP_Outcome_CRP!$D4</f>
        <v>0</v>
      </c>
      <c r="Y4">
        <f>[5]CRP_Outcome_CRP!$E4</f>
        <v>0</v>
      </c>
      <c r="AA4">
        <f>[6]CRP_Outcome_CRP!$B4</f>
        <v>0</v>
      </c>
      <c r="AB4">
        <f>[6]CRP_Outcome_CRP!$C4</f>
        <v>0</v>
      </c>
      <c r="AC4">
        <f>[6]CRP_Outcome_CRP!$D4</f>
        <v>0</v>
      </c>
      <c r="AD4">
        <f>[6]CRP_Outcome_CRP!$E4</f>
        <v>0</v>
      </c>
      <c r="AF4">
        <f>[7]CRP_Outcome_CRP!$B4</f>
        <v>0</v>
      </c>
      <c r="AG4">
        <f>[7]CRP_Outcome_CRP!$C4</f>
        <v>0</v>
      </c>
      <c r="AH4">
        <f>[7]CRP_Outcome_CRP!$D4</f>
        <v>0</v>
      </c>
      <c r="AI4">
        <f>[7]CRP_Outcome_CRP!$E4</f>
        <v>0</v>
      </c>
      <c r="AK4">
        <f>[8]CRP_Outcome_CRP!$B4</f>
        <v>0</v>
      </c>
      <c r="AL4">
        <f>[8]CRP_Outcome_CRP!$C4</f>
        <v>0</v>
      </c>
      <c r="AM4">
        <f>[8]CRP_Outcome_CRP!$D4</f>
        <v>0</v>
      </c>
      <c r="AN4">
        <f>[8]CRP_Outcome_CRP!$E4</f>
        <v>0</v>
      </c>
      <c r="AP4">
        <f>[9]CRP_Outcome_CRP!$B4</f>
        <v>0</v>
      </c>
      <c r="AQ4">
        <f>[9]CRP_Outcome_CRP!$C4</f>
        <v>0</v>
      </c>
      <c r="AR4">
        <f>[9]CRP_Outcome_CRP!$D4</f>
        <v>0</v>
      </c>
      <c r="AS4">
        <f>[9]CRP_Outcome_CRP!$E4</f>
        <v>0</v>
      </c>
      <c r="AU4">
        <f>[10]CRP_Outcome_CRP!$B4</f>
        <v>0</v>
      </c>
      <c r="AV4">
        <f>[10]CRP_Outcome_CRP!$C4</f>
        <v>0</v>
      </c>
      <c r="AW4">
        <f>[10]CRP_Outcome_CRP!$D4</f>
        <v>0</v>
      </c>
      <c r="AX4">
        <f>[10]CRP_Outcome_CRP!$E4</f>
        <v>0</v>
      </c>
      <c r="BA4">
        <f t="shared" si="1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35">
      <c r="A5">
        <v>3</v>
      </c>
      <c r="B5">
        <f>[1]CRP_Outcome_CRP!$B5</f>
        <v>0</v>
      </c>
      <c r="C5">
        <f>[1]CRP_Outcome_CRP!$C5</f>
        <v>0</v>
      </c>
      <c r="D5">
        <f>[1]CRP_Outcome_CRP!$D5</f>
        <v>0</v>
      </c>
      <c r="E5">
        <f>[1]CRP_Outcome_CRP!$E5</f>
        <v>0</v>
      </c>
      <c r="G5">
        <f>[2]CRP_Outcome_CRP!$B5</f>
        <v>0</v>
      </c>
      <c r="H5">
        <f>[2]CRP_Outcome_CRP!$C5</f>
        <v>0</v>
      </c>
      <c r="I5">
        <f>[2]CRP_Outcome_CRP!$D5</f>
        <v>0</v>
      </c>
      <c r="J5">
        <f>[2]CRP_Outcome_CRP!$E5</f>
        <v>0</v>
      </c>
      <c r="L5">
        <f>[3]CRP_Outcome_CRP!$B5</f>
        <v>0</v>
      </c>
      <c r="M5">
        <f>[3]CRP_Outcome_CRP!$C5</f>
        <v>0</v>
      </c>
      <c r="N5">
        <f>[3]CRP_Outcome_CRP!$D5</f>
        <v>0</v>
      </c>
      <c r="O5">
        <f>[3]CRP_Outcome_CRP!$E5</f>
        <v>0</v>
      </c>
      <c r="Q5">
        <f>[4]CRP_Outcome_CRP!$B5</f>
        <v>0</v>
      </c>
      <c r="R5">
        <f>[4]CRP_Outcome_CRP!$C5</f>
        <v>0</v>
      </c>
      <c r="S5">
        <f>[4]CRP_Outcome_CRP!$D5</f>
        <v>0</v>
      </c>
      <c r="T5">
        <f>[4]CRP_Outcome_CRP!$E5</f>
        <v>0</v>
      </c>
      <c r="V5">
        <f>[5]CRP_Outcome_CRP!$B5</f>
        <v>0</v>
      </c>
      <c r="W5">
        <f>[5]CRP_Outcome_CRP!$C5</f>
        <v>0</v>
      </c>
      <c r="X5">
        <f>[5]CRP_Outcome_CRP!$D5</f>
        <v>0</v>
      </c>
      <c r="Y5">
        <f>[5]CRP_Outcome_CRP!$E5</f>
        <v>0</v>
      </c>
      <c r="AA5">
        <f>[6]CRP_Outcome_CRP!$B5</f>
        <v>0</v>
      </c>
      <c r="AB5">
        <f>[6]CRP_Outcome_CRP!$C5</f>
        <v>0</v>
      </c>
      <c r="AC5">
        <f>[6]CRP_Outcome_CRP!$D5</f>
        <v>0</v>
      </c>
      <c r="AD5">
        <f>[6]CRP_Outcome_CRP!$E5</f>
        <v>0</v>
      </c>
      <c r="AF5">
        <f>[7]CRP_Outcome_CRP!$B5</f>
        <v>0</v>
      </c>
      <c r="AG5">
        <f>[7]CRP_Outcome_CRP!$C5</f>
        <v>0</v>
      </c>
      <c r="AH5">
        <f>[7]CRP_Outcome_CRP!$D5</f>
        <v>0</v>
      </c>
      <c r="AI5">
        <f>[7]CRP_Outcome_CRP!$E5</f>
        <v>0</v>
      </c>
      <c r="AK5">
        <f>[8]CRP_Outcome_CRP!$B5</f>
        <v>0</v>
      </c>
      <c r="AL5">
        <f>[8]CRP_Outcome_CRP!$C5</f>
        <v>0</v>
      </c>
      <c r="AM5">
        <f>[8]CRP_Outcome_CRP!$D5</f>
        <v>0</v>
      </c>
      <c r="AN5">
        <f>[8]CRP_Outcome_CRP!$E5</f>
        <v>0</v>
      </c>
      <c r="AP5">
        <f>[9]CRP_Outcome_CRP!$B5</f>
        <v>0</v>
      </c>
      <c r="AQ5">
        <f>[9]CRP_Outcome_CRP!$C5</f>
        <v>0</v>
      </c>
      <c r="AR5">
        <f>[9]CRP_Outcome_CRP!$D5</f>
        <v>0</v>
      </c>
      <c r="AS5">
        <f>[9]CRP_Outcome_CRP!$E5</f>
        <v>0</v>
      </c>
      <c r="AU5">
        <f>[10]CRP_Outcome_CRP!$B5</f>
        <v>0</v>
      </c>
      <c r="AV5">
        <f>[10]CRP_Outcome_CRP!$C5</f>
        <v>0</v>
      </c>
      <c r="AW5">
        <f>[10]CRP_Outcome_CRP!$D5</f>
        <v>0</v>
      </c>
      <c r="AX5">
        <f>[10]CRP_Outcome_CRP!$E5</f>
        <v>0</v>
      </c>
      <c r="BA5">
        <f t="shared" si="1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35">
      <c r="A6">
        <v>4</v>
      </c>
      <c r="B6">
        <f>[1]CRP_Outcome_CRP!$B6</f>
        <v>0</v>
      </c>
      <c r="C6">
        <f>[1]CRP_Outcome_CRP!$C6</f>
        <v>0</v>
      </c>
      <c r="D6">
        <f>[1]CRP_Outcome_CRP!$D6</f>
        <v>0</v>
      </c>
      <c r="E6">
        <f>[1]CRP_Outcome_CRP!$E6</f>
        <v>0</v>
      </c>
      <c r="G6">
        <f>[2]CRP_Outcome_CRP!$B6</f>
        <v>0</v>
      </c>
      <c r="H6">
        <f>[2]CRP_Outcome_CRP!$C6</f>
        <v>0</v>
      </c>
      <c r="I6">
        <f>[2]CRP_Outcome_CRP!$D6</f>
        <v>0</v>
      </c>
      <c r="J6">
        <f>[2]CRP_Outcome_CRP!$E6</f>
        <v>0</v>
      </c>
      <c r="L6">
        <f>[3]CRP_Outcome_CRP!$B6</f>
        <v>0</v>
      </c>
      <c r="M6">
        <f>[3]CRP_Outcome_CRP!$C6</f>
        <v>0</v>
      </c>
      <c r="N6">
        <f>[3]CRP_Outcome_CRP!$D6</f>
        <v>0</v>
      </c>
      <c r="O6">
        <f>[3]CRP_Outcome_CRP!$E6</f>
        <v>0</v>
      </c>
      <c r="Q6">
        <f>[4]CRP_Outcome_CRP!$B6</f>
        <v>0</v>
      </c>
      <c r="R6">
        <f>[4]CRP_Outcome_CRP!$C6</f>
        <v>0</v>
      </c>
      <c r="S6">
        <f>[4]CRP_Outcome_CRP!$D6</f>
        <v>0</v>
      </c>
      <c r="T6">
        <f>[4]CRP_Outcome_CRP!$E6</f>
        <v>0</v>
      </c>
      <c r="V6">
        <f>[5]CRP_Outcome_CRP!$B6</f>
        <v>0</v>
      </c>
      <c r="W6">
        <f>[5]CRP_Outcome_CRP!$C6</f>
        <v>0</v>
      </c>
      <c r="X6">
        <f>[5]CRP_Outcome_CRP!$D6</f>
        <v>0</v>
      </c>
      <c r="Y6">
        <f>[5]CRP_Outcome_CRP!$E6</f>
        <v>0</v>
      </c>
      <c r="AA6">
        <f>[6]CRP_Outcome_CRP!$B6</f>
        <v>0</v>
      </c>
      <c r="AB6">
        <f>[6]CRP_Outcome_CRP!$C6</f>
        <v>0</v>
      </c>
      <c r="AC6">
        <f>[6]CRP_Outcome_CRP!$D6</f>
        <v>0</v>
      </c>
      <c r="AD6">
        <f>[6]CRP_Outcome_CRP!$E6</f>
        <v>0</v>
      </c>
      <c r="AF6">
        <f>[7]CRP_Outcome_CRP!$B6</f>
        <v>0</v>
      </c>
      <c r="AG6">
        <f>[7]CRP_Outcome_CRP!$C6</f>
        <v>0</v>
      </c>
      <c r="AH6">
        <f>[7]CRP_Outcome_CRP!$D6</f>
        <v>0</v>
      </c>
      <c r="AI6">
        <f>[7]CRP_Outcome_CRP!$E6</f>
        <v>0</v>
      </c>
      <c r="AK6">
        <f>[8]CRP_Outcome_CRP!$B6</f>
        <v>0</v>
      </c>
      <c r="AL6">
        <f>[8]CRP_Outcome_CRP!$C6</f>
        <v>0</v>
      </c>
      <c r="AM6">
        <f>[8]CRP_Outcome_CRP!$D6</f>
        <v>0</v>
      </c>
      <c r="AN6">
        <f>[8]CRP_Outcome_CRP!$E6</f>
        <v>0</v>
      </c>
      <c r="AP6">
        <f>[9]CRP_Outcome_CRP!$B6</f>
        <v>0</v>
      </c>
      <c r="AQ6">
        <f>[9]CRP_Outcome_CRP!$C6</f>
        <v>0</v>
      </c>
      <c r="AR6">
        <f>[9]CRP_Outcome_CRP!$D6</f>
        <v>0</v>
      </c>
      <c r="AS6">
        <f>[9]CRP_Outcome_CRP!$E6</f>
        <v>0</v>
      </c>
      <c r="AU6">
        <f>[10]CRP_Outcome_CRP!$B6</f>
        <v>0</v>
      </c>
      <c r="AV6">
        <f>[10]CRP_Outcome_CRP!$C6</f>
        <v>0</v>
      </c>
      <c r="AW6">
        <f>[10]CRP_Outcome_CRP!$D6</f>
        <v>0</v>
      </c>
      <c r="AX6">
        <f>[10]CRP_Outcome_CRP!$E6</f>
        <v>0</v>
      </c>
      <c r="BA6">
        <f t="shared" si="1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35">
      <c r="A7">
        <v>5</v>
      </c>
      <c r="B7">
        <f>[1]CRP_Outcome_CRP!$B7</f>
        <v>0</v>
      </c>
      <c r="C7">
        <f>[1]CRP_Outcome_CRP!$C7</f>
        <v>0</v>
      </c>
      <c r="D7">
        <f>[1]CRP_Outcome_CRP!$D7</f>
        <v>0</v>
      </c>
      <c r="E7">
        <f>[1]CRP_Outcome_CRP!$E7</f>
        <v>0</v>
      </c>
      <c r="G7">
        <f>[2]CRP_Outcome_CRP!$B7</f>
        <v>0</v>
      </c>
      <c r="H7">
        <f>[2]CRP_Outcome_CRP!$C7</f>
        <v>0</v>
      </c>
      <c r="I7">
        <f>[2]CRP_Outcome_CRP!$D7</f>
        <v>0</v>
      </c>
      <c r="J7">
        <f>[2]CRP_Outcome_CRP!$E7</f>
        <v>0</v>
      </c>
      <c r="L7">
        <f>[3]CRP_Outcome_CRP!$B7</f>
        <v>0</v>
      </c>
      <c r="M7">
        <f>[3]CRP_Outcome_CRP!$C7</f>
        <v>0</v>
      </c>
      <c r="N7">
        <f>[3]CRP_Outcome_CRP!$D7</f>
        <v>0</v>
      </c>
      <c r="O7">
        <f>[3]CRP_Outcome_CRP!$E7</f>
        <v>0</v>
      </c>
      <c r="Q7">
        <f>[4]CRP_Outcome_CRP!$B7</f>
        <v>0</v>
      </c>
      <c r="R7">
        <f>[4]CRP_Outcome_CRP!$C7</f>
        <v>0</v>
      </c>
      <c r="S7">
        <f>[4]CRP_Outcome_CRP!$D7</f>
        <v>0</v>
      </c>
      <c r="T7">
        <f>[4]CRP_Outcome_CRP!$E7</f>
        <v>0</v>
      </c>
      <c r="V7">
        <f>[5]CRP_Outcome_CRP!$B7</f>
        <v>0</v>
      </c>
      <c r="W7">
        <f>[5]CRP_Outcome_CRP!$C7</f>
        <v>0</v>
      </c>
      <c r="X7">
        <f>[5]CRP_Outcome_CRP!$D7</f>
        <v>0</v>
      </c>
      <c r="Y7">
        <f>[5]CRP_Outcome_CRP!$E7</f>
        <v>0</v>
      </c>
      <c r="AA7">
        <f>[6]CRP_Outcome_CRP!$B7</f>
        <v>0</v>
      </c>
      <c r="AB7">
        <f>[6]CRP_Outcome_CRP!$C7</f>
        <v>0</v>
      </c>
      <c r="AC7">
        <f>[6]CRP_Outcome_CRP!$D7</f>
        <v>0</v>
      </c>
      <c r="AD7">
        <f>[6]CRP_Outcome_CRP!$E7</f>
        <v>0</v>
      </c>
      <c r="AF7">
        <f>[7]CRP_Outcome_CRP!$B7</f>
        <v>0</v>
      </c>
      <c r="AG7">
        <f>[7]CRP_Outcome_CRP!$C7</f>
        <v>0</v>
      </c>
      <c r="AH7">
        <f>[7]CRP_Outcome_CRP!$D7</f>
        <v>0</v>
      </c>
      <c r="AI7">
        <f>[7]CRP_Outcome_CRP!$E7</f>
        <v>0</v>
      </c>
      <c r="AK7">
        <f>[8]CRP_Outcome_CRP!$B7</f>
        <v>0</v>
      </c>
      <c r="AL7">
        <f>[8]CRP_Outcome_CRP!$C7</f>
        <v>0</v>
      </c>
      <c r="AM7">
        <f>[8]CRP_Outcome_CRP!$D7</f>
        <v>0</v>
      </c>
      <c r="AN7">
        <f>[8]CRP_Outcome_CRP!$E7</f>
        <v>0</v>
      </c>
      <c r="AP7">
        <f>[9]CRP_Outcome_CRP!$B7</f>
        <v>0</v>
      </c>
      <c r="AQ7">
        <f>[9]CRP_Outcome_CRP!$C7</f>
        <v>0</v>
      </c>
      <c r="AR7">
        <f>[9]CRP_Outcome_CRP!$D7</f>
        <v>0</v>
      </c>
      <c r="AS7">
        <f>[9]CRP_Outcome_CRP!$E7</f>
        <v>0</v>
      </c>
      <c r="AU7">
        <f>[10]CRP_Outcome_CRP!$B7</f>
        <v>0</v>
      </c>
      <c r="AV7">
        <f>[10]CRP_Outcome_CRP!$C7</f>
        <v>0</v>
      </c>
      <c r="AW7">
        <f>[10]CRP_Outcome_CRP!$D7</f>
        <v>0</v>
      </c>
      <c r="AX7">
        <f>[10]CRP_Outcome_CRP!$E7</f>
        <v>0</v>
      </c>
      <c r="BA7">
        <f t="shared" si="1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35">
      <c r="A8">
        <v>6</v>
      </c>
      <c r="B8">
        <f>[1]CRP_Outcome_CRP!$B8</f>
        <v>0</v>
      </c>
      <c r="C8">
        <f>[1]CRP_Outcome_CRP!$C8</f>
        <v>0</v>
      </c>
      <c r="D8">
        <f>[1]CRP_Outcome_CRP!$D8</f>
        <v>0</v>
      </c>
      <c r="E8">
        <f>[1]CRP_Outcome_CRP!$E8</f>
        <v>0</v>
      </c>
      <c r="G8">
        <f>[2]CRP_Outcome_CRP!$B8</f>
        <v>0</v>
      </c>
      <c r="H8">
        <f>[2]CRP_Outcome_CRP!$C8</f>
        <v>0</v>
      </c>
      <c r="I8">
        <f>[2]CRP_Outcome_CRP!$D8</f>
        <v>0</v>
      </c>
      <c r="J8">
        <f>[2]CRP_Outcome_CRP!$E8</f>
        <v>0</v>
      </c>
      <c r="L8">
        <f>[3]CRP_Outcome_CRP!$B8</f>
        <v>0</v>
      </c>
      <c r="M8">
        <f>[3]CRP_Outcome_CRP!$C8</f>
        <v>0</v>
      </c>
      <c r="N8">
        <f>[3]CRP_Outcome_CRP!$D8</f>
        <v>0</v>
      </c>
      <c r="O8">
        <f>[3]CRP_Outcome_CRP!$E8</f>
        <v>0</v>
      </c>
      <c r="Q8">
        <f>[4]CRP_Outcome_CRP!$B8</f>
        <v>0</v>
      </c>
      <c r="R8">
        <f>[4]CRP_Outcome_CRP!$C8</f>
        <v>0</v>
      </c>
      <c r="S8">
        <f>[4]CRP_Outcome_CRP!$D8</f>
        <v>0</v>
      </c>
      <c r="T8">
        <f>[4]CRP_Outcome_CRP!$E8</f>
        <v>0</v>
      </c>
      <c r="V8">
        <f>[5]CRP_Outcome_CRP!$B8</f>
        <v>0</v>
      </c>
      <c r="W8">
        <f>[5]CRP_Outcome_CRP!$C8</f>
        <v>0</v>
      </c>
      <c r="X8">
        <f>[5]CRP_Outcome_CRP!$D8</f>
        <v>0</v>
      </c>
      <c r="Y8">
        <f>[5]CRP_Outcome_CRP!$E8</f>
        <v>0</v>
      </c>
      <c r="AA8">
        <f>[6]CRP_Outcome_CRP!$B8</f>
        <v>0</v>
      </c>
      <c r="AB8">
        <f>[6]CRP_Outcome_CRP!$C8</f>
        <v>0</v>
      </c>
      <c r="AC8">
        <f>[6]CRP_Outcome_CRP!$D8</f>
        <v>0</v>
      </c>
      <c r="AD8">
        <f>[6]CRP_Outcome_CRP!$E8</f>
        <v>0</v>
      </c>
      <c r="AF8">
        <f>[7]CRP_Outcome_CRP!$B8</f>
        <v>0</v>
      </c>
      <c r="AG8">
        <f>[7]CRP_Outcome_CRP!$C8</f>
        <v>0</v>
      </c>
      <c r="AH8">
        <f>[7]CRP_Outcome_CRP!$D8</f>
        <v>0</v>
      </c>
      <c r="AI8">
        <f>[7]CRP_Outcome_CRP!$E8</f>
        <v>0</v>
      </c>
      <c r="AK8">
        <f>[8]CRP_Outcome_CRP!$B8</f>
        <v>0</v>
      </c>
      <c r="AL8">
        <f>[8]CRP_Outcome_CRP!$C8</f>
        <v>0</v>
      </c>
      <c r="AM8">
        <f>[8]CRP_Outcome_CRP!$D8</f>
        <v>0</v>
      </c>
      <c r="AN8">
        <f>[8]CRP_Outcome_CRP!$E8</f>
        <v>0</v>
      </c>
      <c r="AP8">
        <f>[9]CRP_Outcome_CRP!$B8</f>
        <v>0</v>
      </c>
      <c r="AQ8">
        <f>[9]CRP_Outcome_CRP!$C8</f>
        <v>0</v>
      </c>
      <c r="AR8">
        <f>[9]CRP_Outcome_CRP!$D8</f>
        <v>0</v>
      </c>
      <c r="AS8">
        <f>[9]CRP_Outcome_CRP!$E8</f>
        <v>0</v>
      </c>
      <c r="AU8">
        <f>[10]CRP_Outcome_CRP!$B8</f>
        <v>0</v>
      </c>
      <c r="AV8">
        <f>[10]CRP_Outcome_CRP!$C8</f>
        <v>0</v>
      </c>
      <c r="AW8">
        <f>[10]CRP_Outcome_CRP!$D8</f>
        <v>0</v>
      </c>
      <c r="AX8">
        <f>[10]CRP_Outcome_CRP!$E8</f>
        <v>0</v>
      </c>
      <c r="BA8">
        <f t="shared" si="1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35">
      <c r="A9">
        <v>7</v>
      </c>
      <c r="B9">
        <f>[1]CRP_Outcome_CRP!$B9</f>
        <v>0</v>
      </c>
      <c r="C9">
        <f>[1]CRP_Outcome_CRP!$C9</f>
        <v>0</v>
      </c>
      <c r="D9">
        <f>[1]CRP_Outcome_CRP!$D9</f>
        <v>0</v>
      </c>
      <c r="E9">
        <f>[1]CRP_Outcome_CRP!$E9</f>
        <v>0</v>
      </c>
      <c r="G9">
        <f>[2]CRP_Outcome_CRP!$B9</f>
        <v>0</v>
      </c>
      <c r="H9">
        <f>[2]CRP_Outcome_CRP!$C9</f>
        <v>0</v>
      </c>
      <c r="I9">
        <f>[2]CRP_Outcome_CRP!$D9</f>
        <v>0</v>
      </c>
      <c r="J9">
        <f>[2]CRP_Outcome_CRP!$E9</f>
        <v>0</v>
      </c>
      <c r="L9">
        <f>[3]CRP_Outcome_CRP!$B9</f>
        <v>0</v>
      </c>
      <c r="M9">
        <f>[3]CRP_Outcome_CRP!$C9</f>
        <v>0</v>
      </c>
      <c r="N9">
        <f>[3]CRP_Outcome_CRP!$D9</f>
        <v>0</v>
      </c>
      <c r="O9">
        <f>[3]CRP_Outcome_CRP!$E9</f>
        <v>0</v>
      </c>
      <c r="Q9">
        <f>[4]CRP_Outcome_CRP!$B9</f>
        <v>0</v>
      </c>
      <c r="R9">
        <f>[4]CRP_Outcome_CRP!$C9</f>
        <v>0</v>
      </c>
      <c r="S9">
        <f>[4]CRP_Outcome_CRP!$D9</f>
        <v>0</v>
      </c>
      <c r="T9">
        <f>[4]CRP_Outcome_CRP!$E9</f>
        <v>0</v>
      </c>
      <c r="V9">
        <f>[5]CRP_Outcome_CRP!$B9</f>
        <v>0</v>
      </c>
      <c r="W9">
        <f>[5]CRP_Outcome_CRP!$C9</f>
        <v>0</v>
      </c>
      <c r="X9">
        <f>[5]CRP_Outcome_CRP!$D9</f>
        <v>0</v>
      </c>
      <c r="Y9">
        <f>[5]CRP_Outcome_CRP!$E9</f>
        <v>0</v>
      </c>
      <c r="AA9">
        <f>[6]CRP_Outcome_CRP!$B9</f>
        <v>0</v>
      </c>
      <c r="AB9">
        <f>[6]CRP_Outcome_CRP!$C9</f>
        <v>0</v>
      </c>
      <c r="AC9">
        <f>[6]CRP_Outcome_CRP!$D9</f>
        <v>0</v>
      </c>
      <c r="AD9">
        <f>[6]CRP_Outcome_CRP!$E9</f>
        <v>0</v>
      </c>
      <c r="AF9">
        <f>[7]CRP_Outcome_CRP!$B9</f>
        <v>0</v>
      </c>
      <c r="AG9">
        <f>[7]CRP_Outcome_CRP!$C9</f>
        <v>0</v>
      </c>
      <c r="AH9">
        <f>[7]CRP_Outcome_CRP!$D9</f>
        <v>0</v>
      </c>
      <c r="AI9">
        <f>[7]CRP_Outcome_CRP!$E9</f>
        <v>0</v>
      </c>
      <c r="AK9">
        <f>[8]CRP_Outcome_CRP!$B9</f>
        <v>0</v>
      </c>
      <c r="AL9">
        <f>[8]CRP_Outcome_CRP!$C9</f>
        <v>0</v>
      </c>
      <c r="AM9">
        <f>[8]CRP_Outcome_CRP!$D9</f>
        <v>0</v>
      </c>
      <c r="AN9">
        <f>[8]CRP_Outcome_CRP!$E9</f>
        <v>0</v>
      </c>
      <c r="AP9">
        <f>[9]CRP_Outcome_CRP!$B9</f>
        <v>0</v>
      </c>
      <c r="AQ9">
        <f>[9]CRP_Outcome_CRP!$C9</f>
        <v>0</v>
      </c>
      <c r="AR9">
        <f>[9]CRP_Outcome_CRP!$D9</f>
        <v>0</v>
      </c>
      <c r="AS9">
        <f>[9]CRP_Outcome_CRP!$E9</f>
        <v>0</v>
      </c>
      <c r="AU9">
        <f>[10]CRP_Outcome_CRP!$B9</f>
        <v>0</v>
      </c>
      <c r="AV9">
        <f>[10]CRP_Outcome_CRP!$C9</f>
        <v>0</v>
      </c>
      <c r="AW9">
        <f>[10]CRP_Outcome_CRP!$D9</f>
        <v>0</v>
      </c>
      <c r="AX9">
        <f>[10]CRP_Outcome_CRP!$E9</f>
        <v>0</v>
      </c>
      <c r="BA9">
        <f t="shared" si="1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35">
      <c r="A10">
        <v>8</v>
      </c>
      <c r="B10">
        <f>[1]CRP_Outcome_CRP!$B10</f>
        <v>0</v>
      </c>
      <c r="C10">
        <f>[1]CRP_Outcome_CRP!$C10</f>
        <v>0</v>
      </c>
      <c r="D10">
        <f>[1]CRP_Outcome_CRP!$D10</f>
        <v>0</v>
      </c>
      <c r="E10">
        <f>[1]CRP_Outcome_CRP!$E10</f>
        <v>0</v>
      </c>
      <c r="G10">
        <f>[2]CRP_Outcome_CRP!$B10</f>
        <v>0</v>
      </c>
      <c r="H10">
        <f>[2]CRP_Outcome_CRP!$C10</f>
        <v>0</v>
      </c>
      <c r="I10">
        <f>[2]CRP_Outcome_CRP!$D10</f>
        <v>0</v>
      </c>
      <c r="J10">
        <f>[2]CRP_Outcome_CRP!$E10</f>
        <v>0</v>
      </c>
      <c r="L10">
        <f>[3]CRP_Outcome_CRP!$B10</f>
        <v>0</v>
      </c>
      <c r="M10">
        <f>[3]CRP_Outcome_CRP!$C10</f>
        <v>0</v>
      </c>
      <c r="N10">
        <f>[3]CRP_Outcome_CRP!$D10</f>
        <v>0</v>
      </c>
      <c r="O10">
        <f>[3]CRP_Outcome_CRP!$E10</f>
        <v>0</v>
      </c>
      <c r="Q10">
        <f>[4]CRP_Outcome_CRP!$B10</f>
        <v>0</v>
      </c>
      <c r="R10">
        <f>[4]CRP_Outcome_CRP!$C10</f>
        <v>0</v>
      </c>
      <c r="S10">
        <f>[4]CRP_Outcome_CRP!$D10</f>
        <v>0</v>
      </c>
      <c r="T10">
        <f>[4]CRP_Outcome_CRP!$E10</f>
        <v>0</v>
      </c>
      <c r="V10">
        <f>[5]CRP_Outcome_CRP!$B10</f>
        <v>0</v>
      </c>
      <c r="W10">
        <f>[5]CRP_Outcome_CRP!$C10</f>
        <v>0</v>
      </c>
      <c r="X10">
        <f>[5]CRP_Outcome_CRP!$D10</f>
        <v>0</v>
      </c>
      <c r="Y10">
        <f>[5]CRP_Outcome_CRP!$E10</f>
        <v>0</v>
      </c>
      <c r="AA10">
        <f>[6]CRP_Outcome_CRP!$B10</f>
        <v>0</v>
      </c>
      <c r="AB10">
        <f>[6]CRP_Outcome_CRP!$C10</f>
        <v>0</v>
      </c>
      <c r="AC10">
        <f>[6]CRP_Outcome_CRP!$D10</f>
        <v>0</v>
      </c>
      <c r="AD10">
        <f>[6]CRP_Outcome_CRP!$E10</f>
        <v>0</v>
      </c>
      <c r="AF10">
        <f>[7]CRP_Outcome_CRP!$B10</f>
        <v>0</v>
      </c>
      <c r="AG10">
        <f>[7]CRP_Outcome_CRP!$C10</f>
        <v>0</v>
      </c>
      <c r="AH10">
        <f>[7]CRP_Outcome_CRP!$D10</f>
        <v>0</v>
      </c>
      <c r="AI10">
        <f>[7]CRP_Outcome_CRP!$E10</f>
        <v>0</v>
      </c>
      <c r="AK10">
        <f>[8]CRP_Outcome_CRP!$B10</f>
        <v>0</v>
      </c>
      <c r="AL10">
        <f>[8]CRP_Outcome_CRP!$C10</f>
        <v>0</v>
      </c>
      <c r="AM10">
        <f>[8]CRP_Outcome_CRP!$D10</f>
        <v>0</v>
      </c>
      <c r="AN10">
        <f>[8]CRP_Outcome_CRP!$E10</f>
        <v>0</v>
      </c>
      <c r="AP10">
        <f>[9]CRP_Outcome_CRP!$B10</f>
        <v>0</v>
      </c>
      <c r="AQ10">
        <f>[9]CRP_Outcome_CRP!$C10</f>
        <v>0</v>
      </c>
      <c r="AR10">
        <f>[9]CRP_Outcome_CRP!$D10</f>
        <v>0</v>
      </c>
      <c r="AS10">
        <f>[9]CRP_Outcome_CRP!$E10</f>
        <v>0</v>
      </c>
      <c r="AU10">
        <f>[10]CRP_Outcome_CRP!$B10</f>
        <v>0</v>
      </c>
      <c r="AV10">
        <f>[10]CRP_Outcome_CRP!$C10</f>
        <v>0</v>
      </c>
      <c r="AW10">
        <f>[10]CRP_Outcome_CRP!$D10</f>
        <v>0</v>
      </c>
      <c r="AX10">
        <f>[10]CRP_Outcome_CRP!$E10</f>
        <v>0</v>
      </c>
      <c r="BA10">
        <f t="shared" si="1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35">
      <c r="A11">
        <v>9</v>
      </c>
      <c r="B11">
        <f>[1]CRP_Outcome_CRP!$B11</f>
        <v>0</v>
      </c>
      <c r="C11">
        <f>[1]CRP_Outcome_CRP!$C11</f>
        <v>0</v>
      </c>
      <c r="D11">
        <f>[1]CRP_Outcome_CRP!$D11</f>
        <v>0</v>
      </c>
      <c r="E11">
        <f>[1]CRP_Outcome_CRP!$E11</f>
        <v>0</v>
      </c>
      <c r="G11">
        <f>[2]CRP_Outcome_CRP!$B11</f>
        <v>0</v>
      </c>
      <c r="H11">
        <f>[2]CRP_Outcome_CRP!$C11</f>
        <v>0</v>
      </c>
      <c r="I11">
        <f>[2]CRP_Outcome_CRP!$D11</f>
        <v>0</v>
      </c>
      <c r="J11">
        <f>[2]CRP_Outcome_CRP!$E11</f>
        <v>0</v>
      </c>
      <c r="L11">
        <f>[3]CRP_Outcome_CRP!$B11</f>
        <v>0</v>
      </c>
      <c r="M11">
        <f>[3]CRP_Outcome_CRP!$C11</f>
        <v>0</v>
      </c>
      <c r="N11">
        <f>[3]CRP_Outcome_CRP!$D11</f>
        <v>0</v>
      </c>
      <c r="O11">
        <f>[3]CRP_Outcome_CRP!$E11</f>
        <v>0</v>
      </c>
      <c r="Q11">
        <f>[4]CRP_Outcome_CRP!$B11</f>
        <v>0</v>
      </c>
      <c r="R11">
        <f>[4]CRP_Outcome_CRP!$C11</f>
        <v>0</v>
      </c>
      <c r="S11">
        <f>[4]CRP_Outcome_CRP!$D11</f>
        <v>0</v>
      </c>
      <c r="T11">
        <f>[4]CRP_Outcome_CRP!$E11</f>
        <v>0</v>
      </c>
      <c r="V11">
        <f>[5]CRP_Outcome_CRP!$B11</f>
        <v>0</v>
      </c>
      <c r="W11">
        <f>[5]CRP_Outcome_CRP!$C11</f>
        <v>0</v>
      </c>
      <c r="X11">
        <f>[5]CRP_Outcome_CRP!$D11</f>
        <v>0</v>
      </c>
      <c r="Y11">
        <f>[5]CRP_Outcome_CRP!$E11</f>
        <v>0</v>
      </c>
      <c r="AA11">
        <f>[6]CRP_Outcome_CRP!$B11</f>
        <v>0</v>
      </c>
      <c r="AB11">
        <f>[6]CRP_Outcome_CRP!$C11</f>
        <v>0</v>
      </c>
      <c r="AC11">
        <f>[6]CRP_Outcome_CRP!$D11</f>
        <v>0</v>
      </c>
      <c r="AD11">
        <f>[6]CRP_Outcome_CRP!$E11</f>
        <v>0</v>
      </c>
      <c r="AF11">
        <f>[7]CRP_Outcome_CRP!$B11</f>
        <v>0</v>
      </c>
      <c r="AG11">
        <f>[7]CRP_Outcome_CRP!$C11</f>
        <v>0</v>
      </c>
      <c r="AH11">
        <f>[7]CRP_Outcome_CRP!$D11</f>
        <v>0</v>
      </c>
      <c r="AI11">
        <f>[7]CRP_Outcome_CRP!$E11</f>
        <v>0</v>
      </c>
      <c r="AK11">
        <f>[8]CRP_Outcome_CRP!$B11</f>
        <v>0</v>
      </c>
      <c r="AL11">
        <f>[8]CRP_Outcome_CRP!$C11</f>
        <v>0</v>
      </c>
      <c r="AM11">
        <f>[8]CRP_Outcome_CRP!$D11</f>
        <v>0</v>
      </c>
      <c r="AN11">
        <f>[8]CRP_Outcome_CRP!$E11</f>
        <v>0</v>
      </c>
      <c r="AP11">
        <f>[9]CRP_Outcome_CRP!$B11</f>
        <v>0</v>
      </c>
      <c r="AQ11">
        <f>[9]CRP_Outcome_CRP!$C11</f>
        <v>0</v>
      </c>
      <c r="AR11">
        <f>[9]CRP_Outcome_CRP!$D11</f>
        <v>0</v>
      </c>
      <c r="AS11">
        <f>[9]CRP_Outcome_CRP!$E11</f>
        <v>0</v>
      </c>
      <c r="AU11">
        <f>[10]CRP_Outcome_CRP!$B11</f>
        <v>3</v>
      </c>
      <c r="AV11">
        <f>[10]CRP_Outcome_CRP!$C11</f>
        <v>0</v>
      </c>
      <c r="AW11">
        <f>[10]CRP_Outcome_CRP!$D11</f>
        <v>0</v>
      </c>
      <c r="AX11">
        <f>[10]CRP_Outcome_CRP!$E11</f>
        <v>0</v>
      </c>
      <c r="BA11">
        <f t="shared" si="1"/>
        <v>0.3</v>
      </c>
      <c r="BB11">
        <f t="shared" si="0"/>
        <v>0</v>
      </c>
      <c r="BC11">
        <f t="shared" si="0"/>
        <v>0</v>
      </c>
      <c r="BD11">
        <f t="shared" si="0"/>
        <v>0</v>
      </c>
    </row>
    <row r="12" spans="1:56" x14ac:dyDescent="0.35">
      <c r="A12">
        <v>10</v>
      </c>
      <c r="B12">
        <f>[1]CRP_Outcome_CRP!$B12</f>
        <v>2</v>
      </c>
      <c r="C12">
        <f>[1]CRP_Outcome_CRP!$C12</f>
        <v>0</v>
      </c>
      <c r="D12">
        <f>[1]CRP_Outcome_CRP!$D12</f>
        <v>0</v>
      </c>
      <c r="E12">
        <f>[1]CRP_Outcome_CRP!$E12</f>
        <v>0</v>
      </c>
      <c r="G12">
        <f>[2]CRP_Outcome_CRP!$B12</f>
        <v>0</v>
      </c>
      <c r="H12">
        <f>[2]CRP_Outcome_CRP!$C12</f>
        <v>0</v>
      </c>
      <c r="I12">
        <f>[2]CRP_Outcome_CRP!$D12</f>
        <v>0</v>
      </c>
      <c r="J12">
        <f>[2]CRP_Outcome_CRP!$E12</f>
        <v>0</v>
      </c>
      <c r="L12">
        <f>[3]CRP_Outcome_CRP!$B12</f>
        <v>1</v>
      </c>
      <c r="M12">
        <f>[3]CRP_Outcome_CRP!$C12</f>
        <v>0</v>
      </c>
      <c r="N12">
        <f>[3]CRP_Outcome_CRP!$D12</f>
        <v>0</v>
      </c>
      <c r="O12">
        <f>[3]CRP_Outcome_CRP!$E12</f>
        <v>0</v>
      </c>
      <c r="Q12">
        <f>[4]CRP_Outcome_CRP!$B12</f>
        <v>1</v>
      </c>
      <c r="R12">
        <f>[4]CRP_Outcome_CRP!$C12</f>
        <v>0</v>
      </c>
      <c r="S12">
        <f>[4]CRP_Outcome_CRP!$D12</f>
        <v>0</v>
      </c>
      <c r="T12">
        <f>[4]CRP_Outcome_CRP!$E12</f>
        <v>0</v>
      </c>
      <c r="V12">
        <f>[5]CRP_Outcome_CRP!$B12</f>
        <v>0</v>
      </c>
      <c r="W12">
        <f>[5]CRP_Outcome_CRP!$C12</f>
        <v>0</v>
      </c>
      <c r="X12">
        <f>[5]CRP_Outcome_CRP!$D12</f>
        <v>0</v>
      </c>
      <c r="Y12">
        <f>[5]CRP_Outcome_CRP!$E12</f>
        <v>0</v>
      </c>
      <c r="AA12">
        <f>[6]CRP_Outcome_CRP!$B12</f>
        <v>0</v>
      </c>
      <c r="AB12">
        <f>[6]CRP_Outcome_CRP!$C12</f>
        <v>0</v>
      </c>
      <c r="AC12">
        <f>[6]CRP_Outcome_CRP!$D12</f>
        <v>0</v>
      </c>
      <c r="AD12">
        <f>[6]CRP_Outcome_CRP!$E12</f>
        <v>0</v>
      </c>
      <c r="AF12">
        <f>[7]CRP_Outcome_CRP!$B12</f>
        <v>1</v>
      </c>
      <c r="AG12">
        <f>[7]CRP_Outcome_CRP!$C12</f>
        <v>0</v>
      </c>
      <c r="AH12">
        <f>[7]CRP_Outcome_CRP!$D12</f>
        <v>0</v>
      </c>
      <c r="AI12">
        <f>[7]CRP_Outcome_CRP!$E12</f>
        <v>0</v>
      </c>
      <c r="AK12">
        <f>[8]CRP_Outcome_CRP!$B12</f>
        <v>1</v>
      </c>
      <c r="AL12">
        <f>[8]CRP_Outcome_CRP!$C12</f>
        <v>0</v>
      </c>
      <c r="AM12">
        <f>[8]CRP_Outcome_CRP!$D12</f>
        <v>0</v>
      </c>
      <c r="AN12">
        <f>[8]CRP_Outcome_CRP!$E12</f>
        <v>0</v>
      </c>
      <c r="AP12">
        <f>[9]CRP_Outcome_CRP!$B12</f>
        <v>0</v>
      </c>
      <c r="AQ12">
        <f>[9]CRP_Outcome_CRP!$C12</f>
        <v>0</v>
      </c>
      <c r="AR12">
        <f>[9]CRP_Outcome_CRP!$D12</f>
        <v>0</v>
      </c>
      <c r="AS12">
        <f>[9]CRP_Outcome_CRP!$E12</f>
        <v>0</v>
      </c>
      <c r="AU12">
        <f>[10]CRP_Outcome_CRP!$B12</f>
        <v>4</v>
      </c>
      <c r="AV12">
        <f>[10]CRP_Outcome_CRP!$C12</f>
        <v>0</v>
      </c>
      <c r="AW12">
        <f>[10]CRP_Outcome_CRP!$D12</f>
        <v>0</v>
      </c>
      <c r="AX12">
        <f>[10]CRP_Outcome_CRP!$E12</f>
        <v>0</v>
      </c>
      <c r="BA12">
        <f t="shared" si="1"/>
        <v>1</v>
      </c>
      <c r="BB12">
        <f t="shared" si="0"/>
        <v>0</v>
      </c>
      <c r="BC12">
        <f t="shared" si="0"/>
        <v>0</v>
      </c>
      <c r="BD12">
        <f t="shared" si="0"/>
        <v>0</v>
      </c>
    </row>
    <row r="13" spans="1:56" x14ac:dyDescent="0.35">
      <c r="A13">
        <v>11</v>
      </c>
      <c r="B13">
        <f>[1]CRP_Outcome_CRP!$B13</f>
        <v>0</v>
      </c>
      <c r="C13">
        <f>[1]CRP_Outcome_CRP!$C13</f>
        <v>17</v>
      </c>
      <c r="D13">
        <f>[1]CRP_Outcome_CRP!$D13</f>
        <v>0</v>
      </c>
      <c r="E13">
        <f>[1]CRP_Outcome_CRP!$E13</f>
        <v>0</v>
      </c>
      <c r="G13">
        <f>[2]CRP_Outcome_CRP!$B13</f>
        <v>1</v>
      </c>
      <c r="H13">
        <f>[2]CRP_Outcome_CRP!$C13</f>
        <v>0</v>
      </c>
      <c r="I13">
        <f>[2]CRP_Outcome_CRP!$D13</f>
        <v>0</v>
      </c>
      <c r="J13">
        <f>[2]CRP_Outcome_CRP!$E13</f>
        <v>0</v>
      </c>
      <c r="L13">
        <f>[3]CRP_Outcome_CRP!$B13</f>
        <v>1</v>
      </c>
      <c r="M13">
        <f>[3]CRP_Outcome_CRP!$C13</f>
        <v>0</v>
      </c>
      <c r="N13">
        <f>[3]CRP_Outcome_CRP!$D13</f>
        <v>0</v>
      </c>
      <c r="O13">
        <f>[3]CRP_Outcome_CRP!$E13</f>
        <v>0</v>
      </c>
      <c r="Q13">
        <f>[4]CRP_Outcome_CRP!$B13</f>
        <v>1</v>
      </c>
      <c r="R13">
        <f>[4]CRP_Outcome_CRP!$C13</f>
        <v>10</v>
      </c>
      <c r="S13">
        <f>[4]CRP_Outcome_CRP!$D13</f>
        <v>0</v>
      </c>
      <c r="T13">
        <f>[4]CRP_Outcome_CRP!$E13</f>
        <v>0</v>
      </c>
      <c r="V13">
        <f>[5]CRP_Outcome_CRP!$B13</f>
        <v>2</v>
      </c>
      <c r="W13">
        <f>[5]CRP_Outcome_CRP!$C13</f>
        <v>0</v>
      </c>
      <c r="X13">
        <f>[5]CRP_Outcome_CRP!$D13</f>
        <v>0</v>
      </c>
      <c r="Y13">
        <f>[5]CRP_Outcome_CRP!$E13</f>
        <v>0</v>
      </c>
      <c r="AA13">
        <f>[6]CRP_Outcome_CRP!$B13</f>
        <v>2</v>
      </c>
      <c r="AB13">
        <f>[6]CRP_Outcome_CRP!$C13</f>
        <v>0</v>
      </c>
      <c r="AC13">
        <f>[6]CRP_Outcome_CRP!$D13</f>
        <v>0</v>
      </c>
      <c r="AD13">
        <f>[6]CRP_Outcome_CRP!$E13</f>
        <v>0</v>
      </c>
      <c r="AF13">
        <f>[7]CRP_Outcome_CRP!$B13</f>
        <v>0</v>
      </c>
      <c r="AG13">
        <f>[7]CRP_Outcome_CRP!$C13</f>
        <v>0</v>
      </c>
      <c r="AH13">
        <f>[7]CRP_Outcome_CRP!$D13</f>
        <v>0</v>
      </c>
      <c r="AI13">
        <f>[7]CRP_Outcome_CRP!$E13</f>
        <v>0</v>
      </c>
      <c r="AK13">
        <f>[8]CRP_Outcome_CRP!$B13</f>
        <v>0</v>
      </c>
      <c r="AL13">
        <f>[8]CRP_Outcome_CRP!$C13</f>
        <v>0</v>
      </c>
      <c r="AM13">
        <f>[8]CRP_Outcome_CRP!$D13</f>
        <v>0</v>
      </c>
      <c r="AN13">
        <f>[8]CRP_Outcome_CRP!$E13</f>
        <v>0</v>
      </c>
      <c r="AP13">
        <f>[9]CRP_Outcome_CRP!$B13</f>
        <v>0</v>
      </c>
      <c r="AQ13">
        <f>[9]CRP_Outcome_CRP!$C13</f>
        <v>0</v>
      </c>
      <c r="AR13">
        <f>[9]CRP_Outcome_CRP!$D13</f>
        <v>0</v>
      </c>
      <c r="AS13">
        <f>[9]CRP_Outcome_CRP!$E13</f>
        <v>0</v>
      </c>
      <c r="AU13">
        <f>[10]CRP_Outcome_CRP!$B13</f>
        <v>0</v>
      </c>
      <c r="AV13">
        <f>[10]CRP_Outcome_CRP!$C13</f>
        <v>31</v>
      </c>
      <c r="AW13">
        <f>[10]CRP_Outcome_CRP!$D13</f>
        <v>0</v>
      </c>
      <c r="AX13">
        <f>[10]CRP_Outcome_CRP!$E13</f>
        <v>0</v>
      </c>
      <c r="BA13">
        <f t="shared" si="1"/>
        <v>0.7</v>
      </c>
      <c r="BB13">
        <f t="shared" si="0"/>
        <v>5.8</v>
      </c>
      <c r="BC13">
        <f t="shared" si="0"/>
        <v>0</v>
      </c>
      <c r="BD13">
        <f t="shared" si="0"/>
        <v>0</v>
      </c>
    </row>
    <row r="14" spans="1:56" x14ac:dyDescent="0.35">
      <c r="A14">
        <v>12</v>
      </c>
      <c r="B14">
        <f>[1]CRP_Outcome_CRP!$B14</f>
        <v>0</v>
      </c>
      <c r="C14">
        <f>[1]CRP_Outcome_CRP!$C14</f>
        <v>6</v>
      </c>
      <c r="D14">
        <f>[1]CRP_Outcome_CRP!$D14</f>
        <v>0</v>
      </c>
      <c r="E14">
        <f>[1]CRP_Outcome_CRP!$E14</f>
        <v>0</v>
      </c>
      <c r="G14">
        <f>[2]CRP_Outcome_CRP!$B14</f>
        <v>0</v>
      </c>
      <c r="H14">
        <f>[2]CRP_Outcome_CRP!$C14</f>
        <v>16</v>
      </c>
      <c r="I14">
        <f>[2]CRP_Outcome_CRP!$D14</f>
        <v>0</v>
      </c>
      <c r="J14">
        <f>[2]CRP_Outcome_CRP!$E14</f>
        <v>0</v>
      </c>
      <c r="L14">
        <f>[3]CRP_Outcome_CRP!$B14</f>
        <v>0</v>
      </c>
      <c r="M14">
        <f>[3]CRP_Outcome_CRP!$C14</f>
        <v>3</v>
      </c>
      <c r="N14">
        <f>[3]CRP_Outcome_CRP!$D14</f>
        <v>0</v>
      </c>
      <c r="O14">
        <f>[3]CRP_Outcome_CRP!$E14</f>
        <v>0</v>
      </c>
      <c r="Q14">
        <f>[4]CRP_Outcome_CRP!$B14</f>
        <v>0</v>
      </c>
      <c r="R14">
        <f>[4]CRP_Outcome_CRP!$C14</f>
        <v>8</v>
      </c>
      <c r="S14">
        <f>[4]CRP_Outcome_CRP!$D14</f>
        <v>0</v>
      </c>
      <c r="T14">
        <f>[4]CRP_Outcome_CRP!$E14</f>
        <v>0</v>
      </c>
      <c r="V14">
        <f>[5]CRP_Outcome_CRP!$B14</f>
        <v>0</v>
      </c>
      <c r="W14">
        <f>[5]CRP_Outcome_CRP!$C14</f>
        <v>4</v>
      </c>
      <c r="X14">
        <f>[5]CRP_Outcome_CRP!$D14</f>
        <v>0</v>
      </c>
      <c r="Y14">
        <f>[5]CRP_Outcome_CRP!$E14</f>
        <v>0</v>
      </c>
      <c r="AA14">
        <f>[6]CRP_Outcome_CRP!$B14</f>
        <v>0</v>
      </c>
      <c r="AB14">
        <f>[6]CRP_Outcome_CRP!$C14</f>
        <v>4</v>
      </c>
      <c r="AC14">
        <f>[6]CRP_Outcome_CRP!$D14</f>
        <v>0</v>
      </c>
      <c r="AD14">
        <f>[6]CRP_Outcome_CRP!$E14</f>
        <v>0</v>
      </c>
      <c r="AF14">
        <f>[7]CRP_Outcome_CRP!$B14</f>
        <v>0</v>
      </c>
      <c r="AG14">
        <f>[7]CRP_Outcome_CRP!$C14</f>
        <v>21</v>
      </c>
      <c r="AH14">
        <f>[7]CRP_Outcome_CRP!$D14</f>
        <v>0</v>
      </c>
      <c r="AI14">
        <f>[7]CRP_Outcome_CRP!$E14</f>
        <v>0</v>
      </c>
      <c r="AK14">
        <f>[8]CRP_Outcome_CRP!$B14</f>
        <v>0</v>
      </c>
      <c r="AL14">
        <f>[8]CRP_Outcome_CRP!$C14</f>
        <v>2</v>
      </c>
      <c r="AM14">
        <f>[8]CRP_Outcome_CRP!$D14</f>
        <v>0</v>
      </c>
      <c r="AN14">
        <f>[8]CRP_Outcome_CRP!$E14</f>
        <v>0</v>
      </c>
      <c r="AP14">
        <f>[9]CRP_Outcome_CRP!$B14</f>
        <v>0</v>
      </c>
      <c r="AQ14">
        <f>[9]CRP_Outcome_CRP!$C14</f>
        <v>0</v>
      </c>
      <c r="AR14">
        <f>[9]CRP_Outcome_CRP!$D14</f>
        <v>0</v>
      </c>
      <c r="AS14">
        <f>[9]CRP_Outcome_CRP!$E14</f>
        <v>0</v>
      </c>
      <c r="AU14">
        <f>[10]CRP_Outcome_CRP!$B14</f>
        <v>0</v>
      </c>
      <c r="AV14">
        <f>[10]CRP_Outcome_CRP!$C14</f>
        <v>2</v>
      </c>
      <c r="AW14">
        <f>[10]CRP_Outcome_CRP!$D14</f>
        <v>0</v>
      </c>
      <c r="AX14">
        <f>[10]CRP_Outcome_CRP!$E14</f>
        <v>0</v>
      </c>
      <c r="BA14">
        <f t="shared" si="1"/>
        <v>0</v>
      </c>
      <c r="BB14">
        <f t="shared" si="0"/>
        <v>6.6</v>
      </c>
      <c r="BC14">
        <f t="shared" si="0"/>
        <v>0</v>
      </c>
      <c r="BD14">
        <f t="shared" si="0"/>
        <v>0</v>
      </c>
    </row>
    <row r="15" spans="1:56" x14ac:dyDescent="0.35">
      <c r="A15">
        <v>13</v>
      </c>
      <c r="B15">
        <f>[1]CRP_Outcome_CRP!$B15</f>
        <v>0</v>
      </c>
      <c r="C15">
        <f>[1]CRP_Outcome_CRP!$C15</f>
        <v>0</v>
      </c>
      <c r="D15">
        <f>[1]CRP_Outcome_CRP!$D15</f>
        <v>0</v>
      </c>
      <c r="E15">
        <f>[1]CRP_Outcome_CRP!$E15</f>
        <v>0</v>
      </c>
      <c r="G15">
        <f>[2]CRP_Outcome_CRP!$B15</f>
        <v>0</v>
      </c>
      <c r="H15">
        <f>[2]CRP_Outcome_CRP!$C15</f>
        <v>3</v>
      </c>
      <c r="I15">
        <f>[2]CRP_Outcome_CRP!$D15</f>
        <v>0</v>
      </c>
      <c r="J15">
        <f>[2]CRP_Outcome_CRP!$E15</f>
        <v>0</v>
      </c>
      <c r="L15">
        <f>[3]CRP_Outcome_CRP!$B15</f>
        <v>0</v>
      </c>
      <c r="M15">
        <f>[3]CRP_Outcome_CRP!$C15</f>
        <v>1</v>
      </c>
      <c r="N15">
        <f>[3]CRP_Outcome_CRP!$D15</f>
        <v>0</v>
      </c>
      <c r="O15">
        <f>[3]CRP_Outcome_CRP!$E15</f>
        <v>0</v>
      </c>
      <c r="Q15">
        <f>[4]CRP_Outcome_CRP!$B15</f>
        <v>0</v>
      </c>
      <c r="R15">
        <f>[4]CRP_Outcome_CRP!$C15</f>
        <v>0</v>
      </c>
      <c r="S15">
        <f>[4]CRP_Outcome_CRP!$D15</f>
        <v>0</v>
      </c>
      <c r="T15">
        <f>[4]CRP_Outcome_CRP!$E15</f>
        <v>0</v>
      </c>
      <c r="V15">
        <f>[5]CRP_Outcome_CRP!$B15</f>
        <v>0</v>
      </c>
      <c r="W15">
        <f>[5]CRP_Outcome_CRP!$C15</f>
        <v>6</v>
      </c>
      <c r="X15">
        <f>[5]CRP_Outcome_CRP!$D15</f>
        <v>0</v>
      </c>
      <c r="Y15">
        <f>[5]CRP_Outcome_CRP!$E15</f>
        <v>0</v>
      </c>
      <c r="AA15">
        <f>[6]CRP_Outcome_CRP!$B15</f>
        <v>0</v>
      </c>
      <c r="AB15">
        <f>[6]CRP_Outcome_CRP!$C15</f>
        <v>6</v>
      </c>
      <c r="AC15">
        <f>[6]CRP_Outcome_CRP!$D15</f>
        <v>0</v>
      </c>
      <c r="AD15">
        <f>[6]CRP_Outcome_CRP!$E15</f>
        <v>0</v>
      </c>
      <c r="AF15">
        <f>[7]CRP_Outcome_CRP!$B15</f>
        <v>0</v>
      </c>
      <c r="AG15">
        <f>[7]CRP_Outcome_CRP!$C15</f>
        <v>0</v>
      </c>
      <c r="AH15">
        <f>[7]CRP_Outcome_CRP!$D15</f>
        <v>0</v>
      </c>
      <c r="AI15">
        <f>[7]CRP_Outcome_CRP!$E15</f>
        <v>0</v>
      </c>
      <c r="AK15">
        <f>[8]CRP_Outcome_CRP!$B15</f>
        <v>0</v>
      </c>
      <c r="AL15">
        <f>[8]CRP_Outcome_CRP!$C15</f>
        <v>0</v>
      </c>
      <c r="AM15">
        <f>[8]CRP_Outcome_CRP!$D15</f>
        <v>0</v>
      </c>
      <c r="AN15">
        <f>[8]CRP_Outcome_CRP!$E15</f>
        <v>0</v>
      </c>
      <c r="AP15">
        <f>[9]CRP_Outcome_CRP!$B15</f>
        <v>0</v>
      </c>
      <c r="AQ15">
        <f>[9]CRP_Outcome_CRP!$C15</f>
        <v>0</v>
      </c>
      <c r="AR15">
        <f>[9]CRP_Outcome_CRP!$D15</f>
        <v>0</v>
      </c>
      <c r="AS15">
        <f>[9]CRP_Outcome_CRP!$E15</f>
        <v>0</v>
      </c>
      <c r="AU15">
        <f>[10]CRP_Outcome_CRP!$B15</f>
        <v>0</v>
      </c>
      <c r="AV15">
        <f>[10]CRP_Outcome_CRP!$C15</f>
        <v>0</v>
      </c>
      <c r="AW15">
        <f>[10]CRP_Outcome_CRP!$D15</f>
        <v>0</v>
      </c>
      <c r="AX15">
        <f>[10]CRP_Outcome_CRP!$E15</f>
        <v>0</v>
      </c>
      <c r="BA15">
        <f t="shared" si="1"/>
        <v>0</v>
      </c>
      <c r="BB15">
        <f t="shared" si="0"/>
        <v>1.6</v>
      </c>
      <c r="BC15">
        <f t="shared" si="0"/>
        <v>0</v>
      </c>
      <c r="BD15">
        <f t="shared" si="0"/>
        <v>0</v>
      </c>
    </row>
    <row r="16" spans="1:56" x14ac:dyDescent="0.35">
      <c r="A16">
        <v>14</v>
      </c>
      <c r="B16">
        <f>[1]CRP_Outcome_CRP!$B16</f>
        <v>0</v>
      </c>
      <c r="C16">
        <f>[1]CRP_Outcome_CRP!$C16</f>
        <v>0</v>
      </c>
      <c r="D16">
        <f>[1]CRP_Outcome_CRP!$D16</f>
        <v>0</v>
      </c>
      <c r="E16">
        <f>[1]CRP_Outcome_CRP!$E16</f>
        <v>0</v>
      </c>
      <c r="G16">
        <f>[2]CRP_Outcome_CRP!$B16</f>
        <v>0</v>
      </c>
      <c r="H16">
        <f>[2]CRP_Outcome_CRP!$C16</f>
        <v>0</v>
      </c>
      <c r="I16">
        <f>[2]CRP_Outcome_CRP!$D16</f>
        <v>0</v>
      </c>
      <c r="J16">
        <f>[2]CRP_Outcome_CRP!$E16</f>
        <v>0</v>
      </c>
      <c r="L16">
        <f>[3]CRP_Outcome_CRP!$B16</f>
        <v>0</v>
      </c>
      <c r="M16">
        <f>[3]CRP_Outcome_CRP!$C16</f>
        <v>0</v>
      </c>
      <c r="N16">
        <f>[3]CRP_Outcome_CRP!$D16</f>
        <v>0</v>
      </c>
      <c r="O16">
        <f>[3]CRP_Outcome_CRP!$E16</f>
        <v>0</v>
      </c>
      <c r="Q16">
        <f>[4]CRP_Outcome_CRP!$B16</f>
        <v>0</v>
      </c>
      <c r="R16">
        <f>[4]CRP_Outcome_CRP!$C16</f>
        <v>0</v>
      </c>
      <c r="S16">
        <f>[4]CRP_Outcome_CRP!$D16</f>
        <v>0</v>
      </c>
      <c r="T16">
        <f>[4]CRP_Outcome_CRP!$E16</f>
        <v>0</v>
      </c>
      <c r="V16">
        <f>[5]CRP_Outcome_CRP!$B16</f>
        <v>0</v>
      </c>
      <c r="W16">
        <f>[5]CRP_Outcome_CRP!$C16</f>
        <v>0</v>
      </c>
      <c r="X16">
        <f>[5]CRP_Outcome_CRP!$D16</f>
        <v>0</v>
      </c>
      <c r="Y16">
        <f>[5]CRP_Outcome_CRP!$E16</f>
        <v>0</v>
      </c>
      <c r="AA16">
        <f>[6]CRP_Outcome_CRP!$B16</f>
        <v>0</v>
      </c>
      <c r="AB16">
        <f>[6]CRP_Outcome_CRP!$C16</f>
        <v>0</v>
      </c>
      <c r="AC16">
        <f>[6]CRP_Outcome_CRP!$D16</f>
        <v>0</v>
      </c>
      <c r="AD16">
        <f>[6]CRP_Outcome_CRP!$E16</f>
        <v>0</v>
      </c>
      <c r="AF16">
        <f>[7]CRP_Outcome_CRP!$B16</f>
        <v>0</v>
      </c>
      <c r="AG16">
        <f>[7]CRP_Outcome_CRP!$C16</f>
        <v>0</v>
      </c>
      <c r="AH16">
        <f>[7]CRP_Outcome_CRP!$D16</f>
        <v>0</v>
      </c>
      <c r="AI16">
        <f>[7]CRP_Outcome_CRP!$E16</f>
        <v>0</v>
      </c>
      <c r="AK16">
        <f>[8]CRP_Outcome_CRP!$B16</f>
        <v>0</v>
      </c>
      <c r="AL16">
        <f>[8]CRP_Outcome_CRP!$C16</f>
        <v>0</v>
      </c>
      <c r="AM16">
        <f>[8]CRP_Outcome_CRP!$D16</f>
        <v>0</v>
      </c>
      <c r="AN16">
        <f>[8]CRP_Outcome_CRP!$E16</f>
        <v>0</v>
      </c>
      <c r="AP16">
        <f>[9]CRP_Outcome_CRP!$B16</f>
        <v>0</v>
      </c>
      <c r="AQ16">
        <f>[9]CRP_Outcome_CRP!$C16</f>
        <v>0</v>
      </c>
      <c r="AR16">
        <f>[9]CRP_Outcome_CRP!$D16</f>
        <v>0</v>
      </c>
      <c r="AS16">
        <f>[9]CRP_Outcome_CRP!$E16</f>
        <v>0</v>
      </c>
      <c r="AU16">
        <f>[10]CRP_Outcome_CRP!$B16</f>
        <v>0</v>
      </c>
      <c r="AV16">
        <f>[10]CRP_Outcome_CRP!$C16</f>
        <v>0</v>
      </c>
      <c r="AW16">
        <f>[10]CRP_Outcome_CRP!$D16</f>
        <v>0</v>
      </c>
      <c r="AX16">
        <f>[10]CRP_Outcome_CRP!$E16</f>
        <v>0</v>
      </c>
      <c r="BA16">
        <f t="shared" si="1"/>
        <v>0</v>
      </c>
      <c r="BB16">
        <f t="shared" si="0"/>
        <v>0</v>
      </c>
      <c r="BC16">
        <f t="shared" si="0"/>
        <v>0</v>
      </c>
      <c r="BD16">
        <f t="shared" si="0"/>
        <v>0</v>
      </c>
    </row>
    <row r="17" spans="1:56" x14ac:dyDescent="0.35">
      <c r="A17">
        <v>15</v>
      </c>
      <c r="B17">
        <f>[1]CRP_Outcome_CRP!$B17</f>
        <v>0</v>
      </c>
      <c r="C17">
        <f>[1]CRP_Outcome_CRP!$C17</f>
        <v>0</v>
      </c>
      <c r="D17">
        <f>[1]CRP_Outcome_CRP!$D17</f>
        <v>0</v>
      </c>
      <c r="E17">
        <f>[1]CRP_Outcome_CRP!$E17</f>
        <v>0</v>
      </c>
      <c r="G17">
        <f>[2]CRP_Outcome_CRP!$B17</f>
        <v>0</v>
      </c>
      <c r="H17">
        <f>[2]CRP_Outcome_CRP!$C17</f>
        <v>0</v>
      </c>
      <c r="I17">
        <f>[2]CRP_Outcome_CRP!$D17</f>
        <v>0</v>
      </c>
      <c r="J17">
        <f>[2]CRP_Outcome_CRP!$E17</f>
        <v>0</v>
      </c>
      <c r="L17">
        <f>[3]CRP_Outcome_CRP!$B17</f>
        <v>0</v>
      </c>
      <c r="M17">
        <f>[3]CRP_Outcome_CRP!$C17</f>
        <v>0</v>
      </c>
      <c r="N17">
        <f>[3]CRP_Outcome_CRP!$D17</f>
        <v>0</v>
      </c>
      <c r="O17">
        <f>[3]CRP_Outcome_CRP!$E17</f>
        <v>0</v>
      </c>
      <c r="Q17">
        <f>[4]CRP_Outcome_CRP!$B17</f>
        <v>0</v>
      </c>
      <c r="R17">
        <f>[4]CRP_Outcome_CRP!$C17</f>
        <v>0</v>
      </c>
      <c r="S17">
        <f>[4]CRP_Outcome_CRP!$D17</f>
        <v>0</v>
      </c>
      <c r="T17">
        <f>[4]CRP_Outcome_CRP!$E17</f>
        <v>0</v>
      </c>
      <c r="V17">
        <f>[5]CRP_Outcome_CRP!$B17</f>
        <v>0</v>
      </c>
      <c r="W17">
        <f>[5]CRP_Outcome_CRP!$C17</f>
        <v>0</v>
      </c>
      <c r="X17">
        <f>[5]CRP_Outcome_CRP!$D17</f>
        <v>0</v>
      </c>
      <c r="Y17">
        <f>[5]CRP_Outcome_CRP!$E17</f>
        <v>0</v>
      </c>
      <c r="AA17">
        <f>[6]CRP_Outcome_CRP!$B17</f>
        <v>0</v>
      </c>
      <c r="AB17">
        <f>[6]CRP_Outcome_CRP!$C17</f>
        <v>0</v>
      </c>
      <c r="AC17">
        <f>[6]CRP_Outcome_CRP!$D17</f>
        <v>0</v>
      </c>
      <c r="AD17">
        <f>[6]CRP_Outcome_CRP!$E17</f>
        <v>0</v>
      </c>
      <c r="AF17">
        <f>[7]CRP_Outcome_CRP!$B17</f>
        <v>0</v>
      </c>
      <c r="AG17">
        <f>[7]CRP_Outcome_CRP!$C17</f>
        <v>0</v>
      </c>
      <c r="AH17">
        <f>[7]CRP_Outcome_CRP!$D17</f>
        <v>0</v>
      </c>
      <c r="AI17">
        <f>[7]CRP_Outcome_CRP!$E17</f>
        <v>0</v>
      </c>
      <c r="AK17">
        <f>[8]CRP_Outcome_CRP!$B17</f>
        <v>0</v>
      </c>
      <c r="AL17">
        <f>[8]CRP_Outcome_CRP!$C17</f>
        <v>0</v>
      </c>
      <c r="AM17">
        <f>[8]CRP_Outcome_CRP!$D17</f>
        <v>0</v>
      </c>
      <c r="AN17">
        <f>[8]CRP_Outcome_CRP!$E17</f>
        <v>0</v>
      </c>
      <c r="AP17">
        <f>[9]CRP_Outcome_CRP!$B17</f>
        <v>0</v>
      </c>
      <c r="AQ17">
        <f>[9]CRP_Outcome_CRP!$C17</f>
        <v>0</v>
      </c>
      <c r="AR17">
        <f>[9]CRP_Outcome_CRP!$D17</f>
        <v>0</v>
      </c>
      <c r="AS17">
        <f>[9]CRP_Outcome_CRP!$E17</f>
        <v>0</v>
      </c>
      <c r="AU17">
        <f>[10]CRP_Outcome_CRP!$B17</f>
        <v>2</v>
      </c>
      <c r="AV17">
        <f>[10]CRP_Outcome_CRP!$C17</f>
        <v>0</v>
      </c>
      <c r="AW17">
        <f>[10]CRP_Outcome_CRP!$D17</f>
        <v>0</v>
      </c>
      <c r="AX17">
        <f>[10]CRP_Outcome_CRP!$E17</f>
        <v>0</v>
      </c>
      <c r="BA17">
        <f t="shared" si="1"/>
        <v>0.2</v>
      </c>
      <c r="BB17">
        <f t="shared" si="0"/>
        <v>0</v>
      </c>
      <c r="BC17">
        <f t="shared" si="0"/>
        <v>0</v>
      </c>
      <c r="BD17">
        <f t="shared" si="0"/>
        <v>0</v>
      </c>
    </row>
    <row r="18" spans="1:56" x14ac:dyDescent="0.35">
      <c r="A18">
        <v>16</v>
      </c>
      <c r="B18">
        <f>[1]CRP_Outcome_CRP!$B18</f>
        <v>4</v>
      </c>
      <c r="C18">
        <f>[1]CRP_Outcome_CRP!$C18</f>
        <v>0</v>
      </c>
      <c r="D18">
        <f>[1]CRP_Outcome_CRP!$D18</f>
        <v>0</v>
      </c>
      <c r="E18">
        <f>[1]CRP_Outcome_CRP!$E18</f>
        <v>0</v>
      </c>
      <c r="G18">
        <f>[2]CRP_Outcome_CRP!$B18</f>
        <v>0</v>
      </c>
      <c r="H18">
        <f>[2]CRP_Outcome_CRP!$C18</f>
        <v>0</v>
      </c>
      <c r="I18">
        <f>[2]CRP_Outcome_CRP!$D18</f>
        <v>0</v>
      </c>
      <c r="J18">
        <f>[2]CRP_Outcome_CRP!$E18</f>
        <v>0</v>
      </c>
      <c r="L18">
        <f>[3]CRP_Outcome_CRP!$B18</f>
        <v>2</v>
      </c>
      <c r="M18">
        <f>[3]CRP_Outcome_CRP!$C18</f>
        <v>0</v>
      </c>
      <c r="N18">
        <f>[3]CRP_Outcome_CRP!$D18</f>
        <v>0</v>
      </c>
      <c r="O18">
        <f>[3]CRP_Outcome_CRP!$E18</f>
        <v>0</v>
      </c>
      <c r="Q18">
        <f>[4]CRP_Outcome_CRP!$B18</f>
        <v>3</v>
      </c>
      <c r="R18">
        <f>[4]CRP_Outcome_CRP!$C18</f>
        <v>0</v>
      </c>
      <c r="S18">
        <f>[4]CRP_Outcome_CRP!$D18</f>
        <v>0</v>
      </c>
      <c r="T18">
        <f>[4]CRP_Outcome_CRP!$E18</f>
        <v>0</v>
      </c>
      <c r="V18">
        <f>[5]CRP_Outcome_CRP!$B18</f>
        <v>0</v>
      </c>
      <c r="W18">
        <f>[5]CRP_Outcome_CRP!$C18</f>
        <v>0</v>
      </c>
      <c r="X18">
        <f>[5]CRP_Outcome_CRP!$D18</f>
        <v>0</v>
      </c>
      <c r="Y18">
        <f>[5]CRP_Outcome_CRP!$E18</f>
        <v>0</v>
      </c>
      <c r="AA18">
        <f>[6]CRP_Outcome_CRP!$B18</f>
        <v>0</v>
      </c>
      <c r="AB18">
        <f>[6]CRP_Outcome_CRP!$C18</f>
        <v>0</v>
      </c>
      <c r="AC18">
        <f>[6]CRP_Outcome_CRP!$D18</f>
        <v>0</v>
      </c>
      <c r="AD18">
        <f>[6]CRP_Outcome_CRP!$E18</f>
        <v>0</v>
      </c>
      <c r="AF18">
        <f>[7]CRP_Outcome_CRP!$B18</f>
        <v>2</v>
      </c>
      <c r="AG18">
        <f>[7]CRP_Outcome_CRP!$C18</f>
        <v>0</v>
      </c>
      <c r="AH18">
        <f>[7]CRP_Outcome_CRP!$D18</f>
        <v>0</v>
      </c>
      <c r="AI18">
        <f>[7]CRP_Outcome_CRP!$E18</f>
        <v>0</v>
      </c>
      <c r="AK18">
        <f>[8]CRP_Outcome_CRP!$B18</f>
        <v>0</v>
      </c>
      <c r="AL18">
        <f>[8]CRP_Outcome_CRP!$C18</f>
        <v>0</v>
      </c>
      <c r="AM18">
        <f>[8]CRP_Outcome_CRP!$D18</f>
        <v>0</v>
      </c>
      <c r="AN18">
        <f>[8]CRP_Outcome_CRP!$E18</f>
        <v>0</v>
      </c>
      <c r="AP18">
        <f>[9]CRP_Outcome_CRP!$B18</f>
        <v>0</v>
      </c>
      <c r="AQ18">
        <f>[9]CRP_Outcome_CRP!$C18</f>
        <v>0</v>
      </c>
      <c r="AR18">
        <f>[9]CRP_Outcome_CRP!$D18</f>
        <v>0</v>
      </c>
      <c r="AS18">
        <f>[9]CRP_Outcome_CRP!$E18</f>
        <v>0</v>
      </c>
      <c r="AU18">
        <f>[10]CRP_Outcome_CRP!$B18</f>
        <v>0</v>
      </c>
      <c r="AV18">
        <f>[10]CRP_Outcome_CRP!$C18</f>
        <v>0</v>
      </c>
      <c r="AW18">
        <f>[10]CRP_Outcome_CRP!$D18</f>
        <v>0</v>
      </c>
      <c r="AX18">
        <f>[10]CRP_Outcome_CRP!$E18</f>
        <v>0</v>
      </c>
      <c r="BA18">
        <f t="shared" si="1"/>
        <v>1.1000000000000001</v>
      </c>
      <c r="BB18">
        <f t="shared" si="1"/>
        <v>0</v>
      </c>
      <c r="BC18">
        <f t="shared" si="1"/>
        <v>0</v>
      </c>
      <c r="BD18">
        <f t="shared" si="1"/>
        <v>0</v>
      </c>
    </row>
    <row r="19" spans="1:56" x14ac:dyDescent="0.35">
      <c r="A19">
        <v>17</v>
      </c>
      <c r="B19">
        <f>[1]CRP_Outcome_CRP!$B19</f>
        <v>0</v>
      </c>
      <c r="C19">
        <f>[1]CRP_Outcome_CRP!$C19</f>
        <v>21</v>
      </c>
      <c r="D19">
        <f>[1]CRP_Outcome_CRP!$D19</f>
        <v>0</v>
      </c>
      <c r="E19">
        <f>[1]CRP_Outcome_CRP!$E19</f>
        <v>0</v>
      </c>
      <c r="G19">
        <f>[2]CRP_Outcome_CRP!$B19</f>
        <v>0</v>
      </c>
      <c r="H19">
        <f>[2]CRP_Outcome_CRP!$C19</f>
        <v>3</v>
      </c>
      <c r="I19">
        <f>[2]CRP_Outcome_CRP!$D19</f>
        <v>0</v>
      </c>
      <c r="J19">
        <f>[2]CRP_Outcome_CRP!$E19</f>
        <v>0</v>
      </c>
      <c r="L19">
        <f>[3]CRP_Outcome_CRP!$B19</f>
        <v>1</v>
      </c>
      <c r="M19">
        <f>[3]CRP_Outcome_CRP!$C19</f>
        <v>0</v>
      </c>
      <c r="N19">
        <f>[3]CRP_Outcome_CRP!$D19</f>
        <v>0</v>
      </c>
      <c r="O19">
        <f>[3]CRP_Outcome_CRP!$E19</f>
        <v>0</v>
      </c>
      <c r="Q19">
        <f>[4]CRP_Outcome_CRP!$B19</f>
        <v>1</v>
      </c>
      <c r="R19">
        <f>[4]CRP_Outcome_CRP!$C19</f>
        <v>13</v>
      </c>
      <c r="S19">
        <f>[4]CRP_Outcome_CRP!$D19</f>
        <v>0</v>
      </c>
      <c r="T19">
        <f>[4]CRP_Outcome_CRP!$E19</f>
        <v>0</v>
      </c>
      <c r="V19">
        <f>[5]CRP_Outcome_CRP!$B19</f>
        <v>0</v>
      </c>
      <c r="W19">
        <f>[5]CRP_Outcome_CRP!$C19</f>
        <v>0</v>
      </c>
      <c r="X19">
        <f>[5]CRP_Outcome_CRP!$D19</f>
        <v>0</v>
      </c>
      <c r="Y19">
        <f>[5]CRP_Outcome_CRP!$E19</f>
        <v>0</v>
      </c>
      <c r="AA19">
        <f>[6]CRP_Outcome_CRP!$B19</f>
        <v>0</v>
      </c>
      <c r="AB19">
        <f>[6]CRP_Outcome_CRP!$C19</f>
        <v>0</v>
      </c>
      <c r="AC19">
        <f>[6]CRP_Outcome_CRP!$D19</f>
        <v>0</v>
      </c>
      <c r="AD19">
        <f>[6]CRP_Outcome_CRP!$E19</f>
        <v>0</v>
      </c>
      <c r="AF19">
        <f>[7]CRP_Outcome_CRP!$B19</f>
        <v>0</v>
      </c>
      <c r="AG19">
        <f>[7]CRP_Outcome_CRP!$C19</f>
        <v>7</v>
      </c>
      <c r="AH19">
        <f>[7]CRP_Outcome_CRP!$D19</f>
        <v>0</v>
      </c>
      <c r="AI19">
        <f>[7]CRP_Outcome_CRP!$E19</f>
        <v>0</v>
      </c>
      <c r="AK19">
        <f>[8]CRP_Outcome_CRP!$B19</f>
        <v>0</v>
      </c>
      <c r="AL19">
        <f>[8]CRP_Outcome_CRP!$C19</f>
        <v>0</v>
      </c>
      <c r="AM19">
        <f>[8]CRP_Outcome_CRP!$D19</f>
        <v>0</v>
      </c>
      <c r="AN19">
        <f>[8]CRP_Outcome_CRP!$E19</f>
        <v>0</v>
      </c>
      <c r="AP19">
        <f>[9]CRP_Outcome_CRP!$B19</f>
        <v>0</v>
      </c>
      <c r="AQ19">
        <f>[9]CRP_Outcome_CRP!$C19</f>
        <v>0</v>
      </c>
      <c r="AR19">
        <f>[9]CRP_Outcome_CRP!$D19</f>
        <v>0</v>
      </c>
      <c r="AS19">
        <f>[9]CRP_Outcome_CRP!$E19</f>
        <v>0</v>
      </c>
      <c r="AU19">
        <f>[10]CRP_Outcome_CRP!$B19</f>
        <v>0</v>
      </c>
      <c r="AV19">
        <f>[10]CRP_Outcome_CRP!$C19</f>
        <v>24</v>
      </c>
      <c r="AW19">
        <f>[10]CRP_Outcome_CRP!$D19</f>
        <v>0</v>
      </c>
      <c r="AX19">
        <f>[10]CRP_Outcome_CRP!$E19</f>
        <v>0</v>
      </c>
      <c r="BA19">
        <f t="shared" si="1"/>
        <v>0.2</v>
      </c>
      <c r="BB19">
        <f t="shared" si="1"/>
        <v>6.8</v>
      </c>
      <c r="BC19">
        <f t="shared" si="1"/>
        <v>0</v>
      </c>
      <c r="BD19">
        <f t="shared" si="1"/>
        <v>0</v>
      </c>
    </row>
    <row r="20" spans="1:56" x14ac:dyDescent="0.35">
      <c r="A20">
        <v>18</v>
      </c>
      <c r="B20">
        <f>[1]CRP_Outcome_CRP!$B20</f>
        <v>0</v>
      </c>
      <c r="C20">
        <f>[1]CRP_Outcome_CRP!$C20</f>
        <v>10</v>
      </c>
      <c r="D20">
        <f>[1]CRP_Outcome_CRP!$D20</f>
        <v>0</v>
      </c>
      <c r="E20">
        <f>[1]CRP_Outcome_CRP!$E20</f>
        <v>0</v>
      </c>
      <c r="G20">
        <f>[2]CRP_Outcome_CRP!$B20</f>
        <v>0</v>
      </c>
      <c r="H20">
        <f>[2]CRP_Outcome_CRP!$C20</f>
        <v>9</v>
      </c>
      <c r="I20">
        <f>[2]CRP_Outcome_CRP!$D20</f>
        <v>0</v>
      </c>
      <c r="J20">
        <f>[2]CRP_Outcome_CRP!$E20</f>
        <v>0</v>
      </c>
      <c r="L20">
        <f>[3]CRP_Outcome_CRP!$B20</f>
        <v>0</v>
      </c>
      <c r="M20">
        <f>[3]CRP_Outcome_CRP!$C20</f>
        <v>8</v>
      </c>
      <c r="N20">
        <f>[3]CRP_Outcome_CRP!$D20</f>
        <v>0</v>
      </c>
      <c r="O20">
        <f>[3]CRP_Outcome_CRP!$E20</f>
        <v>0</v>
      </c>
      <c r="Q20">
        <f>[4]CRP_Outcome_CRP!$B20</f>
        <v>0</v>
      </c>
      <c r="R20">
        <f>[4]CRP_Outcome_CRP!$C20</f>
        <v>19</v>
      </c>
      <c r="S20">
        <f>[4]CRP_Outcome_CRP!$D20</f>
        <v>0</v>
      </c>
      <c r="T20">
        <f>[4]CRP_Outcome_CRP!$E20</f>
        <v>0</v>
      </c>
      <c r="V20">
        <f>[5]CRP_Outcome_CRP!$B20</f>
        <v>0</v>
      </c>
      <c r="W20">
        <f>[5]CRP_Outcome_CRP!$C20</f>
        <v>10</v>
      </c>
      <c r="X20">
        <f>[5]CRP_Outcome_CRP!$D20</f>
        <v>0</v>
      </c>
      <c r="Y20">
        <f>[5]CRP_Outcome_CRP!$E20</f>
        <v>0</v>
      </c>
      <c r="AA20">
        <f>[6]CRP_Outcome_CRP!$B20</f>
        <v>0</v>
      </c>
      <c r="AB20">
        <f>[6]CRP_Outcome_CRP!$C20</f>
        <v>10</v>
      </c>
      <c r="AC20">
        <f>[6]CRP_Outcome_CRP!$D20</f>
        <v>0</v>
      </c>
      <c r="AD20">
        <f>[6]CRP_Outcome_CRP!$E20</f>
        <v>0</v>
      </c>
      <c r="AF20">
        <f>[7]CRP_Outcome_CRP!$B20</f>
        <v>0</v>
      </c>
      <c r="AG20">
        <f>[7]CRP_Outcome_CRP!$C20</f>
        <v>17</v>
      </c>
      <c r="AH20">
        <f>[7]CRP_Outcome_CRP!$D20</f>
        <v>0</v>
      </c>
      <c r="AI20">
        <f>[7]CRP_Outcome_CRP!$E20</f>
        <v>0</v>
      </c>
      <c r="AK20">
        <f>[8]CRP_Outcome_CRP!$B20</f>
        <v>0</v>
      </c>
      <c r="AL20">
        <f>[8]CRP_Outcome_CRP!$C20</f>
        <v>6</v>
      </c>
      <c r="AM20">
        <f>[8]CRP_Outcome_CRP!$D20</f>
        <v>0</v>
      </c>
      <c r="AN20">
        <f>[8]CRP_Outcome_CRP!$E20</f>
        <v>0</v>
      </c>
      <c r="AP20">
        <f>[9]CRP_Outcome_CRP!$B20</f>
        <v>0</v>
      </c>
      <c r="AQ20">
        <f>[9]CRP_Outcome_CRP!$C20</f>
        <v>0</v>
      </c>
      <c r="AR20">
        <f>[9]CRP_Outcome_CRP!$D20</f>
        <v>0</v>
      </c>
      <c r="AS20">
        <f>[9]CRP_Outcome_CRP!$E20</f>
        <v>0</v>
      </c>
      <c r="AU20">
        <f>[10]CRP_Outcome_CRP!$B20</f>
        <v>0</v>
      </c>
      <c r="AV20">
        <f>[10]CRP_Outcome_CRP!$C20</f>
        <v>0</v>
      </c>
      <c r="AW20">
        <f>[10]CRP_Outcome_CRP!$D20</f>
        <v>0</v>
      </c>
      <c r="AX20">
        <f>[10]CRP_Outcome_CRP!$E20</f>
        <v>0</v>
      </c>
      <c r="BA20">
        <f t="shared" si="1"/>
        <v>0</v>
      </c>
      <c r="BB20">
        <f t="shared" si="1"/>
        <v>8.9</v>
      </c>
      <c r="BC20">
        <f t="shared" si="1"/>
        <v>0</v>
      </c>
      <c r="BD20">
        <f t="shared" si="1"/>
        <v>0</v>
      </c>
    </row>
    <row r="21" spans="1:56" x14ac:dyDescent="0.35">
      <c r="A21">
        <v>19</v>
      </c>
      <c r="B21">
        <f>[1]CRP_Outcome_CRP!$B21</f>
        <v>0</v>
      </c>
      <c r="C21">
        <f>[1]CRP_Outcome_CRP!$C21</f>
        <v>9</v>
      </c>
      <c r="D21">
        <f>[1]CRP_Outcome_CRP!$D21</f>
        <v>0</v>
      </c>
      <c r="E21">
        <f>[1]CRP_Outcome_CRP!$E21</f>
        <v>0</v>
      </c>
      <c r="G21">
        <f>[2]CRP_Outcome_CRP!$B21</f>
        <v>0</v>
      </c>
      <c r="H21">
        <f>[2]CRP_Outcome_CRP!$C21</f>
        <v>2</v>
      </c>
      <c r="I21">
        <f>[2]CRP_Outcome_CRP!$D21</f>
        <v>0</v>
      </c>
      <c r="J21">
        <f>[2]CRP_Outcome_CRP!$E21</f>
        <v>0</v>
      </c>
      <c r="L21">
        <f>[3]CRP_Outcome_CRP!$B21</f>
        <v>0</v>
      </c>
      <c r="M21">
        <f>[3]CRP_Outcome_CRP!$C21</f>
        <v>2</v>
      </c>
      <c r="N21">
        <f>[3]CRP_Outcome_CRP!$D21</f>
        <v>0</v>
      </c>
      <c r="O21">
        <f>[3]CRP_Outcome_CRP!$E21</f>
        <v>0</v>
      </c>
      <c r="Q21">
        <f>[4]CRP_Outcome_CRP!$B21</f>
        <v>0</v>
      </c>
      <c r="R21">
        <f>[4]CRP_Outcome_CRP!$C21</f>
        <v>0</v>
      </c>
      <c r="S21">
        <f>[4]CRP_Outcome_CRP!$D21</f>
        <v>0</v>
      </c>
      <c r="T21">
        <f>[4]CRP_Outcome_CRP!$E21</f>
        <v>0</v>
      </c>
      <c r="V21">
        <f>[5]CRP_Outcome_CRP!$B21</f>
        <v>0</v>
      </c>
      <c r="W21">
        <f>[5]CRP_Outcome_CRP!$C21</f>
        <v>2</v>
      </c>
      <c r="X21">
        <f>[5]CRP_Outcome_CRP!$D21</f>
        <v>0</v>
      </c>
      <c r="Y21">
        <f>[5]CRP_Outcome_CRP!$E21</f>
        <v>0</v>
      </c>
      <c r="AA21">
        <f>[6]CRP_Outcome_CRP!$B21</f>
        <v>0</v>
      </c>
      <c r="AB21">
        <f>[6]CRP_Outcome_CRP!$C21</f>
        <v>2</v>
      </c>
      <c r="AC21">
        <f>[6]CRP_Outcome_CRP!$D21</f>
        <v>0</v>
      </c>
      <c r="AD21">
        <f>[6]CRP_Outcome_CRP!$E21</f>
        <v>0</v>
      </c>
      <c r="AF21">
        <f>[7]CRP_Outcome_CRP!$B21</f>
        <v>0</v>
      </c>
      <c r="AG21">
        <f>[7]CRP_Outcome_CRP!$C21</f>
        <v>0</v>
      </c>
      <c r="AH21">
        <f>[7]CRP_Outcome_CRP!$D21</f>
        <v>0</v>
      </c>
      <c r="AI21">
        <f>[7]CRP_Outcome_CRP!$E21</f>
        <v>0</v>
      </c>
      <c r="AK21">
        <f>[8]CRP_Outcome_CRP!$B21</f>
        <v>0</v>
      </c>
      <c r="AL21">
        <f>[8]CRP_Outcome_CRP!$C21</f>
        <v>1</v>
      </c>
      <c r="AM21">
        <f>[8]CRP_Outcome_CRP!$D21</f>
        <v>0</v>
      </c>
      <c r="AN21">
        <f>[8]CRP_Outcome_CRP!$E21</f>
        <v>0</v>
      </c>
      <c r="AP21">
        <f>[9]CRP_Outcome_CRP!$B21</f>
        <v>0</v>
      </c>
      <c r="AQ21">
        <f>[9]CRP_Outcome_CRP!$C21</f>
        <v>0</v>
      </c>
      <c r="AR21">
        <f>[9]CRP_Outcome_CRP!$D21</f>
        <v>0</v>
      </c>
      <c r="AS21">
        <f>[9]CRP_Outcome_CRP!$E21</f>
        <v>0</v>
      </c>
      <c r="AU21">
        <f>[10]CRP_Outcome_CRP!$B21</f>
        <v>0</v>
      </c>
      <c r="AV21">
        <f>[10]CRP_Outcome_CRP!$C21</f>
        <v>0</v>
      </c>
      <c r="AW21">
        <f>[10]CRP_Outcome_CRP!$D21</f>
        <v>0</v>
      </c>
      <c r="AX21">
        <f>[10]CRP_Outcome_CRP!$E21</f>
        <v>0</v>
      </c>
      <c r="BA21">
        <f t="shared" si="1"/>
        <v>0</v>
      </c>
      <c r="BB21">
        <f t="shared" si="1"/>
        <v>1.8</v>
      </c>
      <c r="BC21">
        <f t="shared" si="1"/>
        <v>0</v>
      </c>
      <c r="BD21">
        <f t="shared" si="1"/>
        <v>0</v>
      </c>
    </row>
    <row r="22" spans="1:56" x14ac:dyDescent="0.35">
      <c r="A22">
        <v>20</v>
      </c>
      <c r="B22">
        <f>[1]CRP_Outcome_CRP!$B22</f>
        <v>0</v>
      </c>
      <c r="C22">
        <f>[1]CRP_Outcome_CRP!$C22</f>
        <v>0</v>
      </c>
      <c r="D22">
        <f>[1]CRP_Outcome_CRP!$D22</f>
        <v>0</v>
      </c>
      <c r="E22">
        <f>[1]CRP_Outcome_CRP!$E22</f>
        <v>0</v>
      </c>
      <c r="G22">
        <f>[2]CRP_Outcome_CRP!$B22</f>
        <v>0</v>
      </c>
      <c r="H22">
        <f>[2]CRP_Outcome_CRP!$C22</f>
        <v>0</v>
      </c>
      <c r="I22">
        <f>[2]CRP_Outcome_CRP!$D22</f>
        <v>0</v>
      </c>
      <c r="J22">
        <f>[2]CRP_Outcome_CRP!$E22</f>
        <v>0</v>
      </c>
      <c r="L22">
        <f>[3]CRP_Outcome_CRP!$B22</f>
        <v>0</v>
      </c>
      <c r="M22">
        <f>[3]CRP_Outcome_CRP!$C22</f>
        <v>0</v>
      </c>
      <c r="N22">
        <f>[3]CRP_Outcome_CRP!$D22</f>
        <v>0</v>
      </c>
      <c r="O22">
        <f>[3]CRP_Outcome_CRP!$E22</f>
        <v>0</v>
      </c>
      <c r="Q22">
        <f>[4]CRP_Outcome_CRP!$B22</f>
        <v>0</v>
      </c>
      <c r="R22">
        <f>[4]CRP_Outcome_CRP!$C22</f>
        <v>0</v>
      </c>
      <c r="S22">
        <f>[4]CRP_Outcome_CRP!$D22</f>
        <v>0</v>
      </c>
      <c r="T22">
        <f>[4]CRP_Outcome_CRP!$E22</f>
        <v>0</v>
      </c>
      <c r="V22">
        <f>[5]CRP_Outcome_CRP!$B22</f>
        <v>0</v>
      </c>
      <c r="W22">
        <f>[5]CRP_Outcome_CRP!$C22</f>
        <v>0</v>
      </c>
      <c r="X22">
        <f>[5]CRP_Outcome_CRP!$D22</f>
        <v>0</v>
      </c>
      <c r="Y22">
        <f>[5]CRP_Outcome_CRP!$E22</f>
        <v>0</v>
      </c>
      <c r="AA22">
        <f>[6]CRP_Outcome_CRP!$B22</f>
        <v>0</v>
      </c>
      <c r="AB22">
        <f>[6]CRP_Outcome_CRP!$C22</f>
        <v>0</v>
      </c>
      <c r="AC22">
        <f>[6]CRP_Outcome_CRP!$D22</f>
        <v>0</v>
      </c>
      <c r="AD22">
        <f>[6]CRP_Outcome_CRP!$E22</f>
        <v>0</v>
      </c>
      <c r="AF22">
        <f>[7]CRP_Outcome_CRP!$B22</f>
        <v>0</v>
      </c>
      <c r="AG22">
        <f>[7]CRP_Outcome_CRP!$C22</f>
        <v>0</v>
      </c>
      <c r="AH22">
        <f>[7]CRP_Outcome_CRP!$D22</f>
        <v>0</v>
      </c>
      <c r="AI22">
        <f>[7]CRP_Outcome_CRP!$E22</f>
        <v>0</v>
      </c>
      <c r="AK22">
        <f>[8]CRP_Outcome_CRP!$B22</f>
        <v>0</v>
      </c>
      <c r="AL22">
        <f>[8]CRP_Outcome_CRP!$C22</f>
        <v>0</v>
      </c>
      <c r="AM22">
        <f>[8]CRP_Outcome_CRP!$D22</f>
        <v>0</v>
      </c>
      <c r="AN22">
        <f>[8]CRP_Outcome_CRP!$E22</f>
        <v>0</v>
      </c>
      <c r="AP22">
        <f>[9]CRP_Outcome_CRP!$B22</f>
        <v>0</v>
      </c>
      <c r="AQ22">
        <f>[9]CRP_Outcome_CRP!$C22</f>
        <v>0</v>
      </c>
      <c r="AR22">
        <f>[9]CRP_Outcome_CRP!$D22</f>
        <v>0</v>
      </c>
      <c r="AS22">
        <f>[9]CRP_Outcome_CRP!$E22</f>
        <v>0</v>
      </c>
      <c r="AU22">
        <f>[10]CRP_Outcome_CRP!$B22</f>
        <v>0</v>
      </c>
      <c r="AV22">
        <f>[10]CRP_Outcome_CRP!$C22</f>
        <v>0</v>
      </c>
      <c r="AW22">
        <f>[10]CRP_Outcome_CRP!$D22</f>
        <v>0</v>
      </c>
      <c r="AX22">
        <f>[10]CRP_Outcome_CRP!$E22</f>
        <v>0</v>
      </c>
      <c r="BA22">
        <f t="shared" si="1"/>
        <v>0</v>
      </c>
      <c r="BB22">
        <f t="shared" si="1"/>
        <v>0</v>
      </c>
      <c r="BC22">
        <f t="shared" si="1"/>
        <v>0</v>
      </c>
      <c r="BD22">
        <f t="shared" si="1"/>
        <v>0</v>
      </c>
    </row>
    <row r="23" spans="1:56" x14ac:dyDescent="0.35">
      <c r="A23">
        <v>21</v>
      </c>
      <c r="B23">
        <f>[1]CRP_Outcome_CRP!$B23</f>
        <v>0</v>
      </c>
      <c r="C23">
        <f>[1]CRP_Outcome_CRP!$C23</f>
        <v>0</v>
      </c>
      <c r="D23">
        <f>[1]CRP_Outcome_CRP!$D23</f>
        <v>0</v>
      </c>
      <c r="E23">
        <f>[1]CRP_Outcome_CRP!$E23</f>
        <v>0</v>
      </c>
      <c r="G23">
        <f>[2]CRP_Outcome_CRP!$B23</f>
        <v>0</v>
      </c>
      <c r="H23">
        <f>[2]CRP_Outcome_CRP!$C23</f>
        <v>0</v>
      </c>
      <c r="I23">
        <f>[2]CRP_Outcome_CRP!$D23</f>
        <v>0</v>
      </c>
      <c r="J23">
        <f>[2]CRP_Outcome_CRP!$E23</f>
        <v>0</v>
      </c>
      <c r="L23">
        <f>[3]CRP_Outcome_CRP!$B23</f>
        <v>0</v>
      </c>
      <c r="M23">
        <f>[3]CRP_Outcome_CRP!$C23</f>
        <v>0</v>
      </c>
      <c r="N23">
        <f>[3]CRP_Outcome_CRP!$D23</f>
        <v>0</v>
      </c>
      <c r="O23">
        <f>[3]CRP_Outcome_CRP!$E23</f>
        <v>0</v>
      </c>
      <c r="Q23">
        <f>[4]CRP_Outcome_CRP!$B23</f>
        <v>0</v>
      </c>
      <c r="R23">
        <f>[4]CRP_Outcome_CRP!$C23</f>
        <v>0</v>
      </c>
      <c r="S23">
        <f>[4]CRP_Outcome_CRP!$D23</f>
        <v>0</v>
      </c>
      <c r="T23">
        <f>[4]CRP_Outcome_CRP!$E23</f>
        <v>0</v>
      </c>
      <c r="V23">
        <f>[5]CRP_Outcome_CRP!$B23</f>
        <v>0</v>
      </c>
      <c r="W23">
        <f>[5]CRP_Outcome_CRP!$C23</f>
        <v>0</v>
      </c>
      <c r="X23">
        <f>[5]CRP_Outcome_CRP!$D23</f>
        <v>0</v>
      </c>
      <c r="Y23">
        <f>[5]CRP_Outcome_CRP!$E23</f>
        <v>0</v>
      </c>
      <c r="AA23">
        <f>[6]CRP_Outcome_CRP!$B23</f>
        <v>0</v>
      </c>
      <c r="AB23">
        <f>[6]CRP_Outcome_CRP!$C23</f>
        <v>0</v>
      </c>
      <c r="AC23">
        <f>[6]CRP_Outcome_CRP!$D23</f>
        <v>0</v>
      </c>
      <c r="AD23">
        <f>[6]CRP_Outcome_CRP!$E23</f>
        <v>0</v>
      </c>
      <c r="AF23">
        <f>[7]CRP_Outcome_CRP!$B23</f>
        <v>0</v>
      </c>
      <c r="AG23">
        <f>[7]CRP_Outcome_CRP!$C23</f>
        <v>0</v>
      </c>
      <c r="AH23">
        <f>[7]CRP_Outcome_CRP!$D23</f>
        <v>0</v>
      </c>
      <c r="AI23">
        <f>[7]CRP_Outcome_CRP!$E23</f>
        <v>0</v>
      </c>
      <c r="AK23">
        <f>[8]CRP_Outcome_CRP!$B23</f>
        <v>0</v>
      </c>
      <c r="AL23">
        <f>[8]CRP_Outcome_CRP!$C23</f>
        <v>0</v>
      </c>
      <c r="AM23">
        <f>[8]CRP_Outcome_CRP!$D23</f>
        <v>0</v>
      </c>
      <c r="AN23">
        <f>[8]CRP_Outcome_CRP!$E23</f>
        <v>0</v>
      </c>
      <c r="AP23">
        <f>[9]CRP_Outcome_CRP!$B23</f>
        <v>0</v>
      </c>
      <c r="AQ23">
        <f>[9]CRP_Outcome_CRP!$C23</f>
        <v>0</v>
      </c>
      <c r="AR23">
        <f>[9]CRP_Outcome_CRP!$D23</f>
        <v>0</v>
      </c>
      <c r="AS23">
        <f>[9]CRP_Outcome_CRP!$E23</f>
        <v>0</v>
      </c>
      <c r="AU23">
        <f>[10]CRP_Outcome_CRP!$B23</f>
        <v>0</v>
      </c>
      <c r="AV23">
        <f>[10]CRP_Outcome_CRP!$C23</f>
        <v>0</v>
      </c>
      <c r="AW23">
        <f>[10]CRP_Outcome_CRP!$D23</f>
        <v>0</v>
      </c>
      <c r="AX23">
        <f>[10]CRP_Outcome_CRP!$E23</f>
        <v>0</v>
      </c>
      <c r="BA23">
        <f t="shared" si="1"/>
        <v>0</v>
      </c>
      <c r="BB23">
        <f t="shared" si="1"/>
        <v>0</v>
      </c>
      <c r="BC23">
        <f t="shared" si="1"/>
        <v>0</v>
      </c>
      <c r="BD23">
        <f t="shared" si="1"/>
        <v>0</v>
      </c>
    </row>
    <row r="24" spans="1:56" x14ac:dyDescent="0.35">
      <c r="A24">
        <v>22</v>
      </c>
      <c r="B24">
        <f>[1]CRP_Outcome_CRP!$B24</f>
        <v>0</v>
      </c>
      <c r="C24">
        <f>[1]CRP_Outcome_CRP!$C24</f>
        <v>11</v>
      </c>
      <c r="D24">
        <f>[1]CRP_Outcome_CRP!$D24</f>
        <v>0</v>
      </c>
      <c r="E24">
        <f>[1]CRP_Outcome_CRP!$E24</f>
        <v>0</v>
      </c>
      <c r="G24">
        <f>[2]CRP_Outcome_CRP!$B24</f>
        <v>3</v>
      </c>
      <c r="H24">
        <f>[2]CRP_Outcome_CRP!$C24</f>
        <v>0</v>
      </c>
      <c r="I24">
        <f>[2]CRP_Outcome_CRP!$D24</f>
        <v>0</v>
      </c>
      <c r="J24">
        <f>[2]CRP_Outcome_CRP!$E24</f>
        <v>0</v>
      </c>
      <c r="L24">
        <f>[3]CRP_Outcome_CRP!$B24</f>
        <v>1</v>
      </c>
      <c r="M24">
        <f>[3]CRP_Outcome_CRP!$C24</f>
        <v>0</v>
      </c>
      <c r="N24">
        <f>[3]CRP_Outcome_CRP!$D24</f>
        <v>0</v>
      </c>
      <c r="O24">
        <f>[3]CRP_Outcome_CRP!$E24</f>
        <v>0</v>
      </c>
      <c r="Q24">
        <f>[4]CRP_Outcome_CRP!$B24</f>
        <v>0</v>
      </c>
      <c r="R24">
        <f>[4]CRP_Outcome_CRP!$C24</f>
        <v>1</v>
      </c>
      <c r="S24">
        <f>[4]CRP_Outcome_CRP!$D24</f>
        <v>0</v>
      </c>
      <c r="T24">
        <f>[4]CRP_Outcome_CRP!$E24</f>
        <v>0</v>
      </c>
      <c r="V24">
        <f>[5]CRP_Outcome_CRP!$B24</f>
        <v>2</v>
      </c>
      <c r="W24">
        <f>[5]CRP_Outcome_CRP!$C24</f>
        <v>0</v>
      </c>
      <c r="X24">
        <f>[5]CRP_Outcome_CRP!$D24</f>
        <v>0</v>
      </c>
      <c r="Y24">
        <f>[5]CRP_Outcome_CRP!$E24</f>
        <v>0</v>
      </c>
      <c r="AA24">
        <f>[6]CRP_Outcome_CRP!$B24</f>
        <v>2</v>
      </c>
      <c r="AB24">
        <f>[6]CRP_Outcome_CRP!$C24</f>
        <v>0</v>
      </c>
      <c r="AC24">
        <f>[6]CRP_Outcome_CRP!$D24</f>
        <v>0</v>
      </c>
      <c r="AD24">
        <f>[6]CRP_Outcome_CRP!$E24</f>
        <v>0</v>
      </c>
      <c r="AF24">
        <f>[7]CRP_Outcome_CRP!$B24</f>
        <v>3</v>
      </c>
      <c r="AG24">
        <f>[7]CRP_Outcome_CRP!$C24</f>
        <v>0</v>
      </c>
      <c r="AH24">
        <f>[7]CRP_Outcome_CRP!$D24</f>
        <v>0</v>
      </c>
      <c r="AI24">
        <f>[7]CRP_Outcome_CRP!$E24</f>
        <v>0</v>
      </c>
      <c r="AK24">
        <f>[8]CRP_Outcome_CRP!$B24</f>
        <v>3</v>
      </c>
      <c r="AL24">
        <f>[8]CRP_Outcome_CRP!$C24</f>
        <v>0</v>
      </c>
      <c r="AM24">
        <f>[8]CRP_Outcome_CRP!$D24</f>
        <v>0</v>
      </c>
      <c r="AN24">
        <f>[8]CRP_Outcome_CRP!$E24</f>
        <v>0</v>
      </c>
      <c r="AP24">
        <f>[9]CRP_Outcome_CRP!$B24</f>
        <v>0</v>
      </c>
      <c r="AQ24">
        <f>[9]CRP_Outcome_CRP!$C24</f>
        <v>0</v>
      </c>
      <c r="AR24">
        <f>[9]CRP_Outcome_CRP!$D24</f>
        <v>0</v>
      </c>
      <c r="AS24">
        <f>[9]CRP_Outcome_CRP!$E24</f>
        <v>0</v>
      </c>
      <c r="AU24">
        <f>[10]CRP_Outcome_CRP!$B24</f>
        <v>0</v>
      </c>
      <c r="AV24">
        <f>[10]CRP_Outcome_CRP!$C24</f>
        <v>0</v>
      </c>
      <c r="AW24">
        <f>[10]CRP_Outcome_CRP!$D24</f>
        <v>0</v>
      </c>
      <c r="AX24">
        <f>[10]CRP_Outcome_CRP!$E24</f>
        <v>0</v>
      </c>
      <c r="BA24">
        <f t="shared" si="1"/>
        <v>1.4</v>
      </c>
      <c r="BB24">
        <f t="shared" si="1"/>
        <v>1.2</v>
      </c>
      <c r="BC24">
        <f t="shared" si="1"/>
        <v>0</v>
      </c>
      <c r="BD24">
        <f t="shared" si="1"/>
        <v>0</v>
      </c>
    </row>
    <row r="25" spans="1:56" x14ac:dyDescent="0.35">
      <c r="A25">
        <v>23</v>
      </c>
      <c r="B25">
        <f>[1]CRP_Outcome_CRP!$B25</f>
        <v>0</v>
      </c>
      <c r="C25">
        <f>[1]CRP_Outcome_CRP!$C25</f>
        <v>9</v>
      </c>
      <c r="D25">
        <f>[1]CRP_Outcome_CRP!$D25</f>
        <v>0</v>
      </c>
      <c r="E25">
        <f>[1]CRP_Outcome_CRP!$E25</f>
        <v>0</v>
      </c>
      <c r="G25">
        <f>[2]CRP_Outcome_CRP!$B25</f>
        <v>0</v>
      </c>
      <c r="H25">
        <f>[2]CRP_Outcome_CRP!$C25</f>
        <v>6</v>
      </c>
      <c r="I25">
        <f>[2]CRP_Outcome_CRP!$D25</f>
        <v>0</v>
      </c>
      <c r="J25">
        <f>[2]CRP_Outcome_CRP!$E25</f>
        <v>0</v>
      </c>
      <c r="L25">
        <f>[3]CRP_Outcome_CRP!$B25</f>
        <v>0</v>
      </c>
      <c r="M25">
        <f>[3]CRP_Outcome_CRP!$C25</f>
        <v>0</v>
      </c>
      <c r="N25">
        <f>[3]CRP_Outcome_CRP!$D25</f>
        <v>0</v>
      </c>
      <c r="O25">
        <f>[3]CRP_Outcome_CRP!$E25</f>
        <v>0</v>
      </c>
      <c r="Q25">
        <f>[4]CRP_Outcome_CRP!$B25</f>
        <v>0</v>
      </c>
      <c r="R25">
        <f>[4]CRP_Outcome_CRP!$C25</f>
        <v>3</v>
      </c>
      <c r="S25">
        <f>[4]CRP_Outcome_CRP!$D25</f>
        <v>0</v>
      </c>
      <c r="T25">
        <f>[4]CRP_Outcome_CRP!$E25</f>
        <v>0</v>
      </c>
      <c r="V25">
        <f>[5]CRP_Outcome_CRP!$B25</f>
        <v>0</v>
      </c>
      <c r="W25">
        <f>[5]CRP_Outcome_CRP!$C25</f>
        <v>1</v>
      </c>
      <c r="X25">
        <f>[5]CRP_Outcome_CRP!$D25</f>
        <v>0</v>
      </c>
      <c r="Y25">
        <f>[5]CRP_Outcome_CRP!$E25</f>
        <v>0</v>
      </c>
      <c r="AA25">
        <f>[6]CRP_Outcome_CRP!$B25</f>
        <v>0</v>
      </c>
      <c r="AB25">
        <f>[6]CRP_Outcome_CRP!$C25</f>
        <v>1</v>
      </c>
      <c r="AC25">
        <f>[6]CRP_Outcome_CRP!$D25</f>
        <v>0</v>
      </c>
      <c r="AD25">
        <f>[6]CRP_Outcome_CRP!$E25</f>
        <v>0</v>
      </c>
      <c r="AF25">
        <f>[7]CRP_Outcome_CRP!$B25</f>
        <v>0</v>
      </c>
      <c r="AG25">
        <f>[7]CRP_Outcome_CRP!$C25</f>
        <v>17</v>
      </c>
      <c r="AH25">
        <f>[7]CRP_Outcome_CRP!$D25</f>
        <v>0</v>
      </c>
      <c r="AI25">
        <f>[7]CRP_Outcome_CRP!$E25</f>
        <v>0</v>
      </c>
      <c r="AK25">
        <f>[8]CRP_Outcome_CRP!$B25</f>
        <v>0</v>
      </c>
      <c r="AL25">
        <f>[8]CRP_Outcome_CRP!$C25</f>
        <v>0</v>
      </c>
      <c r="AM25">
        <f>[8]CRP_Outcome_CRP!$D25</f>
        <v>0</v>
      </c>
      <c r="AN25">
        <f>[8]CRP_Outcome_CRP!$E25</f>
        <v>0</v>
      </c>
      <c r="AP25">
        <f>[9]CRP_Outcome_CRP!$B25</f>
        <v>0</v>
      </c>
      <c r="AQ25">
        <f>[9]CRP_Outcome_CRP!$C25</f>
        <v>0</v>
      </c>
      <c r="AR25">
        <f>[9]CRP_Outcome_CRP!$D25</f>
        <v>0</v>
      </c>
      <c r="AS25">
        <f>[9]CRP_Outcome_CRP!$E25</f>
        <v>0</v>
      </c>
      <c r="AU25">
        <f>[10]CRP_Outcome_CRP!$B25</f>
        <v>0</v>
      </c>
      <c r="AV25">
        <f>[10]CRP_Outcome_CRP!$C25</f>
        <v>0</v>
      </c>
      <c r="AW25">
        <f>[10]CRP_Outcome_CRP!$D25</f>
        <v>0</v>
      </c>
      <c r="AX25">
        <f>[10]CRP_Outcome_CRP!$E25</f>
        <v>0</v>
      </c>
      <c r="BA25">
        <f t="shared" si="1"/>
        <v>0</v>
      </c>
      <c r="BB25">
        <f t="shared" si="1"/>
        <v>3.7</v>
      </c>
      <c r="BC25">
        <f t="shared" si="1"/>
        <v>0</v>
      </c>
      <c r="BD25">
        <f t="shared" si="1"/>
        <v>0</v>
      </c>
    </row>
    <row r="26" spans="1:56" x14ac:dyDescent="0.35">
      <c r="A26">
        <v>24</v>
      </c>
      <c r="B26">
        <f>[1]CRP_Outcome_CRP!$B26</f>
        <v>0</v>
      </c>
      <c r="C26">
        <f>[1]CRP_Outcome_CRP!$C26</f>
        <v>0</v>
      </c>
      <c r="D26">
        <f>[1]CRP_Outcome_CRP!$D26</f>
        <v>0</v>
      </c>
      <c r="E26">
        <f>[1]CRP_Outcome_CRP!$E26</f>
        <v>0</v>
      </c>
      <c r="G26">
        <f>[2]CRP_Outcome_CRP!$B26</f>
        <v>0</v>
      </c>
      <c r="H26">
        <f>[2]CRP_Outcome_CRP!$C26</f>
        <v>11</v>
      </c>
      <c r="I26">
        <f>[2]CRP_Outcome_CRP!$D26</f>
        <v>0</v>
      </c>
      <c r="J26">
        <f>[2]CRP_Outcome_CRP!$E26</f>
        <v>0</v>
      </c>
      <c r="L26">
        <f>[3]CRP_Outcome_CRP!$B26</f>
        <v>0</v>
      </c>
      <c r="M26">
        <f>[3]CRP_Outcome_CRP!$C26</f>
        <v>6</v>
      </c>
      <c r="N26">
        <f>[3]CRP_Outcome_CRP!$D26</f>
        <v>0</v>
      </c>
      <c r="O26">
        <f>[3]CRP_Outcome_CRP!$E26</f>
        <v>0</v>
      </c>
      <c r="Q26">
        <f>[4]CRP_Outcome_CRP!$B26</f>
        <v>0</v>
      </c>
      <c r="R26">
        <f>[4]CRP_Outcome_CRP!$C26</f>
        <v>1</v>
      </c>
      <c r="S26">
        <f>[4]CRP_Outcome_CRP!$D26</f>
        <v>0</v>
      </c>
      <c r="T26">
        <f>[4]CRP_Outcome_CRP!$E26</f>
        <v>0</v>
      </c>
      <c r="V26">
        <f>[5]CRP_Outcome_CRP!$B26</f>
        <v>0</v>
      </c>
      <c r="W26">
        <f>[5]CRP_Outcome_CRP!$C26</f>
        <v>10</v>
      </c>
      <c r="X26">
        <f>[5]CRP_Outcome_CRP!$D26</f>
        <v>0</v>
      </c>
      <c r="Y26">
        <f>[5]CRP_Outcome_CRP!$E26</f>
        <v>0</v>
      </c>
      <c r="AA26">
        <f>[6]CRP_Outcome_CRP!$B26</f>
        <v>0</v>
      </c>
      <c r="AB26">
        <f>[6]CRP_Outcome_CRP!$C26</f>
        <v>10</v>
      </c>
      <c r="AC26">
        <f>[6]CRP_Outcome_CRP!$D26</f>
        <v>0</v>
      </c>
      <c r="AD26">
        <f>[6]CRP_Outcome_CRP!$E26</f>
        <v>0</v>
      </c>
      <c r="AF26">
        <f>[7]CRP_Outcome_CRP!$B26</f>
        <v>0</v>
      </c>
      <c r="AG26">
        <f>[7]CRP_Outcome_CRP!$C26</f>
        <v>13</v>
      </c>
      <c r="AH26">
        <f>[7]CRP_Outcome_CRP!$D26</f>
        <v>0</v>
      </c>
      <c r="AI26">
        <f>[7]CRP_Outcome_CRP!$E26</f>
        <v>0</v>
      </c>
      <c r="AK26">
        <f>[8]CRP_Outcome_CRP!$B26</f>
        <v>0</v>
      </c>
      <c r="AL26">
        <f>[8]CRP_Outcome_CRP!$C26</f>
        <v>8</v>
      </c>
      <c r="AM26">
        <f>[8]CRP_Outcome_CRP!$D26</f>
        <v>0</v>
      </c>
      <c r="AN26">
        <f>[8]CRP_Outcome_CRP!$E26</f>
        <v>0</v>
      </c>
      <c r="AP26">
        <f>[9]CRP_Outcome_CRP!$B26</f>
        <v>0</v>
      </c>
      <c r="AQ26">
        <f>[9]CRP_Outcome_CRP!$C26</f>
        <v>0</v>
      </c>
      <c r="AR26">
        <f>[9]CRP_Outcome_CRP!$D26</f>
        <v>0</v>
      </c>
      <c r="AS26">
        <f>[9]CRP_Outcome_CRP!$E26</f>
        <v>0</v>
      </c>
      <c r="AU26">
        <f>[10]CRP_Outcome_CRP!$B26</f>
        <v>0</v>
      </c>
      <c r="AV26">
        <f>[10]CRP_Outcome_CRP!$C26</f>
        <v>0</v>
      </c>
      <c r="AW26">
        <f>[10]CRP_Outcome_CRP!$D26</f>
        <v>0</v>
      </c>
      <c r="AX26">
        <f>[10]CRP_Outcome_CRP!$E26</f>
        <v>0</v>
      </c>
      <c r="BA26">
        <f t="shared" si="1"/>
        <v>0</v>
      </c>
      <c r="BB26">
        <f t="shared" si="1"/>
        <v>5.9</v>
      </c>
      <c r="BC26">
        <f t="shared" si="1"/>
        <v>0</v>
      </c>
      <c r="BD26">
        <f t="shared" si="1"/>
        <v>0</v>
      </c>
    </row>
    <row r="27" spans="1:56" x14ac:dyDescent="0.35">
      <c r="A27">
        <v>25</v>
      </c>
      <c r="B27">
        <f>[1]CRP_Outcome_CRP!$B27</f>
        <v>0</v>
      </c>
      <c r="C27">
        <f>[1]CRP_Outcome_CRP!$C27</f>
        <v>0</v>
      </c>
      <c r="D27">
        <f>[1]CRP_Outcome_CRP!$D27</f>
        <v>0</v>
      </c>
      <c r="E27">
        <f>[1]CRP_Outcome_CRP!$E27</f>
        <v>0</v>
      </c>
      <c r="G27">
        <f>[2]CRP_Outcome_CRP!$B27</f>
        <v>0</v>
      </c>
      <c r="H27">
        <f>[2]CRP_Outcome_CRP!$C27</f>
        <v>0</v>
      </c>
      <c r="I27">
        <f>[2]CRP_Outcome_CRP!$D27</f>
        <v>0</v>
      </c>
      <c r="J27">
        <f>[2]CRP_Outcome_CRP!$E27</f>
        <v>0</v>
      </c>
      <c r="L27">
        <f>[3]CRP_Outcome_CRP!$B27</f>
        <v>0</v>
      </c>
      <c r="M27">
        <f>[3]CRP_Outcome_CRP!$C27</f>
        <v>0</v>
      </c>
      <c r="N27">
        <f>[3]CRP_Outcome_CRP!$D27</f>
        <v>0</v>
      </c>
      <c r="O27">
        <f>[3]CRP_Outcome_CRP!$E27</f>
        <v>0</v>
      </c>
      <c r="Q27">
        <f>[4]CRP_Outcome_CRP!$B27</f>
        <v>0</v>
      </c>
      <c r="R27">
        <f>[4]CRP_Outcome_CRP!$C27</f>
        <v>0</v>
      </c>
      <c r="S27">
        <f>[4]CRP_Outcome_CRP!$D27</f>
        <v>0</v>
      </c>
      <c r="T27">
        <f>[4]CRP_Outcome_CRP!$E27</f>
        <v>0</v>
      </c>
      <c r="V27">
        <f>[5]CRP_Outcome_CRP!$B27</f>
        <v>0</v>
      </c>
      <c r="W27">
        <f>[5]CRP_Outcome_CRP!$C27</f>
        <v>0</v>
      </c>
      <c r="X27">
        <f>[5]CRP_Outcome_CRP!$D27</f>
        <v>0</v>
      </c>
      <c r="Y27">
        <f>[5]CRP_Outcome_CRP!$E27</f>
        <v>0</v>
      </c>
      <c r="AA27">
        <f>[6]CRP_Outcome_CRP!$B27</f>
        <v>0</v>
      </c>
      <c r="AB27">
        <f>[6]CRP_Outcome_CRP!$C27</f>
        <v>0</v>
      </c>
      <c r="AC27">
        <f>[6]CRP_Outcome_CRP!$D27</f>
        <v>0</v>
      </c>
      <c r="AD27">
        <f>[6]CRP_Outcome_CRP!$E27</f>
        <v>0</v>
      </c>
      <c r="AF27">
        <f>[7]CRP_Outcome_CRP!$B27</f>
        <v>0</v>
      </c>
      <c r="AG27">
        <f>[7]CRP_Outcome_CRP!$C27</f>
        <v>0</v>
      </c>
      <c r="AH27">
        <f>[7]CRP_Outcome_CRP!$D27</f>
        <v>0</v>
      </c>
      <c r="AI27">
        <f>[7]CRP_Outcome_CRP!$E27</f>
        <v>0</v>
      </c>
      <c r="AK27">
        <f>[8]CRP_Outcome_CRP!$B27</f>
        <v>0</v>
      </c>
      <c r="AL27">
        <f>[8]CRP_Outcome_CRP!$C27</f>
        <v>0</v>
      </c>
      <c r="AM27">
        <f>[8]CRP_Outcome_CRP!$D27</f>
        <v>0</v>
      </c>
      <c r="AN27">
        <f>[8]CRP_Outcome_CRP!$E27</f>
        <v>0</v>
      </c>
      <c r="AP27">
        <f>[9]CRP_Outcome_CRP!$B27</f>
        <v>0</v>
      </c>
      <c r="AQ27">
        <f>[9]CRP_Outcome_CRP!$C27</f>
        <v>0</v>
      </c>
      <c r="AR27">
        <f>[9]CRP_Outcome_CRP!$D27</f>
        <v>0</v>
      </c>
      <c r="AS27">
        <f>[9]CRP_Outcome_CRP!$E27</f>
        <v>0</v>
      </c>
      <c r="AU27">
        <f>[10]CRP_Outcome_CRP!$B27</f>
        <v>0</v>
      </c>
      <c r="AV27">
        <f>[10]CRP_Outcome_CRP!$C27</f>
        <v>10</v>
      </c>
      <c r="AW27">
        <f>[10]CRP_Outcome_CRP!$D27</f>
        <v>0</v>
      </c>
      <c r="AX27">
        <f>[10]CRP_Outcome_CRP!$E27</f>
        <v>0</v>
      </c>
      <c r="BA27">
        <f t="shared" si="1"/>
        <v>0</v>
      </c>
      <c r="BB27">
        <f t="shared" si="1"/>
        <v>1</v>
      </c>
      <c r="BC27">
        <f t="shared" si="1"/>
        <v>0</v>
      </c>
      <c r="BD27">
        <f t="shared" si="1"/>
        <v>0</v>
      </c>
    </row>
    <row r="28" spans="1:56" x14ac:dyDescent="0.35">
      <c r="A28">
        <v>26</v>
      </c>
      <c r="B28">
        <f>[1]CRP_Outcome_CRP!$B28</f>
        <v>0</v>
      </c>
      <c r="C28">
        <f>[1]CRP_Outcome_CRP!$C28</f>
        <v>0</v>
      </c>
      <c r="D28">
        <f>[1]CRP_Outcome_CRP!$D28</f>
        <v>0</v>
      </c>
      <c r="E28">
        <f>[1]CRP_Outcome_CRP!$E28</f>
        <v>0</v>
      </c>
      <c r="G28">
        <f>[2]CRP_Outcome_CRP!$B28</f>
        <v>0</v>
      </c>
      <c r="H28">
        <f>[2]CRP_Outcome_CRP!$C28</f>
        <v>0</v>
      </c>
      <c r="I28">
        <f>[2]CRP_Outcome_CRP!$D28</f>
        <v>0</v>
      </c>
      <c r="J28">
        <f>[2]CRP_Outcome_CRP!$E28</f>
        <v>0</v>
      </c>
      <c r="L28">
        <f>[3]CRP_Outcome_CRP!$B28</f>
        <v>0</v>
      </c>
      <c r="M28">
        <f>[3]CRP_Outcome_CRP!$C28</f>
        <v>0</v>
      </c>
      <c r="N28">
        <f>[3]CRP_Outcome_CRP!$D28</f>
        <v>0</v>
      </c>
      <c r="O28">
        <f>[3]CRP_Outcome_CRP!$E28</f>
        <v>0</v>
      </c>
      <c r="Q28">
        <f>[4]CRP_Outcome_CRP!$B28</f>
        <v>0</v>
      </c>
      <c r="R28">
        <f>[4]CRP_Outcome_CRP!$C28</f>
        <v>0</v>
      </c>
      <c r="S28">
        <f>[4]CRP_Outcome_CRP!$D28</f>
        <v>0</v>
      </c>
      <c r="T28">
        <f>[4]CRP_Outcome_CRP!$E28</f>
        <v>0</v>
      </c>
      <c r="V28">
        <f>[5]CRP_Outcome_CRP!$B28</f>
        <v>0</v>
      </c>
      <c r="W28">
        <f>[5]CRP_Outcome_CRP!$C28</f>
        <v>0</v>
      </c>
      <c r="X28">
        <f>[5]CRP_Outcome_CRP!$D28</f>
        <v>0</v>
      </c>
      <c r="Y28">
        <f>[5]CRP_Outcome_CRP!$E28</f>
        <v>0</v>
      </c>
      <c r="AA28">
        <f>[6]CRP_Outcome_CRP!$B28</f>
        <v>0</v>
      </c>
      <c r="AB28">
        <f>[6]CRP_Outcome_CRP!$C28</f>
        <v>0</v>
      </c>
      <c r="AC28">
        <f>[6]CRP_Outcome_CRP!$D28</f>
        <v>0</v>
      </c>
      <c r="AD28">
        <f>[6]CRP_Outcome_CRP!$E28</f>
        <v>0</v>
      </c>
      <c r="AF28">
        <f>[7]CRP_Outcome_CRP!$B28</f>
        <v>0</v>
      </c>
      <c r="AG28">
        <f>[7]CRP_Outcome_CRP!$C28</f>
        <v>0</v>
      </c>
      <c r="AH28">
        <f>[7]CRP_Outcome_CRP!$D28</f>
        <v>0</v>
      </c>
      <c r="AI28">
        <f>[7]CRP_Outcome_CRP!$E28</f>
        <v>0</v>
      </c>
      <c r="AK28">
        <f>[8]CRP_Outcome_CRP!$B28</f>
        <v>0</v>
      </c>
      <c r="AL28">
        <f>[8]CRP_Outcome_CRP!$C28</f>
        <v>0</v>
      </c>
      <c r="AM28">
        <f>[8]CRP_Outcome_CRP!$D28</f>
        <v>0</v>
      </c>
      <c r="AN28">
        <f>[8]CRP_Outcome_CRP!$E28</f>
        <v>0</v>
      </c>
      <c r="AP28">
        <f>[9]CRP_Outcome_CRP!$B28</f>
        <v>0</v>
      </c>
      <c r="AQ28">
        <f>[9]CRP_Outcome_CRP!$C28</f>
        <v>0</v>
      </c>
      <c r="AR28">
        <f>[9]CRP_Outcome_CRP!$D28</f>
        <v>0</v>
      </c>
      <c r="AS28">
        <f>[9]CRP_Outcome_CRP!$E28</f>
        <v>0</v>
      </c>
      <c r="AU28">
        <f>[10]CRP_Outcome_CRP!$B28</f>
        <v>0</v>
      </c>
      <c r="AV28">
        <f>[10]CRP_Outcome_CRP!$C28</f>
        <v>0</v>
      </c>
      <c r="AW28">
        <f>[10]CRP_Outcome_CRP!$D28</f>
        <v>0</v>
      </c>
      <c r="AX28">
        <f>[10]CRP_Outcome_CRP!$E28</f>
        <v>0</v>
      </c>
      <c r="BA28">
        <f t="shared" si="1"/>
        <v>0</v>
      </c>
      <c r="BB28">
        <f t="shared" si="1"/>
        <v>0</v>
      </c>
      <c r="BC28">
        <f t="shared" si="1"/>
        <v>0</v>
      </c>
      <c r="BD28">
        <f t="shared" si="1"/>
        <v>0</v>
      </c>
    </row>
    <row r="29" spans="1:56" x14ac:dyDescent="0.35">
      <c r="A29">
        <v>27</v>
      </c>
      <c r="B29">
        <f>[1]CRP_Outcome_CRP!$B29</f>
        <v>0</v>
      </c>
      <c r="C29">
        <f>[1]CRP_Outcome_CRP!$C29</f>
        <v>0</v>
      </c>
      <c r="D29">
        <f>[1]CRP_Outcome_CRP!$D29</f>
        <v>0</v>
      </c>
      <c r="E29">
        <f>[1]CRP_Outcome_CRP!$E29</f>
        <v>0</v>
      </c>
      <c r="G29">
        <f>[2]CRP_Outcome_CRP!$B29</f>
        <v>2</v>
      </c>
      <c r="H29">
        <f>[2]CRP_Outcome_CRP!$C29</f>
        <v>0</v>
      </c>
      <c r="I29">
        <f>[2]CRP_Outcome_CRP!$D29</f>
        <v>0</v>
      </c>
      <c r="J29">
        <f>[2]CRP_Outcome_CRP!$E29</f>
        <v>0</v>
      </c>
      <c r="L29">
        <f>[3]CRP_Outcome_CRP!$B29</f>
        <v>0</v>
      </c>
      <c r="M29">
        <f>[3]CRP_Outcome_CRP!$C29</f>
        <v>0</v>
      </c>
      <c r="N29">
        <f>[3]CRP_Outcome_CRP!$D29</f>
        <v>0</v>
      </c>
      <c r="O29">
        <f>[3]CRP_Outcome_CRP!$E29</f>
        <v>0</v>
      </c>
      <c r="Q29">
        <f>[4]CRP_Outcome_CRP!$B29</f>
        <v>0</v>
      </c>
      <c r="R29">
        <f>[4]CRP_Outcome_CRP!$C29</f>
        <v>0</v>
      </c>
      <c r="S29">
        <f>[4]CRP_Outcome_CRP!$D29</f>
        <v>0</v>
      </c>
      <c r="T29">
        <f>[4]CRP_Outcome_CRP!$E29</f>
        <v>0</v>
      </c>
      <c r="V29">
        <f>[5]CRP_Outcome_CRP!$B29</f>
        <v>0</v>
      </c>
      <c r="W29">
        <f>[5]CRP_Outcome_CRP!$C29</f>
        <v>0</v>
      </c>
      <c r="X29">
        <f>[5]CRP_Outcome_CRP!$D29</f>
        <v>0</v>
      </c>
      <c r="Y29">
        <f>[5]CRP_Outcome_CRP!$E29</f>
        <v>0</v>
      </c>
      <c r="AA29">
        <f>[6]CRP_Outcome_CRP!$B29</f>
        <v>0</v>
      </c>
      <c r="AB29">
        <f>[6]CRP_Outcome_CRP!$C29</f>
        <v>0</v>
      </c>
      <c r="AC29">
        <f>[6]CRP_Outcome_CRP!$D29</f>
        <v>0</v>
      </c>
      <c r="AD29">
        <f>[6]CRP_Outcome_CRP!$E29</f>
        <v>0</v>
      </c>
      <c r="AF29">
        <f>[7]CRP_Outcome_CRP!$B29</f>
        <v>0</v>
      </c>
      <c r="AG29">
        <f>[7]CRP_Outcome_CRP!$C29</f>
        <v>0</v>
      </c>
      <c r="AH29">
        <f>[7]CRP_Outcome_CRP!$D29</f>
        <v>0</v>
      </c>
      <c r="AI29">
        <f>[7]CRP_Outcome_CRP!$E29</f>
        <v>0</v>
      </c>
      <c r="AK29">
        <f>[8]CRP_Outcome_CRP!$B29</f>
        <v>0</v>
      </c>
      <c r="AL29">
        <f>[8]CRP_Outcome_CRP!$C29</f>
        <v>0</v>
      </c>
      <c r="AM29">
        <f>[8]CRP_Outcome_CRP!$D29</f>
        <v>0</v>
      </c>
      <c r="AN29">
        <f>[8]CRP_Outcome_CRP!$E29</f>
        <v>0</v>
      </c>
      <c r="AP29">
        <f>[9]CRP_Outcome_CRP!$B29</f>
        <v>0</v>
      </c>
      <c r="AQ29">
        <f>[9]CRP_Outcome_CRP!$C29</f>
        <v>0</v>
      </c>
      <c r="AR29">
        <f>[9]CRP_Outcome_CRP!$D29</f>
        <v>0</v>
      </c>
      <c r="AS29">
        <f>[9]CRP_Outcome_CRP!$E29</f>
        <v>0</v>
      </c>
      <c r="AU29">
        <f>[10]CRP_Outcome_CRP!$B29</f>
        <v>0</v>
      </c>
      <c r="AV29">
        <f>[10]CRP_Outcome_CRP!$C29</f>
        <v>0</v>
      </c>
      <c r="AW29">
        <f>[10]CRP_Outcome_CRP!$D29</f>
        <v>0</v>
      </c>
      <c r="AX29">
        <f>[10]CRP_Outcome_CRP!$E29</f>
        <v>0</v>
      </c>
      <c r="BA29">
        <f t="shared" si="1"/>
        <v>0.2</v>
      </c>
      <c r="BB29">
        <f t="shared" si="1"/>
        <v>0</v>
      </c>
      <c r="BC29">
        <f t="shared" si="1"/>
        <v>0</v>
      </c>
      <c r="BD29">
        <f t="shared" si="1"/>
        <v>0</v>
      </c>
    </row>
    <row r="30" spans="1:56" x14ac:dyDescent="0.35">
      <c r="A30">
        <v>28</v>
      </c>
      <c r="B30">
        <f>[1]CRP_Outcome_CRP!$B30</f>
        <v>0</v>
      </c>
      <c r="C30">
        <f>[1]CRP_Outcome_CRP!$C30</f>
        <v>8</v>
      </c>
      <c r="D30">
        <f>[1]CRP_Outcome_CRP!$D30</f>
        <v>0</v>
      </c>
      <c r="E30">
        <f>[1]CRP_Outcome_CRP!$E30</f>
        <v>0</v>
      </c>
      <c r="G30">
        <f>[2]CRP_Outcome_CRP!$B30</f>
        <v>0</v>
      </c>
      <c r="H30">
        <f>[2]CRP_Outcome_CRP!$C30</f>
        <v>4</v>
      </c>
      <c r="I30">
        <f>[2]CRP_Outcome_CRP!$D30</f>
        <v>0</v>
      </c>
      <c r="J30">
        <f>[2]CRP_Outcome_CRP!$E30</f>
        <v>0</v>
      </c>
      <c r="L30">
        <f>[3]CRP_Outcome_CRP!$B30</f>
        <v>0</v>
      </c>
      <c r="M30">
        <f>[3]CRP_Outcome_CRP!$C30</f>
        <v>0</v>
      </c>
      <c r="N30">
        <f>[3]CRP_Outcome_CRP!$D30</f>
        <v>0</v>
      </c>
      <c r="O30">
        <f>[3]CRP_Outcome_CRP!$E30</f>
        <v>0</v>
      </c>
      <c r="Q30">
        <f>[4]CRP_Outcome_CRP!$B30</f>
        <v>0</v>
      </c>
      <c r="R30">
        <f>[4]CRP_Outcome_CRP!$C30</f>
        <v>0</v>
      </c>
      <c r="S30">
        <f>[4]CRP_Outcome_CRP!$D30</f>
        <v>0</v>
      </c>
      <c r="T30">
        <f>[4]CRP_Outcome_CRP!$E30</f>
        <v>0</v>
      </c>
      <c r="V30">
        <f>[5]CRP_Outcome_CRP!$B30</f>
        <v>0</v>
      </c>
      <c r="W30">
        <f>[5]CRP_Outcome_CRP!$C30</f>
        <v>0</v>
      </c>
      <c r="X30">
        <f>[5]CRP_Outcome_CRP!$D30</f>
        <v>0</v>
      </c>
      <c r="Y30">
        <f>[5]CRP_Outcome_CRP!$E30</f>
        <v>0</v>
      </c>
      <c r="AA30">
        <f>[6]CRP_Outcome_CRP!$B30</f>
        <v>0</v>
      </c>
      <c r="AB30">
        <f>[6]CRP_Outcome_CRP!$C30</f>
        <v>0</v>
      </c>
      <c r="AC30">
        <f>[6]CRP_Outcome_CRP!$D30</f>
        <v>0</v>
      </c>
      <c r="AD30">
        <f>[6]CRP_Outcome_CRP!$E30</f>
        <v>0</v>
      </c>
      <c r="AF30">
        <f>[7]CRP_Outcome_CRP!$B30</f>
        <v>2</v>
      </c>
      <c r="AG30">
        <f>[7]CRP_Outcome_CRP!$C30</f>
        <v>0</v>
      </c>
      <c r="AH30">
        <f>[7]CRP_Outcome_CRP!$D30</f>
        <v>0</v>
      </c>
      <c r="AI30">
        <f>[7]CRP_Outcome_CRP!$E30</f>
        <v>0</v>
      </c>
      <c r="AK30">
        <f>[8]CRP_Outcome_CRP!$B30</f>
        <v>2</v>
      </c>
      <c r="AL30">
        <f>[8]CRP_Outcome_CRP!$C30</f>
        <v>0</v>
      </c>
      <c r="AM30">
        <f>[8]CRP_Outcome_CRP!$D30</f>
        <v>0</v>
      </c>
      <c r="AN30">
        <f>[8]CRP_Outcome_CRP!$E30</f>
        <v>0</v>
      </c>
      <c r="AP30">
        <f>[9]CRP_Outcome_CRP!$B30</f>
        <v>0</v>
      </c>
      <c r="AQ30">
        <f>[9]CRP_Outcome_CRP!$C30</f>
        <v>0</v>
      </c>
      <c r="AR30">
        <f>[9]CRP_Outcome_CRP!$D30</f>
        <v>0</v>
      </c>
      <c r="AS30">
        <f>[9]CRP_Outcome_CRP!$E30</f>
        <v>0</v>
      </c>
      <c r="AU30">
        <f>[10]CRP_Outcome_CRP!$B30</f>
        <v>0</v>
      </c>
      <c r="AV30">
        <f>[10]CRP_Outcome_CRP!$C30</f>
        <v>0</v>
      </c>
      <c r="AW30">
        <f>[10]CRP_Outcome_CRP!$D30</f>
        <v>0</v>
      </c>
      <c r="AX30">
        <f>[10]CRP_Outcome_CRP!$E30</f>
        <v>0</v>
      </c>
      <c r="BA30">
        <f t="shared" si="1"/>
        <v>0.4</v>
      </c>
      <c r="BB30">
        <f t="shared" si="1"/>
        <v>1.2</v>
      </c>
      <c r="BC30">
        <f t="shared" si="1"/>
        <v>0</v>
      </c>
      <c r="BD30">
        <f t="shared" si="1"/>
        <v>0</v>
      </c>
    </row>
    <row r="31" spans="1:56" x14ac:dyDescent="0.35">
      <c r="A31">
        <v>29</v>
      </c>
      <c r="B31">
        <f>[1]CRP_Outcome_CRP!$B31</f>
        <v>0</v>
      </c>
      <c r="C31">
        <f>[1]CRP_Outcome_CRP!$C31</f>
        <v>6</v>
      </c>
      <c r="D31">
        <f>[1]CRP_Outcome_CRP!$D31</f>
        <v>0</v>
      </c>
      <c r="E31">
        <f>[1]CRP_Outcome_CRP!$E31</f>
        <v>0</v>
      </c>
      <c r="G31">
        <f>[2]CRP_Outcome_CRP!$B31</f>
        <v>0</v>
      </c>
      <c r="H31">
        <f>[2]CRP_Outcome_CRP!$C31</f>
        <v>9</v>
      </c>
      <c r="I31">
        <f>[2]CRP_Outcome_CRP!$D31</f>
        <v>0</v>
      </c>
      <c r="J31">
        <f>[2]CRP_Outcome_CRP!$E31</f>
        <v>0</v>
      </c>
      <c r="L31">
        <f>[3]CRP_Outcome_CRP!$B31</f>
        <v>0</v>
      </c>
      <c r="M31">
        <f>[3]CRP_Outcome_CRP!$C31</f>
        <v>0</v>
      </c>
      <c r="N31">
        <f>[3]CRP_Outcome_CRP!$D31</f>
        <v>0</v>
      </c>
      <c r="O31">
        <f>[3]CRP_Outcome_CRP!$E31</f>
        <v>0</v>
      </c>
      <c r="Q31">
        <f>[4]CRP_Outcome_CRP!$B31</f>
        <v>0</v>
      </c>
      <c r="R31">
        <f>[4]CRP_Outcome_CRP!$C31</f>
        <v>1</v>
      </c>
      <c r="S31">
        <f>[4]CRP_Outcome_CRP!$D31</f>
        <v>0</v>
      </c>
      <c r="T31">
        <f>[4]CRP_Outcome_CRP!$E31</f>
        <v>0</v>
      </c>
      <c r="V31">
        <f>[5]CRP_Outcome_CRP!$B31</f>
        <v>0</v>
      </c>
      <c r="W31">
        <f>[5]CRP_Outcome_CRP!$C31</f>
        <v>1</v>
      </c>
      <c r="X31">
        <f>[5]CRP_Outcome_CRP!$D31</f>
        <v>0</v>
      </c>
      <c r="Y31">
        <f>[5]CRP_Outcome_CRP!$E31</f>
        <v>0</v>
      </c>
      <c r="AA31">
        <f>[6]CRP_Outcome_CRP!$B31</f>
        <v>0</v>
      </c>
      <c r="AB31">
        <f>[6]CRP_Outcome_CRP!$C31</f>
        <v>1</v>
      </c>
      <c r="AC31">
        <f>[6]CRP_Outcome_CRP!$D31</f>
        <v>0</v>
      </c>
      <c r="AD31">
        <f>[6]CRP_Outcome_CRP!$E31</f>
        <v>0</v>
      </c>
      <c r="AF31">
        <f>[7]CRP_Outcome_CRP!$B31</f>
        <v>0</v>
      </c>
      <c r="AG31">
        <f>[7]CRP_Outcome_CRP!$C31</f>
        <v>24</v>
      </c>
      <c r="AH31">
        <f>[7]CRP_Outcome_CRP!$D31</f>
        <v>0</v>
      </c>
      <c r="AI31">
        <f>[7]CRP_Outcome_CRP!$E31</f>
        <v>0</v>
      </c>
      <c r="AK31">
        <f>[8]CRP_Outcome_CRP!$B31</f>
        <v>0</v>
      </c>
      <c r="AL31">
        <f>[8]CRP_Outcome_CRP!$C31</f>
        <v>1</v>
      </c>
      <c r="AM31">
        <f>[8]CRP_Outcome_CRP!$D31</f>
        <v>0</v>
      </c>
      <c r="AN31">
        <f>[8]CRP_Outcome_CRP!$E31</f>
        <v>0</v>
      </c>
      <c r="AP31">
        <f>[9]CRP_Outcome_CRP!$B31</f>
        <v>0</v>
      </c>
      <c r="AQ31">
        <f>[9]CRP_Outcome_CRP!$C31</f>
        <v>0</v>
      </c>
      <c r="AR31">
        <f>[9]CRP_Outcome_CRP!$D31</f>
        <v>0</v>
      </c>
      <c r="AS31">
        <f>[9]CRP_Outcome_CRP!$E31</f>
        <v>0</v>
      </c>
      <c r="AU31">
        <f>[10]CRP_Outcome_CRP!$B31</f>
        <v>0</v>
      </c>
      <c r="AV31">
        <f>[10]CRP_Outcome_CRP!$C31</f>
        <v>21</v>
      </c>
      <c r="AW31">
        <f>[10]CRP_Outcome_CRP!$D31</f>
        <v>0</v>
      </c>
      <c r="AX31">
        <f>[10]CRP_Outcome_CRP!$E31</f>
        <v>0</v>
      </c>
      <c r="BA31">
        <f t="shared" si="1"/>
        <v>0</v>
      </c>
      <c r="BB31">
        <f t="shared" si="1"/>
        <v>6.4</v>
      </c>
      <c r="BC31">
        <f t="shared" si="1"/>
        <v>0</v>
      </c>
      <c r="BD31">
        <f t="shared" si="1"/>
        <v>0</v>
      </c>
    </row>
    <row r="32" spans="1:56" x14ac:dyDescent="0.35">
      <c r="A32">
        <v>30</v>
      </c>
      <c r="B32">
        <f>[1]CRP_Outcome_CRP!$B32</f>
        <v>0</v>
      </c>
      <c r="C32">
        <f>[1]CRP_Outcome_CRP!$C32</f>
        <v>0</v>
      </c>
      <c r="D32">
        <f>[1]CRP_Outcome_CRP!$D32</f>
        <v>0</v>
      </c>
      <c r="E32">
        <f>[1]CRP_Outcome_CRP!$E32</f>
        <v>0</v>
      </c>
      <c r="G32">
        <f>[2]CRP_Outcome_CRP!$B32</f>
        <v>0</v>
      </c>
      <c r="H32">
        <f>[2]CRP_Outcome_CRP!$C32</f>
        <v>0</v>
      </c>
      <c r="I32">
        <f>[2]CRP_Outcome_CRP!$D32</f>
        <v>0</v>
      </c>
      <c r="J32">
        <f>[2]CRP_Outcome_CRP!$E32</f>
        <v>0</v>
      </c>
      <c r="L32">
        <f>[3]CRP_Outcome_CRP!$B32</f>
        <v>0</v>
      </c>
      <c r="M32">
        <f>[3]CRP_Outcome_CRP!$C32</f>
        <v>2</v>
      </c>
      <c r="N32">
        <f>[3]CRP_Outcome_CRP!$D32</f>
        <v>0</v>
      </c>
      <c r="O32">
        <f>[3]CRP_Outcome_CRP!$E32</f>
        <v>0</v>
      </c>
      <c r="Q32">
        <f>[4]CRP_Outcome_CRP!$B32</f>
        <v>0</v>
      </c>
      <c r="R32">
        <f>[4]CRP_Outcome_CRP!$C32</f>
        <v>7</v>
      </c>
      <c r="S32">
        <f>[4]CRP_Outcome_CRP!$D32</f>
        <v>0</v>
      </c>
      <c r="T32">
        <f>[4]CRP_Outcome_CRP!$E32</f>
        <v>0</v>
      </c>
      <c r="V32">
        <f>[5]CRP_Outcome_CRP!$B32</f>
        <v>0</v>
      </c>
      <c r="W32">
        <f>[5]CRP_Outcome_CRP!$C32</f>
        <v>6</v>
      </c>
      <c r="X32">
        <f>[5]CRP_Outcome_CRP!$D32</f>
        <v>0</v>
      </c>
      <c r="Y32">
        <f>[5]CRP_Outcome_CRP!$E32</f>
        <v>0</v>
      </c>
      <c r="AA32">
        <f>[6]CRP_Outcome_CRP!$B32</f>
        <v>0</v>
      </c>
      <c r="AB32">
        <f>[6]CRP_Outcome_CRP!$C32</f>
        <v>6</v>
      </c>
      <c r="AC32">
        <f>[6]CRP_Outcome_CRP!$D32</f>
        <v>0</v>
      </c>
      <c r="AD32">
        <f>[6]CRP_Outcome_CRP!$E32</f>
        <v>0</v>
      </c>
      <c r="AF32">
        <f>[7]CRP_Outcome_CRP!$B32</f>
        <v>0</v>
      </c>
      <c r="AG32">
        <f>[7]CRP_Outcome_CRP!$C32</f>
        <v>3</v>
      </c>
      <c r="AH32">
        <f>[7]CRP_Outcome_CRP!$D32</f>
        <v>0</v>
      </c>
      <c r="AI32">
        <f>[7]CRP_Outcome_CRP!$E32</f>
        <v>0</v>
      </c>
      <c r="AK32">
        <f>[8]CRP_Outcome_CRP!$B32</f>
        <v>0</v>
      </c>
      <c r="AL32">
        <f>[8]CRP_Outcome_CRP!$C32</f>
        <v>6</v>
      </c>
      <c r="AM32">
        <f>[8]CRP_Outcome_CRP!$D32</f>
        <v>0</v>
      </c>
      <c r="AN32">
        <f>[8]CRP_Outcome_CRP!$E32</f>
        <v>0</v>
      </c>
      <c r="AP32">
        <f>[9]CRP_Outcome_CRP!$B32</f>
        <v>0</v>
      </c>
      <c r="AQ32">
        <f>[9]CRP_Outcome_CRP!$C32</f>
        <v>0</v>
      </c>
      <c r="AR32">
        <f>[9]CRP_Outcome_CRP!$D32</f>
        <v>0</v>
      </c>
      <c r="AS32">
        <f>[9]CRP_Outcome_CRP!$E32</f>
        <v>0</v>
      </c>
      <c r="AU32">
        <f>[10]CRP_Outcome_CRP!$B32</f>
        <v>0</v>
      </c>
      <c r="AV32">
        <f>[10]CRP_Outcome_CRP!$C32</f>
        <v>0</v>
      </c>
      <c r="AW32">
        <f>[10]CRP_Outcome_CRP!$D32</f>
        <v>0</v>
      </c>
      <c r="AX32">
        <f>[10]CRP_Outcome_CRP!$E32</f>
        <v>0</v>
      </c>
      <c r="BA32">
        <f t="shared" si="1"/>
        <v>0</v>
      </c>
      <c r="BB32">
        <f t="shared" si="1"/>
        <v>3</v>
      </c>
      <c r="BC32">
        <f t="shared" si="1"/>
        <v>0</v>
      </c>
      <c r="BD32">
        <f t="shared" si="1"/>
        <v>0</v>
      </c>
    </row>
    <row r="33" spans="1:56" x14ac:dyDescent="0.35">
      <c r="A33">
        <v>31</v>
      </c>
      <c r="B33">
        <f>[1]CRP_Outcome_CRP!$B33</f>
        <v>0</v>
      </c>
      <c r="C33">
        <f>[1]CRP_Outcome_CRP!$C33</f>
        <v>0</v>
      </c>
      <c r="D33">
        <f>[1]CRP_Outcome_CRP!$D33</f>
        <v>0</v>
      </c>
      <c r="E33">
        <f>[1]CRP_Outcome_CRP!$E33</f>
        <v>0</v>
      </c>
      <c r="G33">
        <f>[2]CRP_Outcome_CRP!$B33</f>
        <v>0</v>
      </c>
      <c r="H33">
        <f>[2]CRP_Outcome_CRP!$C33</f>
        <v>0</v>
      </c>
      <c r="I33">
        <f>[2]CRP_Outcome_CRP!$D33</f>
        <v>0</v>
      </c>
      <c r="J33">
        <f>[2]CRP_Outcome_CRP!$E33</f>
        <v>0</v>
      </c>
      <c r="L33">
        <f>[3]CRP_Outcome_CRP!$B33</f>
        <v>0</v>
      </c>
      <c r="M33">
        <f>[3]CRP_Outcome_CRP!$C33</f>
        <v>0</v>
      </c>
      <c r="N33">
        <f>[3]CRP_Outcome_CRP!$D33</f>
        <v>0</v>
      </c>
      <c r="O33">
        <f>[3]CRP_Outcome_CRP!$E33</f>
        <v>0</v>
      </c>
      <c r="Q33">
        <f>[4]CRP_Outcome_CRP!$B33</f>
        <v>0</v>
      </c>
      <c r="R33">
        <f>[4]CRP_Outcome_CRP!$C33</f>
        <v>0</v>
      </c>
      <c r="S33">
        <f>[4]CRP_Outcome_CRP!$D33</f>
        <v>0</v>
      </c>
      <c r="T33">
        <f>[4]CRP_Outcome_CRP!$E33</f>
        <v>0</v>
      </c>
      <c r="V33">
        <f>[5]CRP_Outcome_CRP!$B33</f>
        <v>0</v>
      </c>
      <c r="W33">
        <f>[5]CRP_Outcome_CRP!$C33</f>
        <v>0</v>
      </c>
      <c r="X33">
        <f>[5]CRP_Outcome_CRP!$D33</f>
        <v>0</v>
      </c>
      <c r="Y33">
        <f>[5]CRP_Outcome_CRP!$E33</f>
        <v>0</v>
      </c>
      <c r="AA33">
        <f>[6]CRP_Outcome_CRP!$B33</f>
        <v>0</v>
      </c>
      <c r="AB33">
        <f>[6]CRP_Outcome_CRP!$C33</f>
        <v>0</v>
      </c>
      <c r="AC33">
        <f>[6]CRP_Outcome_CRP!$D33</f>
        <v>0</v>
      </c>
      <c r="AD33">
        <f>[6]CRP_Outcome_CRP!$E33</f>
        <v>0</v>
      </c>
      <c r="AF33">
        <f>[7]CRP_Outcome_CRP!$B33</f>
        <v>0</v>
      </c>
      <c r="AG33">
        <f>[7]CRP_Outcome_CRP!$C33</f>
        <v>0</v>
      </c>
      <c r="AH33">
        <f>[7]CRP_Outcome_CRP!$D33</f>
        <v>0</v>
      </c>
      <c r="AI33">
        <f>[7]CRP_Outcome_CRP!$E33</f>
        <v>0</v>
      </c>
      <c r="AK33">
        <f>[8]CRP_Outcome_CRP!$B33</f>
        <v>0</v>
      </c>
      <c r="AL33">
        <f>[8]CRP_Outcome_CRP!$C33</f>
        <v>0</v>
      </c>
      <c r="AM33">
        <f>[8]CRP_Outcome_CRP!$D33</f>
        <v>0</v>
      </c>
      <c r="AN33">
        <f>[8]CRP_Outcome_CRP!$E33</f>
        <v>0</v>
      </c>
      <c r="AP33">
        <f>[9]CRP_Outcome_CRP!$B33</f>
        <v>0</v>
      </c>
      <c r="AQ33">
        <f>[9]CRP_Outcome_CRP!$C33</f>
        <v>0</v>
      </c>
      <c r="AR33">
        <f>[9]CRP_Outcome_CRP!$D33</f>
        <v>0</v>
      </c>
      <c r="AS33">
        <f>[9]CRP_Outcome_CRP!$E33</f>
        <v>0</v>
      </c>
      <c r="AU33">
        <f>[10]CRP_Outcome_CRP!$B33</f>
        <v>0</v>
      </c>
      <c r="AV33">
        <f>[10]CRP_Outcome_CRP!$C33</f>
        <v>0</v>
      </c>
      <c r="AW33">
        <f>[10]CRP_Outcome_CRP!$D33</f>
        <v>0</v>
      </c>
      <c r="AX33">
        <f>[10]CRP_Outcome_CRP!$E33</f>
        <v>0</v>
      </c>
      <c r="BA33">
        <f t="shared" si="1"/>
        <v>0</v>
      </c>
      <c r="BB33">
        <f t="shared" si="1"/>
        <v>0</v>
      </c>
      <c r="BC33">
        <f t="shared" si="1"/>
        <v>0</v>
      </c>
      <c r="BD33">
        <f t="shared" si="1"/>
        <v>0</v>
      </c>
    </row>
    <row r="34" spans="1:56" x14ac:dyDescent="0.35">
      <c r="A34">
        <v>32</v>
      </c>
      <c r="B34">
        <f>[1]CRP_Outcome_CRP!$B34</f>
        <v>0</v>
      </c>
      <c r="C34">
        <f>[1]CRP_Outcome_CRP!$C34</f>
        <v>0</v>
      </c>
      <c r="D34">
        <f>[1]CRP_Outcome_CRP!$D34</f>
        <v>0</v>
      </c>
      <c r="E34">
        <f>[1]CRP_Outcome_CRP!$E34</f>
        <v>0</v>
      </c>
      <c r="G34">
        <f>[2]CRP_Outcome_CRP!$B34</f>
        <v>0</v>
      </c>
      <c r="H34">
        <f>[2]CRP_Outcome_CRP!$C34</f>
        <v>0</v>
      </c>
      <c r="I34">
        <f>[2]CRP_Outcome_CRP!$D34</f>
        <v>0</v>
      </c>
      <c r="J34">
        <f>[2]CRP_Outcome_CRP!$E34</f>
        <v>0</v>
      </c>
      <c r="L34">
        <f>[3]CRP_Outcome_CRP!$B34</f>
        <v>0</v>
      </c>
      <c r="M34">
        <f>[3]CRP_Outcome_CRP!$C34</f>
        <v>0</v>
      </c>
      <c r="N34">
        <f>[3]CRP_Outcome_CRP!$D34</f>
        <v>0</v>
      </c>
      <c r="O34">
        <f>[3]CRP_Outcome_CRP!$E34</f>
        <v>0</v>
      </c>
      <c r="Q34">
        <f>[4]CRP_Outcome_CRP!$B34</f>
        <v>0</v>
      </c>
      <c r="R34">
        <f>[4]CRP_Outcome_CRP!$C34</f>
        <v>0</v>
      </c>
      <c r="S34">
        <f>[4]CRP_Outcome_CRP!$D34</f>
        <v>0</v>
      </c>
      <c r="T34">
        <f>[4]CRP_Outcome_CRP!$E34</f>
        <v>0</v>
      </c>
      <c r="V34">
        <f>[5]CRP_Outcome_CRP!$B34</f>
        <v>0</v>
      </c>
      <c r="W34">
        <f>[5]CRP_Outcome_CRP!$C34</f>
        <v>0</v>
      </c>
      <c r="X34">
        <f>[5]CRP_Outcome_CRP!$D34</f>
        <v>0</v>
      </c>
      <c r="Y34">
        <f>[5]CRP_Outcome_CRP!$E34</f>
        <v>0</v>
      </c>
      <c r="AA34">
        <f>[6]CRP_Outcome_CRP!$B34</f>
        <v>0</v>
      </c>
      <c r="AB34">
        <f>[6]CRP_Outcome_CRP!$C34</f>
        <v>0</v>
      </c>
      <c r="AC34">
        <f>[6]CRP_Outcome_CRP!$D34</f>
        <v>0</v>
      </c>
      <c r="AD34">
        <f>[6]CRP_Outcome_CRP!$E34</f>
        <v>0</v>
      </c>
      <c r="AF34">
        <f>[7]CRP_Outcome_CRP!$B34</f>
        <v>0</v>
      </c>
      <c r="AG34">
        <f>[7]CRP_Outcome_CRP!$C34</f>
        <v>0</v>
      </c>
      <c r="AH34">
        <f>[7]CRP_Outcome_CRP!$D34</f>
        <v>0</v>
      </c>
      <c r="AI34">
        <f>[7]CRP_Outcome_CRP!$E34</f>
        <v>0</v>
      </c>
      <c r="AK34">
        <f>[8]CRP_Outcome_CRP!$B34</f>
        <v>0</v>
      </c>
      <c r="AL34">
        <f>[8]CRP_Outcome_CRP!$C34</f>
        <v>0</v>
      </c>
      <c r="AM34">
        <f>[8]CRP_Outcome_CRP!$D34</f>
        <v>0</v>
      </c>
      <c r="AN34">
        <f>[8]CRP_Outcome_CRP!$E34</f>
        <v>0</v>
      </c>
      <c r="AP34">
        <f>[9]CRP_Outcome_CRP!$B34</f>
        <v>0</v>
      </c>
      <c r="AQ34">
        <f>[9]CRP_Outcome_CRP!$C34</f>
        <v>0</v>
      </c>
      <c r="AR34">
        <f>[9]CRP_Outcome_CRP!$D34</f>
        <v>0</v>
      </c>
      <c r="AS34">
        <f>[9]CRP_Outcome_CRP!$E34</f>
        <v>0</v>
      </c>
      <c r="AU34">
        <f>[10]CRP_Outcome_CRP!$B34</f>
        <v>0</v>
      </c>
      <c r="AV34">
        <f>[10]CRP_Outcome_CRP!$C34</f>
        <v>0</v>
      </c>
      <c r="AW34">
        <f>[10]CRP_Outcome_CRP!$D34</f>
        <v>0</v>
      </c>
      <c r="AX34">
        <f>[10]CRP_Outcome_CRP!$E34</f>
        <v>0</v>
      </c>
      <c r="BA34">
        <f t="shared" si="1"/>
        <v>0</v>
      </c>
      <c r="BB34">
        <f t="shared" si="1"/>
        <v>0</v>
      </c>
      <c r="BC34">
        <f t="shared" si="1"/>
        <v>0</v>
      </c>
      <c r="BD34">
        <f t="shared" si="1"/>
        <v>0</v>
      </c>
    </row>
    <row r="35" spans="1:56" x14ac:dyDescent="0.35">
      <c r="A35">
        <v>33</v>
      </c>
      <c r="B35">
        <f>[1]CRP_Outcome_CRP!$B35</f>
        <v>0</v>
      </c>
      <c r="C35">
        <f>[1]CRP_Outcome_CRP!$C35</f>
        <v>7</v>
      </c>
      <c r="D35">
        <f>[1]CRP_Outcome_CRP!$D35</f>
        <v>0</v>
      </c>
      <c r="E35">
        <f>[1]CRP_Outcome_CRP!$E35</f>
        <v>0</v>
      </c>
      <c r="G35">
        <f>[2]CRP_Outcome_CRP!$B35</f>
        <v>0</v>
      </c>
      <c r="H35">
        <f>[2]CRP_Outcome_CRP!$C35</f>
        <v>2</v>
      </c>
      <c r="I35">
        <f>[2]CRP_Outcome_CRP!$D35</f>
        <v>0</v>
      </c>
      <c r="J35">
        <f>[2]CRP_Outcome_CRP!$E35</f>
        <v>0</v>
      </c>
      <c r="L35">
        <f>[3]CRP_Outcome_CRP!$B35</f>
        <v>0</v>
      </c>
      <c r="M35">
        <f>[3]CRP_Outcome_CRP!$C35</f>
        <v>0</v>
      </c>
      <c r="N35">
        <f>[3]CRP_Outcome_CRP!$D35</f>
        <v>0</v>
      </c>
      <c r="O35">
        <f>[3]CRP_Outcome_CRP!$E35</f>
        <v>0</v>
      </c>
      <c r="Q35">
        <f>[4]CRP_Outcome_CRP!$B35</f>
        <v>0</v>
      </c>
      <c r="R35">
        <f>[4]CRP_Outcome_CRP!$C35</f>
        <v>0</v>
      </c>
      <c r="S35">
        <f>[4]CRP_Outcome_CRP!$D35</f>
        <v>0</v>
      </c>
      <c r="T35">
        <f>[4]CRP_Outcome_CRP!$E35</f>
        <v>0</v>
      </c>
      <c r="V35">
        <f>[5]CRP_Outcome_CRP!$B35</f>
        <v>0</v>
      </c>
      <c r="W35">
        <f>[5]CRP_Outcome_CRP!$C35</f>
        <v>0</v>
      </c>
      <c r="X35">
        <f>[5]CRP_Outcome_CRP!$D35</f>
        <v>0</v>
      </c>
      <c r="Y35">
        <f>[5]CRP_Outcome_CRP!$E35</f>
        <v>0</v>
      </c>
      <c r="AA35">
        <f>[6]CRP_Outcome_CRP!$B35</f>
        <v>0</v>
      </c>
      <c r="AB35">
        <f>[6]CRP_Outcome_CRP!$C35</f>
        <v>0</v>
      </c>
      <c r="AC35">
        <f>[6]CRP_Outcome_CRP!$D35</f>
        <v>0</v>
      </c>
      <c r="AD35">
        <f>[6]CRP_Outcome_CRP!$E35</f>
        <v>0</v>
      </c>
      <c r="AF35">
        <f>[7]CRP_Outcome_CRP!$B35</f>
        <v>2</v>
      </c>
      <c r="AG35">
        <f>[7]CRP_Outcome_CRP!$C35</f>
        <v>0</v>
      </c>
      <c r="AH35">
        <f>[7]CRP_Outcome_CRP!$D35</f>
        <v>0</v>
      </c>
      <c r="AI35">
        <f>[7]CRP_Outcome_CRP!$E35</f>
        <v>0</v>
      </c>
      <c r="AK35">
        <f>[8]CRP_Outcome_CRP!$B35</f>
        <v>0</v>
      </c>
      <c r="AL35">
        <f>[8]CRP_Outcome_CRP!$C35</f>
        <v>0</v>
      </c>
      <c r="AM35">
        <f>[8]CRP_Outcome_CRP!$D35</f>
        <v>0</v>
      </c>
      <c r="AN35">
        <f>[8]CRP_Outcome_CRP!$E35</f>
        <v>0</v>
      </c>
      <c r="AP35">
        <f>[9]CRP_Outcome_CRP!$B35</f>
        <v>0</v>
      </c>
      <c r="AQ35">
        <f>[9]CRP_Outcome_CRP!$C35</f>
        <v>0</v>
      </c>
      <c r="AR35">
        <f>[9]CRP_Outcome_CRP!$D35</f>
        <v>0</v>
      </c>
      <c r="AS35">
        <f>[9]CRP_Outcome_CRP!$E35</f>
        <v>0</v>
      </c>
      <c r="AU35">
        <f>[10]CRP_Outcome_CRP!$B35</f>
        <v>0</v>
      </c>
      <c r="AV35">
        <f>[10]CRP_Outcome_CRP!$C35</f>
        <v>0</v>
      </c>
      <c r="AW35">
        <f>[10]CRP_Outcome_CRP!$D35</f>
        <v>0</v>
      </c>
      <c r="AX35">
        <f>[10]CRP_Outcome_CRP!$E35</f>
        <v>0</v>
      </c>
      <c r="BA35">
        <f t="shared" si="1"/>
        <v>0.2</v>
      </c>
      <c r="BB35">
        <f t="shared" si="1"/>
        <v>0.9</v>
      </c>
      <c r="BC35">
        <f t="shared" si="1"/>
        <v>0</v>
      </c>
      <c r="BD35">
        <f t="shared" si="1"/>
        <v>0</v>
      </c>
    </row>
    <row r="36" spans="1:56" x14ac:dyDescent="0.35">
      <c r="A36">
        <v>34</v>
      </c>
      <c r="B36">
        <f>[1]CRP_Outcome_CRP!$B36</f>
        <v>0</v>
      </c>
      <c r="C36">
        <f>[1]CRP_Outcome_CRP!$C36</f>
        <v>12</v>
      </c>
      <c r="D36">
        <f>[1]CRP_Outcome_CRP!$D36</f>
        <v>0</v>
      </c>
      <c r="E36">
        <f>[1]CRP_Outcome_CRP!$E36</f>
        <v>0</v>
      </c>
      <c r="G36">
        <f>[2]CRP_Outcome_CRP!$B36</f>
        <v>0</v>
      </c>
      <c r="H36">
        <f>[2]CRP_Outcome_CRP!$C36</f>
        <v>9</v>
      </c>
      <c r="I36">
        <f>[2]CRP_Outcome_CRP!$D36</f>
        <v>0</v>
      </c>
      <c r="J36">
        <f>[2]CRP_Outcome_CRP!$E36</f>
        <v>0</v>
      </c>
      <c r="L36">
        <f>[3]CRP_Outcome_CRP!$B36</f>
        <v>0</v>
      </c>
      <c r="M36">
        <f>[3]CRP_Outcome_CRP!$C36</f>
        <v>0</v>
      </c>
      <c r="N36">
        <f>[3]CRP_Outcome_CRP!$D36</f>
        <v>0</v>
      </c>
      <c r="O36">
        <f>[3]CRP_Outcome_CRP!$E36</f>
        <v>0</v>
      </c>
      <c r="Q36">
        <f>[4]CRP_Outcome_CRP!$B36</f>
        <v>0</v>
      </c>
      <c r="R36">
        <f>[4]CRP_Outcome_CRP!$C36</f>
        <v>0</v>
      </c>
      <c r="S36">
        <f>[4]CRP_Outcome_CRP!$D36</f>
        <v>0</v>
      </c>
      <c r="T36">
        <f>[4]CRP_Outcome_CRP!$E36</f>
        <v>0</v>
      </c>
      <c r="V36">
        <f>[5]CRP_Outcome_CRP!$B36</f>
        <v>0</v>
      </c>
      <c r="W36">
        <f>[5]CRP_Outcome_CRP!$C36</f>
        <v>0</v>
      </c>
      <c r="X36">
        <f>[5]CRP_Outcome_CRP!$D36</f>
        <v>0</v>
      </c>
      <c r="Y36">
        <f>[5]CRP_Outcome_CRP!$E36</f>
        <v>0</v>
      </c>
      <c r="AA36">
        <f>[6]CRP_Outcome_CRP!$B36</f>
        <v>0</v>
      </c>
      <c r="AB36">
        <f>[6]CRP_Outcome_CRP!$C36</f>
        <v>0</v>
      </c>
      <c r="AC36">
        <f>[6]CRP_Outcome_CRP!$D36</f>
        <v>0</v>
      </c>
      <c r="AD36">
        <f>[6]CRP_Outcome_CRP!$E36</f>
        <v>0</v>
      </c>
      <c r="AF36">
        <f>[7]CRP_Outcome_CRP!$B36</f>
        <v>1</v>
      </c>
      <c r="AG36">
        <f>[7]CRP_Outcome_CRP!$C36</f>
        <v>0</v>
      </c>
      <c r="AH36">
        <f>[7]CRP_Outcome_CRP!$D36</f>
        <v>0</v>
      </c>
      <c r="AI36">
        <f>[7]CRP_Outcome_CRP!$E36</f>
        <v>0</v>
      </c>
      <c r="AK36">
        <f>[8]CRP_Outcome_CRP!$B36</f>
        <v>1</v>
      </c>
      <c r="AL36">
        <f>[8]CRP_Outcome_CRP!$C36</f>
        <v>0</v>
      </c>
      <c r="AM36">
        <f>[8]CRP_Outcome_CRP!$D36</f>
        <v>0</v>
      </c>
      <c r="AN36">
        <f>[8]CRP_Outcome_CRP!$E36</f>
        <v>0</v>
      </c>
      <c r="AP36">
        <f>[9]CRP_Outcome_CRP!$B36</f>
        <v>0</v>
      </c>
      <c r="AQ36">
        <f>[9]CRP_Outcome_CRP!$C36</f>
        <v>0</v>
      </c>
      <c r="AR36">
        <f>[9]CRP_Outcome_CRP!$D36</f>
        <v>0</v>
      </c>
      <c r="AS36">
        <f>[9]CRP_Outcome_CRP!$E36</f>
        <v>0</v>
      </c>
      <c r="AU36">
        <f>[10]CRP_Outcome_CRP!$B36</f>
        <v>0</v>
      </c>
      <c r="AV36">
        <f>[10]CRP_Outcome_CRP!$C36</f>
        <v>30</v>
      </c>
      <c r="AW36">
        <f>[10]CRP_Outcome_CRP!$D36</f>
        <v>0</v>
      </c>
      <c r="AX36">
        <f>[10]CRP_Outcome_CRP!$E36</f>
        <v>0</v>
      </c>
      <c r="BA36">
        <f t="shared" si="1"/>
        <v>0.2</v>
      </c>
      <c r="BB36">
        <f t="shared" si="1"/>
        <v>5.0999999999999996</v>
      </c>
      <c r="BC36">
        <f t="shared" si="1"/>
        <v>0</v>
      </c>
      <c r="BD36">
        <f t="shared" si="1"/>
        <v>0</v>
      </c>
    </row>
    <row r="37" spans="1:56" x14ac:dyDescent="0.35">
      <c r="A37">
        <v>35</v>
      </c>
      <c r="B37">
        <f>[1]CRP_Outcome_CRP!$B37</f>
        <v>0</v>
      </c>
      <c r="C37">
        <f>[1]CRP_Outcome_CRP!$C37</f>
        <v>0</v>
      </c>
      <c r="D37">
        <f>[1]CRP_Outcome_CRP!$D37</f>
        <v>0</v>
      </c>
      <c r="E37">
        <f>[1]CRP_Outcome_CRP!$E37</f>
        <v>0</v>
      </c>
      <c r="G37">
        <f>[2]CRP_Outcome_CRP!$B37</f>
        <v>0</v>
      </c>
      <c r="H37">
        <f>[2]CRP_Outcome_CRP!$C37</f>
        <v>0</v>
      </c>
      <c r="I37">
        <f>[2]CRP_Outcome_CRP!$D37</f>
        <v>0</v>
      </c>
      <c r="J37">
        <f>[2]CRP_Outcome_CRP!$E37</f>
        <v>0</v>
      </c>
      <c r="L37">
        <f>[3]CRP_Outcome_CRP!$B37</f>
        <v>0</v>
      </c>
      <c r="M37">
        <f>[3]CRP_Outcome_CRP!$C37</f>
        <v>0</v>
      </c>
      <c r="N37">
        <f>[3]CRP_Outcome_CRP!$D37</f>
        <v>0</v>
      </c>
      <c r="O37">
        <f>[3]CRP_Outcome_CRP!$E37</f>
        <v>0</v>
      </c>
      <c r="Q37">
        <f>[4]CRP_Outcome_CRP!$B37</f>
        <v>0</v>
      </c>
      <c r="R37">
        <f>[4]CRP_Outcome_CRP!$C37</f>
        <v>0</v>
      </c>
      <c r="S37">
        <f>[4]CRP_Outcome_CRP!$D37</f>
        <v>0</v>
      </c>
      <c r="T37">
        <f>[4]CRP_Outcome_CRP!$E37</f>
        <v>0</v>
      </c>
      <c r="V37">
        <f>[5]CRP_Outcome_CRP!$B37</f>
        <v>0</v>
      </c>
      <c r="W37">
        <f>[5]CRP_Outcome_CRP!$C37</f>
        <v>2</v>
      </c>
      <c r="X37">
        <f>[5]CRP_Outcome_CRP!$D37</f>
        <v>0</v>
      </c>
      <c r="Y37">
        <f>[5]CRP_Outcome_CRP!$E37</f>
        <v>0</v>
      </c>
      <c r="AA37">
        <f>[6]CRP_Outcome_CRP!$B37</f>
        <v>0</v>
      </c>
      <c r="AB37">
        <f>[6]CRP_Outcome_CRP!$C37</f>
        <v>2</v>
      </c>
      <c r="AC37">
        <f>[6]CRP_Outcome_CRP!$D37</f>
        <v>0</v>
      </c>
      <c r="AD37">
        <f>[6]CRP_Outcome_CRP!$E37</f>
        <v>0</v>
      </c>
      <c r="AF37">
        <f>[7]CRP_Outcome_CRP!$B37</f>
        <v>0</v>
      </c>
      <c r="AG37">
        <f>[7]CRP_Outcome_CRP!$C37</f>
        <v>29</v>
      </c>
      <c r="AH37">
        <f>[7]CRP_Outcome_CRP!$D37</f>
        <v>0</v>
      </c>
      <c r="AI37">
        <f>[7]CRP_Outcome_CRP!$E37</f>
        <v>0</v>
      </c>
      <c r="AK37">
        <f>[8]CRP_Outcome_CRP!$B37</f>
        <v>0</v>
      </c>
      <c r="AL37">
        <f>[8]CRP_Outcome_CRP!$C37</f>
        <v>5</v>
      </c>
      <c r="AM37">
        <f>[8]CRP_Outcome_CRP!$D37</f>
        <v>0</v>
      </c>
      <c r="AN37">
        <f>[8]CRP_Outcome_CRP!$E37</f>
        <v>0</v>
      </c>
      <c r="AP37">
        <f>[9]CRP_Outcome_CRP!$B37</f>
        <v>0</v>
      </c>
      <c r="AQ37">
        <f>[9]CRP_Outcome_CRP!$C37</f>
        <v>0</v>
      </c>
      <c r="AR37">
        <f>[9]CRP_Outcome_CRP!$D37</f>
        <v>0</v>
      </c>
      <c r="AS37">
        <f>[9]CRP_Outcome_CRP!$E37</f>
        <v>0</v>
      </c>
      <c r="AU37">
        <f>[10]CRP_Outcome_CRP!$B37</f>
        <v>0</v>
      </c>
      <c r="AV37">
        <f>[10]CRP_Outcome_CRP!$C37</f>
        <v>0</v>
      </c>
      <c r="AW37">
        <f>[10]CRP_Outcome_CRP!$D37</f>
        <v>0</v>
      </c>
      <c r="AX37">
        <f>[10]CRP_Outcome_CRP!$E37</f>
        <v>0</v>
      </c>
      <c r="BA37">
        <f t="shared" si="1"/>
        <v>0</v>
      </c>
      <c r="BB37">
        <f t="shared" si="1"/>
        <v>3.8</v>
      </c>
      <c r="BC37">
        <f t="shared" si="1"/>
        <v>0</v>
      </c>
      <c r="BD37">
        <f t="shared" si="1"/>
        <v>0</v>
      </c>
    </row>
    <row r="38" spans="1:56" x14ac:dyDescent="0.35">
      <c r="A38">
        <v>36</v>
      </c>
      <c r="B38">
        <f>[1]CRP_Outcome_CRP!$B38</f>
        <v>0</v>
      </c>
      <c r="C38">
        <f>[1]CRP_Outcome_CRP!$C38</f>
        <v>0</v>
      </c>
      <c r="D38">
        <f>[1]CRP_Outcome_CRP!$D38</f>
        <v>0</v>
      </c>
      <c r="E38">
        <f>[1]CRP_Outcome_CRP!$E38</f>
        <v>0</v>
      </c>
      <c r="G38">
        <f>[2]CRP_Outcome_CRP!$B38</f>
        <v>0</v>
      </c>
      <c r="H38">
        <f>[2]CRP_Outcome_CRP!$C38</f>
        <v>0</v>
      </c>
      <c r="I38">
        <f>[2]CRP_Outcome_CRP!$D38</f>
        <v>0</v>
      </c>
      <c r="J38">
        <f>[2]CRP_Outcome_CRP!$E38</f>
        <v>0</v>
      </c>
      <c r="L38">
        <f>[3]CRP_Outcome_CRP!$B38</f>
        <v>0</v>
      </c>
      <c r="M38">
        <f>[3]CRP_Outcome_CRP!$C38</f>
        <v>0</v>
      </c>
      <c r="N38">
        <f>[3]CRP_Outcome_CRP!$D38</f>
        <v>0</v>
      </c>
      <c r="O38">
        <f>[3]CRP_Outcome_CRP!$E38</f>
        <v>0</v>
      </c>
      <c r="Q38">
        <f>[4]CRP_Outcome_CRP!$B38</f>
        <v>0</v>
      </c>
      <c r="R38">
        <f>[4]CRP_Outcome_CRP!$C38</f>
        <v>0</v>
      </c>
      <c r="S38">
        <f>[4]CRP_Outcome_CRP!$D38</f>
        <v>0</v>
      </c>
      <c r="T38">
        <f>[4]CRP_Outcome_CRP!$E38</f>
        <v>0</v>
      </c>
      <c r="V38">
        <f>[5]CRP_Outcome_CRP!$B38</f>
        <v>0</v>
      </c>
      <c r="W38">
        <f>[5]CRP_Outcome_CRP!$C38</f>
        <v>2</v>
      </c>
      <c r="X38">
        <f>[5]CRP_Outcome_CRP!$D38</f>
        <v>0</v>
      </c>
      <c r="Y38">
        <f>[5]CRP_Outcome_CRP!$E38</f>
        <v>0</v>
      </c>
      <c r="AA38">
        <f>[6]CRP_Outcome_CRP!$B38</f>
        <v>0</v>
      </c>
      <c r="AB38">
        <f>[6]CRP_Outcome_CRP!$C38</f>
        <v>2</v>
      </c>
      <c r="AC38">
        <f>[6]CRP_Outcome_CRP!$D38</f>
        <v>0</v>
      </c>
      <c r="AD38">
        <f>[6]CRP_Outcome_CRP!$E38</f>
        <v>0</v>
      </c>
      <c r="AF38">
        <f>[7]CRP_Outcome_CRP!$B38</f>
        <v>0</v>
      </c>
      <c r="AG38">
        <f>[7]CRP_Outcome_CRP!$C38</f>
        <v>0</v>
      </c>
      <c r="AH38">
        <f>[7]CRP_Outcome_CRP!$D38</f>
        <v>0</v>
      </c>
      <c r="AI38">
        <f>[7]CRP_Outcome_CRP!$E38</f>
        <v>0</v>
      </c>
      <c r="AK38">
        <f>[8]CRP_Outcome_CRP!$B38</f>
        <v>0</v>
      </c>
      <c r="AL38">
        <f>[8]CRP_Outcome_CRP!$C38</f>
        <v>4</v>
      </c>
      <c r="AM38">
        <f>[8]CRP_Outcome_CRP!$D38</f>
        <v>0</v>
      </c>
      <c r="AN38">
        <f>[8]CRP_Outcome_CRP!$E38</f>
        <v>0</v>
      </c>
      <c r="AP38">
        <f>[9]CRP_Outcome_CRP!$B38</f>
        <v>0</v>
      </c>
      <c r="AQ38">
        <f>[9]CRP_Outcome_CRP!$C38</f>
        <v>0</v>
      </c>
      <c r="AR38">
        <f>[9]CRP_Outcome_CRP!$D38</f>
        <v>0</v>
      </c>
      <c r="AS38">
        <f>[9]CRP_Outcome_CRP!$E38</f>
        <v>0</v>
      </c>
      <c r="AU38">
        <f>[10]CRP_Outcome_CRP!$B38</f>
        <v>0</v>
      </c>
      <c r="AV38">
        <f>[10]CRP_Outcome_CRP!$C38</f>
        <v>0</v>
      </c>
      <c r="AW38">
        <f>[10]CRP_Outcome_CRP!$D38</f>
        <v>0</v>
      </c>
      <c r="AX38">
        <f>[10]CRP_Outcome_CRP!$E38</f>
        <v>0</v>
      </c>
      <c r="BA38">
        <f t="shared" si="1"/>
        <v>0</v>
      </c>
      <c r="BB38">
        <f t="shared" si="1"/>
        <v>0.8</v>
      </c>
      <c r="BC38">
        <f t="shared" si="1"/>
        <v>0</v>
      </c>
      <c r="BD38">
        <f t="shared" si="1"/>
        <v>0</v>
      </c>
    </row>
    <row r="40" spans="1:56" x14ac:dyDescent="0.35">
      <c r="A40" t="s">
        <v>9</v>
      </c>
      <c r="B40">
        <f>SUM(B2:B38)</f>
        <v>6</v>
      </c>
      <c r="C40">
        <f t="shared" ref="C40:E40" si="2">SUM(C2:C38)</f>
        <v>116</v>
      </c>
      <c r="D40">
        <f t="shared" si="2"/>
        <v>0</v>
      </c>
      <c r="E40">
        <f t="shared" si="2"/>
        <v>0</v>
      </c>
      <c r="G40">
        <f>SUM(G2:G38)</f>
        <v>6</v>
      </c>
      <c r="H40">
        <f t="shared" ref="H40:J40" si="3">SUM(H2:H38)</f>
        <v>74</v>
      </c>
      <c r="I40">
        <f t="shared" si="3"/>
        <v>0</v>
      </c>
      <c r="J40">
        <f t="shared" si="3"/>
        <v>0</v>
      </c>
      <c r="L40">
        <f>SUM(L2:L38)</f>
        <v>6</v>
      </c>
      <c r="M40">
        <f t="shared" ref="M40:O40" si="4">SUM(M2:M38)</f>
        <v>22</v>
      </c>
      <c r="N40">
        <f t="shared" si="4"/>
        <v>0</v>
      </c>
      <c r="O40">
        <f t="shared" si="4"/>
        <v>0</v>
      </c>
      <c r="Q40">
        <f>SUM(Q2:Q38)</f>
        <v>6</v>
      </c>
      <c r="R40">
        <f t="shared" ref="R40:T40" si="5">SUM(R2:R38)</f>
        <v>63</v>
      </c>
      <c r="S40">
        <f t="shared" si="5"/>
        <v>0</v>
      </c>
      <c r="T40">
        <f t="shared" si="5"/>
        <v>0</v>
      </c>
      <c r="V40">
        <f>SUM(V2:V38)</f>
        <v>4</v>
      </c>
      <c r="W40">
        <f t="shared" ref="W40:Y40" si="6">SUM(W2:W38)</f>
        <v>44</v>
      </c>
      <c r="X40">
        <f t="shared" si="6"/>
        <v>0</v>
      </c>
      <c r="Y40">
        <f t="shared" si="6"/>
        <v>0</v>
      </c>
      <c r="AA40">
        <f>SUM(AA2:AA38)</f>
        <v>4</v>
      </c>
      <c r="AB40">
        <f t="shared" ref="AB40:AD40" si="7">SUM(AB2:AB38)</f>
        <v>44</v>
      </c>
      <c r="AC40">
        <f t="shared" si="7"/>
        <v>0</v>
      </c>
      <c r="AD40">
        <f t="shared" si="7"/>
        <v>0</v>
      </c>
      <c r="AF40">
        <f>SUM(AF2:AF38)</f>
        <v>11</v>
      </c>
      <c r="AG40">
        <f t="shared" ref="AG40:AI40" si="8">SUM(AG2:AG38)</f>
        <v>131</v>
      </c>
      <c r="AH40">
        <f t="shared" si="8"/>
        <v>0</v>
      </c>
      <c r="AI40">
        <f t="shared" si="8"/>
        <v>0</v>
      </c>
      <c r="AK40">
        <f>SUM(AK2:AK38)</f>
        <v>7</v>
      </c>
      <c r="AL40">
        <f t="shared" ref="AL40:AN40" si="9">SUM(AL2:AL38)</f>
        <v>33</v>
      </c>
      <c r="AM40">
        <f t="shared" si="9"/>
        <v>0</v>
      </c>
      <c r="AN40">
        <f t="shared" si="9"/>
        <v>0</v>
      </c>
      <c r="AP40">
        <f>SUM(AP2:AP38)</f>
        <v>0</v>
      </c>
      <c r="AQ40">
        <f t="shared" ref="AQ40:AS40" si="10">SUM(AQ2:AQ38)</f>
        <v>0</v>
      </c>
      <c r="AR40">
        <f t="shared" si="10"/>
        <v>0</v>
      </c>
      <c r="AS40">
        <f t="shared" si="10"/>
        <v>0</v>
      </c>
      <c r="AU40">
        <f>SUM(AU2:AU38)</f>
        <v>9</v>
      </c>
      <c r="AV40">
        <f t="shared" ref="AV40:AX40" si="11">SUM(AV2:AV38)</f>
        <v>118</v>
      </c>
      <c r="AW40">
        <f t="shared" si="11"/>
        <v>0</v>
      </c>
      <c r="AX40">
        <f t="shared" si="11"/>
        <v>0</v>
      </c>
      <c r="BA40">
        <f>SUM(BA2:BA38)</f>
        <v>5.9000000000000012</v>
      </c>
      <c r="BB40">
        <f t="shared" ref="BB40:BD40" si="12">SUM(BB2:BB38)</f>
        <v>64.5</v>
      </c>
      <c r="BC40">
        <f t="shared" si="12"/>
        <v>0</v>
      </c>
      <c r="BD40">
        <f t="shared" si="12"/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EA6E-18FA-44D3-BA11-C9E1247D6574}">
  <dimension ref="A1:BD40"/>
  <sheetViews>
    <sheetView topLeftCell="AF1" workbookViewId="0">
      <selection activeCell="AU2" sqref="AU2:AX38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1" max="51" width="8.7265625" style="5"/>
  </cols>
  <sheetData>
    <row r="1" spans="1:55" x14ac:dyDescent="0.35">
      <c r="A1" t="s">
        <v>19</v>
      </c>
      <c r="B1" t="s">
        <v>34</v>
      </c>
      <c r="C1" s="4" t="s">
        <v>31</v>
      </c>
      <c r="D1" s="4" t="s">
        <v>32</v>
      </c>
      <c r="E1" s="4" t="s">
        <v>33</v>
      </c>
      <c r="F1" s="5">
        <v>1</v>
      </c>
      <c r="G1" t="s">
        <v>34</v>
      </c>
      <c r="H1" t="s">
        <v>31</v>
      </c>
      <c r="I1" t="s">
        <v>32</v>
      </c>
      <c r="J1" t="s">
        <v>33</v>
      </c>
      <c r="K1" s="5">
        <v>2</v>
      </c>
      <c r="L1" t="s">
        <v>34</v>
      </c>
      <c r="M1" t="s">
        <v>31</v>
      </c>
      <c r="N1" t="s">
        <v>32</v>
      </c>
      <c r="O1" t="s">
        <v>33</v>
      </c>
      <c r="P1" s="5">
        <v>3</v>
      </c>
      <c r="Q1" t="s">
        <v>34</v>
      </c>
      <c r="R1" s="4" t="s">
        <v>31</v>
      </c>
      <c r="S1" s="4" t="s">
        <v>32</v>
      </c>
      <c r="T1" s="4" t="s">
        <v>33</v>
      </c>
      <c r="U1" s="5">
        <v>4</v>
      </c>
      <c r="V1" t="s">
        <v>34</v>
      </c>
      <c r="W1" s="4" t="s">
        <v>31</v>
      </c>
      <c r="X1" s="4" t="s">
        <v>32</v>
      </c>
      <c r="Y1" s="4" t="s">
        <v>33</v>
      </c>
      <c r="Z1" s="5">
        <v>5</v>
      </c>
      <c r="AA1" t="s">
        <v>34</v>
      </c>
      <c r="AB1" s="4" t="s">
        <v>31</v>
      </c>
      <c r="AC1" s="4" t="s">
        <v>32</v>
      </c>
      <c r="AD1" s="4" t="s">
        <v>33</v>
      </c>
      <c r="AE1" s="5">
        <v>6</v>
      </c>
      <c r="AF1" t="s">
        <v>34</v>
      </c>
      <c r="AG1" s="4" t="s">
        <v>31</v>
      </c>
      <c r="AH1" s="4" t="s">
        <v>32</v>
      </c>
      <c r="AI1" s="4" t="s">
        <v>33</v>
      </c>
      <c r="AJ1" s="5">
        <v>7</v>
      </c>
      <c r="AK1" t="s">
        <v>34</v>
      </c>
      <c r="AL1" s="4" t="s">
        <v>31</v>
      </c>
      <c r="AM1" s="4" t="s">
        <v>32</v>
      </c>
      <c r="AN1" s="4" t="s">
        <v>33</v>
      </c>
      <c r="AO1" s="5">
        <v>8</v>
      </c>
      <c r="AP1" t="s">
        <v>34</v>
      </c>
      <c r="AQ1" s="4" t="s">
        <v>31</v>
      </c>
      <c r="AR1" s="4" t="s">
        <v>32</v>
      </c>
      <c r="AS1" s="4" t="s">
        <v>33</v>
      </c>
      <c r="AT1" s="5">
        <v>9</v>
      </c>
      <c r="AU1" t="s">
        <v>34</v>
      </c>
      <c r="AV1" s="4" t="s">
        <v>31</v>
      </c>
      <c r="AW1" s="4" t="s">
        <v>32</v>
      </c>
      <c r="AX1" s="4" t="s">
        <v>33</v>
      </c>
      <c r="AY1" s="5">
        <v>10</v>
      </c>
      <c r="AZ1" t="s">
        <v>44</v>
      </c>
      <c r="BA1" t="s">
        <v>131</v>
      </c>
      <c r="BB1" t="s">
        <v>42</v>
      </c>
      <c r="BC1" t="s">
        <v>132</v>
      </c>
    </row>
    <row r="2" spans="1:55" x14ac:dyDescent="0.35">
      <c r="A2">
        <v>0</v>
      </c>
      <c r="B2">
        <f>[1]CRP_Outcome_CRP!$O2</f>
        <v>0</v>
      </c>
      <c r="C2">
        <f>[1]CRP_Outcome_CRP!$BF2</f>
        <v>0</v>
      </c>
      <c r="D2">
        <f>[1]CRP_Outcome_CRP!$BG2</f>
        <v>0</v>
      </c>
      <c r="E2">
        <f>[1]CRP_Outcome_CRP!$BH2</f>
        <v>0</v>
      </c>
      <c r="G2">
        <f>[2]CRP_Outcome_CRP!$O2</f>
        <v>0</v>
      </c>
      <c r="H2">
        <f>[2]CRP_Outcome_CRP!$BF2</f>
        <v>0</v>
      </c>
      <c r="I2">
        <f>[2]CRP_Outcome_CRP!$BG2</f>
        <v>0</v>
      </c>
      <c r="J2">
        <f>[2]CRP_Outcome_CRP!$BH2</f>
        <v>0</v>
      </c>
      <c r="L2">
        <f>[3]CRP_Outcome_CRP!$O2</f>
        <v>0</v>
      </c>
      <c r="M2">
        <f>[3]CRP_Outcome_CRP!$BF2</f>
        <v>0</v>
      </c>
      <c r="N2">
        <f>[3]CRP_Outcome_CRP!$BG2</f>
        <v>0</v>
      </c>
      <c r="O2">
        <f>[3]CRP_Outcome_CRP!$BH2</f>
        <v>0</v>
      </c>
      <c r="Q2">
        <f>[4]CRP_Outcome_CRP!$O2</f>
        <v>0</v>
      </c>
      <c r="R2">
        <f>[4]CRP_Outcome_CRP!$BF2</f>
        <v>0</v>
      </c>
      <c r="S2">
        <f>[4]CRP_Outcome_CRP!$BG2</f>
        <v>0</v>
      </c>
      <c r="T2">
        <f>[4]CRP_Outcome_CRP!$BH2</f>
        <v>0</v>
      </c>
      <c r="V2">
        <f>[5]CRP_Outcome_CRP!$O2</f>
        <v>0</v>
      </c>
      <c r="W2">
        <f>[5]CRP_Outcome_CRP!$BF2</f>
        <v>0</v>
      </c>
      <c r="X2">
        <f>[5]CRP_Outcome_CRP!$BG2</f>
        <v>0</v>
      </c>
      <c r="Y2">
        <f>[5]CRP_Outcome_CRP!$BH2</f>
        <v>0</v>
      </c>
      <c r="AA2">
        <f>[6]CRP_Outcome_CRP!$O2</f>
        <v>0</v>
      </c>
      <c r="AB2">
        <f>[6]CRP_Outcome_CRP!$BF2</f>
        <v>0</v>
      </c>
      <c r="AC2">
        <f>[6]CRP_Outcome_CRP!$BG2</f>
        <v>0</v>
      </c>
      <c r="AD2">
        <f>[6]CRP_Outcome_CRP!$BH2</f>
        <v>0</v>
      </c>
      <c r="AF2">
        <f>[7]CRP_Outcome_CRP!$O2</f>
        <v>0</v>
      </c>
      <c r="AG2">
        <f>[7]CRP_Outcome_CRP!$BF2</f>
        <v>0</v>
      </c>
      <c r="AH2">
        <f>[7]CRP_Outcome_CRP!$BG2</f>
        <v>0</v>
      </c>
      <c r="AI2">
        <f>[7]CRP_Outcome_CRP!$BH2</f>
        <v>0</v>
      </c>
      <c r="AK2">
        <f>[8]CRP_Outcome_CRP!$O2</f>
        <v>0</v>
      </c>
      <c r="AL2">
        <f>[8]CRP_Outcome_CRP!$BF2</f>
        <v>0</v>
      </c>
      <c r="AM2">
        <f>[8]CRP_Outcome_CRP!$BG2</f>
        <v>0</v>
      </c>
      <c r="AN2">
        <f>[8]CRP_Outcome_CRP!$BH2</f>
        <v>0</v>
      </c>
      <c r="AP2">
        <f>[9]CRP_Outcome_CRP!$O2</f>
        <v>0</v>
      </c>
      <c r="AQ2">
        <f>[9]CRP_Outcome_CRP!$BF2</f>
        <v>0</v>
      </c>
      <c r="AR2">
        <f>[9]CRP_Outcome_CRP!$BG2</f>
        <v>0</v>
      </c>
      <c r="AS2">
        <f>[9]CRP_Outcome_CRP!$BH2</f>
        <v>0</v>
      </c>
      <c r="AU2">
        <f>[10]CRP_Outcome_CRP!$O2</f>
        <v>0</v>
      </c>
      <c r="AV2">
        <f>[10]CRP_Outcome_CRP!$BF2</f>
        <v>0</v>
      </c>
      <c r="AW2">
        <f>[10]CRP_Outcome_CRP!$BG2</f>
        <v>0</v>
      </c>
      <c r="AX2">
        <f>[10]CRP_Outcome_CRP!$BH2</f>
        <v>0</v>
      </c>
      <c r="AZ2">
        <f>AVERAGE(AU2,AP2,AK2,AF2,AA2,V2,Q2,L2,G2,B2)</f>
        <v>0</v>
      </c>
      <c r="BA2">
        <f>AVERAGE(AV2,AQ2,AL2,AG2,AB2,W2,R2,M2,H2,C2)</f>
        <v>0</v>
      </c>
      <c r="BB2">
        <f>AVERAGE(AW2,AR2,AM2,AH2,AC2,X2,S2,N2,I2,D2)</f>
        <v>0</v>
      </c>
      <c r="BC2">
        <f>AVERAGE(AX2,AS2,AN2,AI2,AD2,Y2,T2,O2,J2,E2)</f>
        <v>0</v>
      </c>
    </row>
    <row r="3" spans="1:55" x14ac:dyDescent="0.35">
      <c r="A3">
        <v>1</v>
      </c>
      <c r="B3">
        <f>[1]CRP_Outcome_CRP!$O3</f>
        <v>4</v>
      </c>
      <c r="C3">
        <f>[1]CRP_Outcome_CRP!$BF3</f>
        <v>4</v>
      </c>
      <c r="D3">
        <f>[1]CRP_Outcome_CRP!$BG3</f>
        <v>4</v>
      </c>
      <c r="E3">
        <f>[1]CRP_Outcome_CRP!$BH3</f>
        <v>4</v>
      </c>
      <c r="G3">
        <f>[2]CRP_Outcome_CRP!$O3</f>
        <v>4</v>
      </c>
      <c r="H3">
        <f>[2]CRP_Outcome_CRP!$BF3</f>
        <v>4</v>
      </c>
      <c r="I3">
        <f>[2]CRP_Outcome_CRP!$BG3</f>
        <v>4</v>
      </c>
      <c r="J3">
        <f>[2]CRP_Outcome_CRP!$BH3</f>
        <v>4</v>
      </c>
      <c r="L3">
        <f>[3]CRP_Outcome_CRP!$O3</f>
        <v>4</v>
      </c>
      <c r="M3">
        <f>[3]CRP_Outcome_CRP!$BF3</f>
        <v>4</v>
      </c>
      <c r="N3">
        <f>[3]CRP_Outcome_CRP!$BG3</f>
        <v>4</v>
      </c>
      <c r="O3">
        <f>[3]CRP_Outcome_CRP!$BH3</f>
        <v>4</v>
      </c>
      <c r="Q3">
        <f>[4]CRP_Outcome_CRP!$O3</f>
        <v>4</v>
      </c>
      <c r="R3">
        <f>[4]CRP_Outcome_CRP!$BF3</f>
        <v>4</v>
      </c>
      <c r="S3">
        <f>[4]CRP_Outcome_CRP!$BG3</f>
        <v>4</v>
      </c>
      <c r="T3">
        <f>[4]CRP_Outcome_CRP!$BH3</f>
        <v>4</v>
      </c>
      <c r="V3">
        <f>[5]CRP_Outcome_CRP!$O3</f>
        <v>4</v>
      </c>
      <c r="W3">
        <f>[5]CRP_Outcome_CRP!$BF3</f>
        <v>4</v>
      </c>
      <c r="X3">
        <f>[5]CRP_Outcome_CRP!$BG3</f>
        <v>4</v>
      </c>
      <c r="Y3">
        <f>[5]CRP_Outcome_CRP!$BH3</f>
        <v>4</v>
      </c>
      <c r="AA3">
        <f>[6]CRP_Outcome_CRP!$O3</f>
        <v>4</v>
      </c>
      <c r="AB3">
        <f>[6]CRP_Outcome_CRP!$BF3</f>
        <v>4</v>
      </c>
      <c r="AC3">
        <f>[6]CRP_Outcome_CRP!$BG3</f>
        <v>4</v>
      </c>
      <c r="AD3">
        <f>[6]CRP_Outcome_CRP!$BH3</f>
        <v>4</v>
      </c>
      <c r="AF3">
        <f>[7]CRP_Outcome_CRP!$O3</f>
        <v>4</v>
      </c>
      <c r="AG3">
        <f>[7]CRP_Outcome_CRP!$BF3</f>
        <v>4</v>
      </c>
      <c r="AH3">
        <f>[7]CRP_Outcome_CRP!$BG3</f>
        <v>4</v>
      </c>
      <c r="AI3">
        <f>[7]CRP_Outcome_CRP!$BH3</f>
        <v>4</v>
      </c>
      <c r="AK3">
        <f>[8]CRP_Outcome_CRP!$O3</f>
        <v>4</v>
      </c>
      <c r="AL3">
        <f>[8]CRP_Outcome_CRP!$BF3</f>
        <v>4</v>
      </c>
      <c r="AM3">
        <f>[8]CRP_Outcome_CRP!$BG3</f>
        <v>4</v>
      </c>
      <c r="AN3">
        <f>[8]CRP_Outcome_CRP!$BH3</f>
        <v>4</v>
      </c>
      <c r="AP3">
        <f>[9]CRP_Outcome_CRP!$O3</f>
        <v>4</v>
      </c>
      <c r="AQ3">
        <f>[9]CRP_Outcome_CRP!$BF3</f>
        <v>4</v>
      </c>
      <c r="AR3">
        <f>[9]CRP_Outcome_CRP!$BG3</f>
        <v>4</v>
      </c>
      <c r="AS3">
        <f>[9]CRP_Outcome_CRP!$BH3</f>
        <v>4</v>
      </c>
      <c r="AU3">
        <f>[10]CRP_Outcome_CRP!$O3</f>
        <v>4</v>
      </c>
      <c r="AV3">
        <f>[10]CRP_Outcome_CRP!$BF3</f>
        <v>4</v>
      </c>
      <c r="AW3">
        <f>[10]CRP_Outcome_CRP!$BG3</f>
        <v>4</v>
      </c>
      <c r="AX3">
        <f>[10]CRP_Outcome_CRP!$BH3</f>
        <v>4</v>
      </c>
      <c r="AZ3">
        <f t="shared" ref="AZ3:BC38" si="0">AVERAGE(AU3,AP3,AK3,AF3,AA3,V3,Q3,L3,G3,B3)</f>
        <v>4</v>
      </c>
      <c r="BA3">
        <f t="shared" si="0"/>
        <v>4</v>
      </c>
      <c r="BB3">
        <f t="shared" si="0"/>
        <v>4</v>
      </c>
      <c r="BC3">
        <f t="shared" si="0"/>
        <v>4</v>
      </c>
    </row>
    <row r="4" spans="1:55" x14ac:dyDescent="0.35">
      <c r="A4">
        <v>2</v>
      </c>
      <c r="B4">
        <f>[1]CRP_Outcome_CRP!$O4</f>
        <v>4</v>
      </c>
      <c r="C4">
        <f>[1]CRP_Outcome_CRP!$BF4</f>
        <v>4</v>
      </c>
      <c r="D4">
        <f>[1]CRP_Outcome_CRP!$BG4</f>
        <v>4</v>
      </c>
      <c r="E4">
        <f>[1]CRP_Outcome_CRP!$BH4</f>
        <v>4</v>
      </c>
      <c r="G4">
        <f>[2]CRP_Outcome_CRP!$O4</f>
        <v>4</v>
      </c>
      <c r="H4">
        <f>[2]CRP_Outcome_CRP!$BF4</f>
        <v>4</v>
      </c>
      <c r="I4">
        <f>[2]CRP_Outcome_CRP!$BG4</f>
        <v>4</v>
      </c>
      <c r="J4">
        <f>[2]CRP_Outcome_CRP!$BH4</f>
        <v>4</v>
      </c>
      <c r="L4">
        <f>[3]CRP_Outcome_CRP!$O4</f>
        <v>4</v>
      </c>
      <c r="M4">
        <f>[3]CRP_Outcome_CRP!$BF4</f>
        <v>4</v>
      </c>
      <c r="N4">
        <f>[3]CRP_Outcome_CRP!$BG4</f>
        <v>4</v>
      </c>
      <c r="O4">
        <f>[3]CRP_Outcome_CRP!$BH4</f>
        <v>4</v>
      </c>
      <c r="Q4">
        <f>[4]CRP_Outcome_CRP!$O4</f>
        <v>4</v>
      </c>
      <c r="R4">
        <f>[4]CRP_Outcome_CRP!$BF4</f>
        <v>4</v>
      </c>
      <c r="S4">
        <f>[4]CRP_Outcome_CRP!$BG4</f>
        <v>4</v>
      </c>
      <c r="T4">
        <f>[4]CRP_Outcome_CRP!$BH4</f>
        <v>4</v>
      </c>
      <c r="V4">
        <f>[5]CRP_Outcome_CRP!$O4</f>
        <v>4</v>
      </c>
      <c r="W4">
        <f>[5]CRP_Outcome_CRP!$BF4</f>
        <v>4</v>
      </c>
      <c r="X4">
        <f>[5]CRP_Outcome_CRP!$BG4</f>
        <v>4</v>
      </c>
      <c r="Y4">
        <f>[5]CRP_Outcome_CRP!$BH4</f>
        <v>4</v>
      </c>
      <c r="AA4">
        <f>[6]CRP_Outcome_CRP!$O4</f>
        <v>4</v>
      </c>
      <c r="AB4">
        <f>[6]CRP_Outcome_CRP!$BF4</f>
        <v>4</v>
      </c>
      <c r="AC4">
        <f>[6]CRP_Outcome_CRP!$BG4</f>
        <v>4</v>
      </c>
      <c r="AD4">
        <f>[6]CRP_Outcome_CRP!$BH4</f>
        <v>4</v>
      </c>
      <c r="AF4">
        <f>[7]CRP_Outcome_CRP!$O4</f>
        <v>4</v>
      </c>
      <c r="AG4">
        <f>[7]CRP_Outcome_CRP!$BF4</f>
        <v>4</v>
      </c>
      <c r="AH4">
        <f>[7]CRP_Outcome_CRP!$BG4</f>
        <v>4</v>
      </c>
      <c r="AI4">
        <f>[7]CRP_Outcome_CRP!$BH4</f>
        <v>4</v>
      </c>
      <c r="AK4">
        <f>[8]CRP_Outcome_CRP!$O4</f>
        <v>4</v>
      </c>
      <c r="AL4">
        <f>[8]CRP_Outcome_CRP!$BF4</f>
        <v>4</v>
      </c>
      <c r="AM4">
        <f>[8]CRP_Outcome_CRP!$BG4</f>
        <v>4</v>
      </c>
      <c r="AN4">
        <f>[8]CRP_Outcome_CRP!$BH4</f>
        <v>4</v>
      </c>
      <c r="AP4">
        <f>[9]CRP_Outcome_CRP!$O4</f>
        <v>4</v>
      </c>
      <c r="AQ4">
        <f>[9]CRP_Outcome_CRP!$BF4</f>
        <v>4</v>
      </c>
      <c r="AR4">
        <f>[9]CRP_Outcome_CRP!$BG4</f>
        <v>4</v>
      </c>
      <c r="AS4">
        <f>[9]CRP_Outcome_CRP!$BH4</f>
        <v>4</v>
      </c>
      <c r="AU4">
        <f>[10]CRP_Outcome_CRP!$O4</f>
        <v>4</v>
      </c>
      <c r="AV4">
        <f>[10]CRP_Outcome_CRP!$BF4</f>
        <v>4</v>
      </c>
      <c r="AW4">
        <f>[10]CRP_Outcome_CRP!$BG4</f>
        <v>4</v>
      </c>
      <c r="AX4">
        <f>[10]CRP_Outcome_CRP!$BH4</f>
        <v>4</v>
      </c>
      <c r="AZ4">
        <f t="shared" si="0"/>
        <v>4</v>
      </c>
      <c r="BA4">
        <f t="shared" si="0"/>
        <v>4</v>
      </c>
      <c r="BB4">
        <f t="shared" si="0"/>
        <v>4</v>
      </c>
      <c r="BC4">
        <f t="shared" si="0"/>
        <v>4</v>
      </c>
    </row>
    <row r="5" spans="1:55" x14ac:dyDescent="0.35">
      <c r="A5">
        <v>3</v>
      </c>
      <c r="B5">
        <f>[1]CRP_Outcome_CRP!$O5</f>
        <v>4</v>
      </c>
      <c r="C5">
        <f>[1]CRP_Outcome_CRP!$BF5</f>
        <v>4</v>
      </c>
      <c r="D5">
        <f>[1]CRP_Outcome_CRP!$BG5</f>
        <v>4</v>
      </c>
      <c r="E5">
        <f>[1]CRP_Outcome_CRP!$BH5</f>
        <v>4</v>
      </c>
      <c r="G5">
        <f>[2]CRP_Outcome_CRP!$O5</f>
        <v>4</v>
      </c>
      <c r="H5">
        <f>[2]CRP_Outcome_CRP!$BF5</f>
        <v>4</v>
      </c>
      <c r="I5">
        <f>[2]CRP_Outcome_CRP!$BG5</f>
        <v>4</v>
      </c>
      <c r="J5">
        <f>[2]CRP_Outcome_CRP!$BH5</f>
        <v>4</v>
      </c>
      <c r="L5">
        <f>[3]CRP_Outcome_CRP!$O5</f>
        <v>4</v>
      </c>
      <c r="M5">
        <f>[3]CRP_Outcome_CRP!$BF5</f>
        <v>4</v>
      </c>
      <c r="N5">
        <f>[3]CRP_Outcome_CRP!$BG5</f>
        <v>4</v>
      </c>
      <c r="O5">
        <f>[3]CRP_Outcome_CRP!$BH5</f>
        <v>4</v>
      </c>
      <c r="Q5">
        <f>[4]CRP_Outcome_CRP!$O5</f>
        <v>4</v>
      </c>
      <c r="R5">
        <f>[4]CRP_Outcome_CRP!$BF5</f>
        <v>4</v>
      </c>
      <c r="S5">
        <f>[4]CRP_Outcome_CRP!$BG5</f>
        <v>4</v>
      </c>
      <c r="T5">
        <f>[4]CRP_Outcome_CRP!$BH5</f>
        <v>4</v>
      </c>
      <c r="V5">
        <f>[5]CRP_Outcome_CRP!$O5</f>
        <v>4</v>
      </c>
      <c r="W5">
        <f>[5]CRP_Outcome_CRP!$BF5</f>
        <v>4</v>
      </c>
      <c r="X5">
        <f>[5]CRP_Outcome_CRP!$BG5</f>
        <v>4</v>
      </c>
      <c r="Y5">
        <f>[5]CRP_Outcome_CRP!$BH5</f>
        <v>4</v>
      </c>
      <c r="AA5">
        <f>[6]CRP_Outcome_CRP!$O5</f>
        <v>4</v>
      </c>
      <c r="AB5">
        <f>[6]CRP_Outcome_CRP!$BF5</f>
        <v>4</v>
      </c>
      <c r="AC5">
        <f>[6]CRP_Outcome_CRP!$BG5</f>
        <v>4</v>
      </c>
      <c r="AD5">
        <f>[6]CRP_Outcome_CRP!$BH5</f>
        <v>4</v>
      </c>
      <c r="AF5">
        <f>[7]CRP_Outcome_CRP!$O5</f>
        <v>4</v>
      </c>
      <c r="AG5">
        <f>[7]CRP_Outcome_CRP!$BF5</f>
        <v>4</v>
      </c>
      <c r="AH5">
        <f>[7]CRP_Outcome_CRP!$BG5</f>
        <v>4</v>
      </c>
      <c r="AI5">
        <f>[7]CRP_Outcome_CRP!$BH5</f>
        <v>4</v>
      </c>
      <c r="AK5">
        <f>[8]CRP_Outcome_CRP!$O5</f>
        <v>4</v>
      </c>
      <c r="AL5">
        <f>[8]CRP_Outcome_CRP!$BF5</f>
        <v>4</v>
      </c>
      <c r="AM5">
        <f>[8]CRP_Outcome_CRP!$BG5</f>
        <v>4</v>
      </c>
      <c r="AN5">
        <f>[8]CRP_Outcome_CRP!$BH5</f>
        <v>4</v>
      </c>
      <c r="AP5">
        <f>[9]CRP_Outcome_CRP!$O5</f>
        <v>4</v>
      </c>
      <c r="AQ5">
        <f>[9]CRP_Outcome_CRP!$BF5</f>
        <v>4</v>
      </c>
      <c r="AR5">
        <f>[9]CRP_Outcome_CRP!$BG5</f>
        <v>4</v>
      </c>
      <c r="AS5">
        <f>[9]CRP_Outcome_CRP!$BH5</f>
        <v>4</v>
      </c>
      <c r="AU5">
        <f>[10]CRP_Outcome_CRP!$O5</f>
        <v>4</v>
      </c>
      <c r="AV5">
        <f>[10]CRP_Outcome_CRP!$BF5</f>
        <v>4</v>
      </c>
      <c r="AW5">
        <f>[10]CRP_Outcome_CRP!$BG5</f>
        <v>4</v>
      </c>
      <c r="AX5">
        <f>[10]CRP_Outcome_CRP!$BH5</f>
        <v>4</v>
      </c>
      <c r="AZ5">
        <f t="shared" si="0"/>
        <v>4</v>
      </c>
      <c r="BA5">
        <f t="shared" si="0"/>
        <v>4</v>
      </c>
      <c r="BB5">
        <f t="shared" si="0"/>
        <v>4</v>
      </c>
      <c r="BC5">
        <f t="shared" si="0"/>
        <v>4</v>
      </c>
    </row>
    <row r="6" spans="1:55" x14ac:dyDescent="0.35">
      <c r="A6">
        <v>4</v>
      </c>
      <c r="B6">
        <f>[1]CRP_Outcome_CRP!$O6</f>
        <v>4</v>
      </c>
      <c r="C6">
        <f>[1]CRP_Outcome_CRP!$BF6</f>
        <v>4</v>
      </c>
      <c r="D6">
        <f>[1]CRP_Outcome_CRP!$BG6</f>
        <v>4</v>
      </c>
      <c r="E6">
        <f>[1]CRP_Outcome_CRP!$BH6</f>
        <v>4</v>
      </c>
      <c r="G6">
        <f>[2]CRP_Outcome_CRP!$O6</f>
        <v>4</v>
      </c>
      <c r="H6">
        <f>[2]CRP_Outcome_CRP!$BF6</f>
        <v>4</v>
      </c>
      <c r="I6">
        <f>[2]CRP_Outcome_CRP!$BG6</f>
        <v>4</v>
      </c>
      <c r="J6">
        <f>[2]CRP_Outcome_CRP!$BH6</f>
        <v>4</v>
      </c>
      <c r="L6">
        <f>[3]CRP_Outcome_CRP!$O6</f>
        <v>4</v>
      </c>
      <c r="M6">
        <f>[3]CRP_Outcome_CRP!$BF6</f>
        <v>4</v>
      </c>
      <c r="N6">
        <f>[3]CRP_Outcome_CRP!$BG6</f>
        <v>4</v>
      </c>
      <c r="O6">
        <f>[3]CRP_Outcome_CRP!$BH6</f>
        <v>4</v>
      </c>
      <c r="Q6">
        <f>[4]CRP_Outcome_CRP!$O6</f>
        <v>4</v>
      </c>
      <c r="R6">
        <f>[4]CRP_Outcome_CRP!$BF6</f>
        <v>4</v>
      </c>
      <c r="S6">
        <f>[4]CRP_Outcome_CRP!$BG6</f>
        <v>4</v>
      </c>
      <c r="T6">
        <f>[4]CRP_Outcome_CRP!$BH6</f>
        <v>4</v>
      </c>
      <c r="V6">
        <f>[5]CRP_Outcome_CRP!$O6</f>
        <v>4</v>
      </c>
      <c r="W6">
        <f>[5]CRP_Outcome_CRP!$BF6</f>
        <v>4</v>
      </c>
      <c r="X6">
        <f>[5]CRP_Outcome_CRP!$BG6</f>
        <v>4</v>
      </c>
      <c r="Y6">
        <f>[5]CRP_Outcome_CRP!$BH6</f>
        <v>4</v>
      </c>
      <c r="AA6">
        <f>[6]CRP_Outcome_CRP!$O6</f>
        <v>4</v>
      </c>
      <c r="AB6">
        <f>[6]CRP_Outcome_CRP!$BF6</f>
        <v>4</v>
      </c>
      <c r="AC6">
        <f>[6]CRP_Outcome_CRP!$BG6</f>
        <v>4</v>
      </c>
      <c r="AD6">
        <f>[6]CRP_Outcome_CRP!$BH6</f>
        <v>4</v>
      </c>
      <c r="AF6">
        <f>[7]CRP_Outcome_CRP!$O6</f>
        <v>4</v>
      </c>
      <c r="AG6">
        <f>[7]CRP_Outcome_CRP!$BF6</f>
        <v>4</v>
      </c>
      <c r="AH6">
        <f>[7]CRP_Outcome_CRP!$BG6</f>
        <v>4</v>
      </c>
      <c r="AI6">
        <f>[7]CRP_Outcome_CRP!$BH6</f>
        <v>4</v>
      </c>
      <c r="AK6">
        <f>[8]CRP_Outcome_CRP!$O6</f>
        <v>4</v>
      </c>
      <c r="AL6">
        <f>[8]CRP_Outcome_CRP!$BF6</f>
        <v>4</v>
      </c>
      <c r="AM6">
        <f>[8]CRP_Outcome_CRP!$BG6</f>
        <v>4</v>
      </c>
      <c r="AN6">
        <f>[8]CRP_Outcome_CRP!$BH6</f>
        <v>4</v>
      </c>
      <c r="AP6">
        <f>[9]CRP_Outcome_CRP!$O6</f>
        <v>4</v>
      </c>
      <c r="AQ6">
        <f>[9]CRP_Outcome_CRP!$BF6</f>
        <v>4</v>
      </c>
      <c r="AR6">
        <f>[9]CRP_Outcome_CRP!$BG6</f>
        <v>4</v>
      </c>
      <c r="AS6">
        <f>[9]CRP_Outcome_CRP!$BH6</f>
        <v>4</v>
      </c>
      <c r="AU6">
        <f>[10]CRP_Outcome_CRP!$O6</f>
        <v>4</v>
      </c>
      <c r="AV6">
        <f>[10]CRP_Outcome_CRP!$BF6</f>
        <v>4</v>
      </c>
      <c r="AW6">
        <f>[10]CRP_Outcome_CRP!$BG6</f>
        <v>4</v>
      </c>
      <c r="AX6">
        <f>[10]CRP_Outcome_CRP!$BH6</f>
        <v>4</v>
      </c>
      <c r="AZ6">
        <f t="shared" si="0"/>
        <v>4</v>
      </c>
      <c r="BA6">
        <f t="shared" si="0"/>
        <v>4</v>
      </c>
      <c r="BB6">
        <f t="shared" si="0"/>
        <v>4</v>
      </c>
      <c r="BC6">
        <f t="shared" si="0"/>
        <v>4</v>
      </c>
    </row>
    <row r="7" spans="1:55" x14ac:dyDescent="0.35">
      <c r="A7">
        <v>5</v>
      </c>
      <c r="B7">
        <f>[1]CRP_Outcome_CRP!$O7</f>
        <v>8</v>
      </c>
      <c r="C7">
        <f>[1]CRP_Outcome_CRP!$BF7</f>
        <v>4</v>
      </c>
      <c r="D7">
        <f>[1]CRP_Outcome_CRP!$BG7</f>
        <v>4</v>
      </c>
      <c r="E7">
        <f>[1]CRP_Outcome_CRP!$BH7</f>
        <v>4</v>
      </c>
      <c r="G7">
        <f>[2]CRP_Outcome_CRP!$O7</f>
        <v>8</v>
      </c>
      <c r="H7">
        <f>[2]CRP_Outcome_CRP!$BF7</f>
        <v>4</v>
      </c>
      <c r="I7">
        <f>[2]CRP_Outcome_CRP!$BG7</f>
        <v>4</v>
      </c>
      <c r="J7">
        <f>[2]CRP_Outcome_CRP!$BH7</f>
        <v>4</v>
      </c>
      <c r="L7">
        <f>[3]CRP_Outcome_CRP!$O7</f>
        <v>8</v>
      </c>
      <c r="M7">
        <f>[3]CRP_Outcome_CRP!$BF7</f>
        <v>4</v>
      </c>
      <c r="N7">
        <f>[3]CRP_Outcome_CRP!$BG7</f>
        <v>4</v>
      </c>
      <c r="O7">
        <f>[3]CRP_Outcome_CRP!$BH7</f>
        <v>4</v>
      </c>
      <c r="Q7">
        <f>[4]CRP_Outcome_CRP!$O7</f>
        <v>8</v>
      </c>
      <c r="R7">
        <f>[4]CRP_Outcome_CRP!$BF7</f>
        <v>4</v>
      </c>
      <c r="S7">
        <f>[4]CRP_Outcome_CRP!$BG7</f>
        <v>4</v>
      </c>
      <c r="T7">
        <f>[4]CRP_Outcome_CRP!$BH7</f>
        <v>4</v>
      </c>
      <c r="V7">
        <f>[5]CRP_Outcome_CRP!$O7</f>
        <v>8</v>
      </c>
      <c r="W7">
        <f>[5]CRP_Outcome_CRP!$BF7</f>
        <v>4</v>
      </c>
      <c r="X7">
        <f>[5]CRP_Outcome_CRP!$BG7</f>
        <v>4</v>
      </c>
      <c r="Y7">
        <f>[5]CRP_Outcome_CRP!$BH7</f>
        <v>4</v>
      </c>
      <c r="AA7">
        <f>[6]CRP_Outcome_CRP!$O7</f>
        <v>8</v>
      </c>
      <c r="AB7">
        <f>[6]CRP_Outcome_CRP!$BF7</f>
        <v>4</v>
      </c>
      <c r="AC7">
        <f>[6]CRP_Outcome_CRP!$BG7</f>
        <v>4</v>
      </c>
      <c r="AD7">
        <f>[6]CRP_Outcome_CRP!$BH7</f>
        <v>4</v>
      </c>
      <c r="AF7">
        <f>[7]CRP_Outcome_CRP!$O7</f>
        <v>8</v>
      </c>
      <c r="AG7">
        <f>[7]CRP_Outcome_CRP!$BF7</f>
        <v>4</v>
      </c>
      <c r="AH7">
        <f>[7]CRP_Outcome_CRP!$BG7</f>
        <v>4</v>
      </c>
      <c r="AI7">
        <f>[7]CRP_Outcome_CRP!$BH7</f>
        <v>4</v>
      </c>
      <c r="AK7">
        <f>[8]CRP_Outcome_CRP!$O7</f>
        <v>8</v>
      </c>
      <c r="AL7">
        <f>[8]CRP_Outcome_CRP!$BF7</f>
        <v>4</v>
      </c>
      <c r="AM7">
        <f>[8]CRP_Outcome_CRP!$BG7</f>
        <v>4</v>
      </c>
      <c r="AN7">
        <f>[8]CRP_Outcome_CRP!$BH7</f>
        <v>4</v>
      </c>
      <c r="AP7">
        <f>[9]CRP_Outcome_CRP!$O7</f>
        <v>8</v>
      </c>
      <c r="AQ7">
        <f>[9]CRP_Outcome_CRP!$BF7</f>
        <v>4</v>
      </c>
      <c r="AR7">
        <f>[9]CRP_Outcome_CRP!$BG7</f>
        <v>4</v>
      </c>
      <c r="AS7">
        <f>[9]CRP_Outcome_CRP!$BH7</f>
        <v>4</v>
      </c>
      <c r="AU7">
        <f>[10]CRP_Outcome_CRP!$O7</f>
        <v>8</v>
      </c>
      <c r="AV7">
        <f>[10]CRP_Outcome_CRP!$BF7</f>
        <v>4</v>
      </c>
      <c r="AW7">
        <f>[10]CRP_Outcome_CRP!$BG7</f>
        <v>4</v>
      </c>
      <c r="AX7">
        <f>[10]CRP_Outcome_CRP!$BH7</f>
        <v>4</v>
      </c>
      <c r="AZ7">
        <f t="shared" si="0"/>
        <v>8</v>
      </c>
      <c r="BA7">
        <f t="shared" si="0"/>
        <v>4</v>
      </c>
      <c r="BB7">
        <f t="shared" si="0"/>
        <v>4</v>
      </c>
      <c r="BC7">
        <f t="shared" si="0"/>
        <v>4</v>
      </c>
    </row>
    <row r="8" spans="1:55" x14ac:dyDescent="0.35">
      <c r="A8">
        <v>6</v>
      </c>
      <c r="B8">
        <f>[1]CRP_Outcome_CRP!$O8</f>
        <v>8</v>
      </c>
      <c r="C8">
        <f>[1]CRP_Outcome_CRP!$BF8</f>
        <v>0</v>
      </c>
      <c r="D8">
        <f>[1]CRP_Outcome_CRP!$BG8</f>
        <v>8</v>
      </c>
      <c r="E8">
        <f>[1]CRP_Outcome_CRP!$BH8</f>
        <v>0</v>
      </c>
      <c r="G8">
        <f>[2]CRP_Outcome_CRP!$O8</f>
        <v>8</v>
      </c>
      <c r="H8">
        <f>[2]CRP_Outcome_CRP!$BF8</f>
        <v>0</v>
      </c>
      <c r="I8">
        <f>[2]CRP_Outcome_CRP!$BG8</f>
        <v>7</v>
      </c>
      <c r="J8">
        <f>[2]CRP_Outcome_CRP!$BH8</f>
        <v>0</v>
      </c>
      <c r="L8">
        <f>[3]CRP_Outcome_CRP!$O8</f>
        <v>8</v>
      </c>
      <c r="M8">
        <f>[3]CRP_Outcome_CRP!$BF8</f>
        <v>0</v>
      </c>
      <c r="N8">
        <f>[3]CRP_Outcome_CRP!$BG8</f>
        <v>8</v>
      </c>
      <c r="O8">
        <f>[3]CRP_Outcome_CRP!$BH8</f>
        <v>0</v>
      </c>
      <c r="Q8">
        <f>[4]CRP_Outcome_CRP!$O8</f>
        <v>8</v>
      </c>
      <c r="R8">
        <f>[4]CRP_Outcome_CRP!$BF8</f>
        <v>0</v>
      </c>
      <c r="S8">
        <f>[4]CRP_Outcome_CRP!$BG8</f>
        <v>8</v>
      </c>
      <c r="T8">
        <f>[4]CRP_Outcome_CRP!$BH8</f>
        <v>0</v>
      </c>
      <c r="V8">
        <f>[5]CRP_Outcome_CRP!$O8</f>
        <v>8</v>
      </c>
      <c r="W8">
        <f>[5]CRP_Outcome_CRP!$BF8</f>
        <v>0</v>
      </c>
      <c r="X8">
        <f>[5]CRP_Outcome_CRP!$BG8</f>
        <v>6</v>
      </c>
      <c r="Y8">
        <f>[5]CRP_Outcome_CRP!$BH8</f>
        <v>0</v>
      </c>
      <c r="AA8">
        <f>[6]CRP_Outcome_CRP!$O8</f>
        <v>8</v>
      </c>
      <c r="AB8">
        <f>[6]CRP_Outcome_CRP!$BF8</f>
        <v>0</v>
      </c>
      <c r="AC8">
        <f>[6]CRP_Outcome_CRP!$BG8</f>
        <v>6</v>
      </c>
      <c r="AD8">
        <f>[6]CRP_Outcome_CRP!$BH8</f>
        <v>0</v>
      </c>
      <c r="AF8">
        <f>[7]CRP_Outcome_CRP!$O8</f>
        <v>8</v>
      </c>
      <c r="AG8">
        <f>[7]CRP_Outcome_CRP!$BF8</f>
        <v>6</v>
      </c>
      <c r="AH8">
        <f>[7]CRP_Outcome_CRP!$BG8</f>
        <v>7</v>
      </c>
      <c r="AI8">
        <f>[7]CRP_Outcome_CRP!$BH8</f>
        <v>0</v>
      </c>
      <c r="AK8">
        <f>[8]CRP_Outcome_CRP!$O8</f>
        <v>8</v>
      </c>
      <c r="AL8">
        <f>[8]CRP_Outcome_CRP!$BF8</f>
        <v>0</v>
      </c>
      <c r="AM8">
        <f>[8]CRP_Outcome_CRP!$BG8</f>
        <v>7</v>
      </c>
      <c r="AN8">
        <f>[8]CRP_Outcome_CRP!$BH8</f>
        <v>0</v>
      </c>
      <c r="AP8">
        <f>[9]CRP_Outcome_CRP!$O8</f>
        <v>8</v>
      </c>
      <c r="AQ8">
        <f>[9]CRP_Outcome_CRP!$BF8</f>
        <v>0</v>
      </c>
      <c r="AR8">
        <f>[9]CRP_Outcome_CRP!$BG8</f>
        <v>4</v>
      </c>
      <c r="AS8">
        <f>[9]CRP_Outcome_CRP!$BH8</f>
        <v>0</v>
      </c>
      <c r="AU8">
        <f>[10]CRP_Outcome_CRP!$O8</f>
        <v>8</v>
      </c>
      <c r="AV8">
        <f>[10]CRP_Outcome_CRP!$BF8</f>
        <v>0</v>
      </c>
      <c r="AW8">
        <f>[10]CRP_Outcome_CRP!$BG8</f>
        <v>10</v>
      </c>
      <c r="AX8">
        <f>[10]CRP_Outcome_CRP!$BH8</f>
        <v>0</v>
      </c>
      <c r="AZ8">
        <f t="shared" si="0"/>
        <v>8</v>
      </c>
      <c r="BA8">
        <f t="shared" si="0"/>
        <v>0.6</v>
      </c>
      <c r="BB8">
        <f t="shared" si="0"/>
        <v>7.1</v>
      </c>
      <c r="BC8">
        <f t="shared" si="0"/>
        <v>0</v>
      </c>
    </row>
    <row r="9" spans="1:55" x14ac:dyDescent="0.35">
      <c r="A9">
        <v>7</v>
      </c>
      <c r="B9">
        <f>[1]CRP_Outcome_CRP!$O9</f>
        <v>8</v>
      </c>
      <c r="C9">
        <f>[1]CRP_Outcome_CRP!$BF9</f>
        <v>0</v>
      </c>
      <c r="D9">
        <f>[1]CRP_Outcome_CRP!$BG9</f>
        <v>10</v>
      </c>
      <c r="E9">
        <f>[1]CRP_Outcome_CRP!$BH9</f>
        <v>0</v>
      </c>
      <c r="G9">
        <f>[2]CRP_Outcome_CRP!$O9</f>
        <v>8</v>
      </c>
      <c r="H9">
        <f>[2]CRP_Outcome_CRP!$BF9</f>
        <v>1</v>
      </c>
      <c r="I9">
        <f>[2]CRP_Outcome_CRP!$BG9</f>
        <v>9</v>
      </c>
      <c r="J9">
        <f>[2]CRP_Outcome_CRP!$BH9</f>
        <v>0</v>
      </c>
      <c r="L9">
        <f>[3]CRP_Outcome_CRP!$O9</f>
        <v>8</v>
      </c>
      <c r="M9">
        <f>[3]CRP_Outcome_CRP!$BF9</f>
        <v>0</v>
      </c>
      <c r="N9">
        <f>[3]CRP_Outcome_CRP!$BG9</f>
        <v>10</v>
      </c>
      <c r="O9">
        <f>[3]CRP_Outcome_CRP!$BH9</f>
        <v>0</v>
      </c>
      <c r="Q9">
        <f>[4]CRP_Outcome_CRP!$O9</f>
        <v>8</v>
      </c>
      <c r="R9">
        <f>[4]CRP_Outcome_CRP!$BF9</f>
        <v>0</v>
      </c>
      <c r="S9">
        <f>[4]CRP_Outcome_CRP!$BG9</f>
        <v>10</v>
      </c>
      <c r="T9">
        <f>[4]CRP_Outcome_CRP!$BH9</f>
        <v>0</v>
      </c>
      <c r="V9">
        <f>[5]CRP_Outcome_CRP!$O9</f>
        <v>8</v>
      </c>
      <c r="W9">
        <f>[5]CRP_Outcome_CRP!$BF9</f>
        <v>1</v>
      </c>
      <c r="X9">
        <f>[5]CRP_Outcome_CRP!$BG9</f>
        <v>9</v>
      </c>
      <c r="Y9">
        <f>[5]CRP_Outcome_CRP!$BH9</f>
        <v>0</v>
      </c>
      <c r="AA9">
        <f>[6]CRP_Outcome_CRP!$O9</f>
        <v>8</v>
      </c>
      <c r="AB9">
        <f>[6]CRP_Outcome_CRP!$BF9</f>
        <v>1</v>
      </c>
      <c r="AC9">
        <f>[6]CRP_Outcome_CRP!$BG9</f>
        <v>9</v>
      </c>
      <c r="AD9">
        <f>[6]CRP_Outcome_CRP!$BH9</f>
        <v>0</v>
      </c>
      <c r="AF9">
        <f>[7]CRP_Outcome_CRP!$O9</f>
        <v>8</v>
      </c>
      <c r="AG9">
        <f>[7]CRP_Outcome_CRP!$BF9</f>
        <v>0</v>
      </c>
      <c r="AH9">
        <f>[7]CRP_Outcome_CRP!$BG9</f>
        <v>9</v>
      </c>
      <c r="AI9">
        <f>[7]CRP_Outcome_CRP!$BH9</f>
        <v>0</v>
      </c>
      <c r="AK9">
        <f>[8]CRP_Outcome_CRP!$O9</f>
        <v>8</v>
      </c>
      <c r="AL9">
        <f>[8]CRP_Outcome_CRP!$BF9</f>
        <v>0</v>
      </c>
      <c r="AM9">
        <f>[8]CRP_Outcome_CRP!$BG9</f>
        <v>9</v>
      </c>
      <c r="AN9">
        <f>[8]CRP_Outcome_CRP!$BH9</f>
        <v>0</v>
      </c>
      <c r="AP9">
        <f>[9]CRP_Outcome_CRP!$O9</f>
        <v>8</v>
      </c>
      <c r="AQ9">
        <f>[9]CRP_Outcome_CRP!$BF9</f>
        <v>0</v>
      </c>
      <c r="AR9">
        <f>[9]CRP_Outcome_CRP!$BG9</f>
        <v>6</v>
      </c>
      <c r="AS9">
        <f>[9]CRP_Outcome_CRP!$BH9</f>
        <v>1</v>
      </c>
      <c r="AU9">
        <f>[10]CRP_Outcome_CRP!$O9</f>
        <v>8</v>
      </c>
      <c r="AV9">
        <f>[10]CRP_Outcome_CRP!$BF9</f>
        <v>0</v>
      </c>
      <c r="AW9">
        <f>[10]CRP_Outcome_CRP!$BG9</f>
        <v>11</v>
      </c>
      <c r="AX9">
        <f>[10]CRP_Outcome_CRP!$BH9</f>
        <v>0</v>
      </c>
      <c r="AZ9">
        <f t="shared" si="0"/>
        <v>8</v>
      </c>
      <c r="BA9">
        <f t="shared" si="0"/>
        <v>0.3</v>
      </c>
      <c r="BB9">
        <f t="shared" si="0"/>
        <v>9.1999999999999993</v>
      </c>
      <c r="BC9">
        <f t="shared" si="0"/>
        <v>0.1</v>
      </c>
    </row>
    <row r="10" spans="1:55" x14ac:dyDescent="0.35">
      <c r="A10">
        <v>8</v>
      </c>
      <c r="B10">
        <f>[1]CRP_Outcome_CRP!$O10</f>
        <v>8</v>
      </c>
      <c r="C10">
        <f>[1]CRP_Outcome_CRP!$BF10</f>
        <v>0</v>
      </c>
      <c r="D10">
        <f>[1]CRP_Outcome_CRP!$BG10</f>
        <v>10</v>
      </c>
      <c r="E10">
        <f>[1]CRP_Outcome_CRP!$BH10</f>
        <v>11</v>
      </c>
      <c r="G10">
        <f>[2]CRP_Outcome_CRP!$O10</f>
        <v>8</v>
      </c>
      <c r="H10">
        <f>[2]CRP_Outcome_CRP!$BF10</f>
        <v>0</v>
      </c>
      <c r="I10">
        <f>[2]CRP_Outcome_CRP!$BG10</f>
        <v>10</v>
      </c>
      <c r="J10">
        <f>[2]CRP_Outcome_CRP!$BH10</f>
        <v>10</v>
      </c>
      <c r="L10">
        <f>[3]CRP_Outcome_CRP!$O10</f>
        <v>8</v>
      </c>
      <c r="M10">
        <f>[3]CRP_Outcome_CRP!$BF10</f>
        <v>0</v>
      </c>
      <c r="N10">
        <f>[3]CRP_Outcome_CRP!$BG10</f>
        <v>10</v>
      </c>
      <c r="O10">
        <f>[3]CRP_Outcome_CRP!$BH10</f>
        <v>9</v>
      </c>
      <c r="Q10">
        <f>[4]CRP_Outcome_CRP!$O10</f>
        <v>8</v>
      </c>
      <c r="R10">
        <f>[4]CRP_Outcome_CRP!$BF10</f>
        <v>0</v>
      </c>
      <c r="S10">
        <f>[4]CRP_Outcome_CRP!$BG10</f>
        <v>10</v>
      </c>
      <c r="T10">
        <f>[4]CRP_Outcome_CRP!$BH10</f>
        <v>9</v>
      </c>
      <c r="V10">
        <f>[5]CRP_Outcome_CRP!$O10</f>
        <v>8</v>
      </c>
      <c r="W10">
        <f>[5]CRP_Outcome_CRP!$BF10</f>
        <v>0</v>
      </c>
      <c r="X10">
        <f>[5]CRP_Outcome_CRP!$BG10</f>
        <v>10</v>
      </c>
      <c r="Y10">
        <f>[5]CRP_Outcome_CRP!$BH10</f>
        <v>7</v>
      </c>
      <c r="AA10">
        <f>[6]CRP_Outcome_CRP!$O10</f>
        <v>8</v>
      </c>
      <c r="AB10">
        <f>[6]CRP_Outcome_CRP!$BF10</f>
        <v>0</v>
      </c>
      <c r="AC10">
        <f>[6]CRP_Outcome_CRP!$BG10</f>
        <v>10</v>
      </c>
      <c r="AD10">
        <f>[6]CRP_Outcome_CRP!$BH10</f>
        <v>7</v>
      </c>
      <c r="AF10">
        <f>[7]CRP_Outcome_CRP!$O10</f>
        <v>8</v>
      </c>
      <c r="AG10">
        <f>[7]CRP_Outcome_CRP!$BF10</f>
        <v>0</v>
      </c>
      <c r="AH10">
        <f>[7]CRP_Outcome_CRP!$BG10</f>
        <v>9</v>
      </c>
      <c r="AI10">
        <f>[7]CRP_Outcome_CRP!$BH10</f>
        <v>7</v>
      </c>
      <c r="AK10">
        <f>[8]CRP_Outcome_CRP!$O10</f>
        <v>8</v>
      </c>
      <c r="AL10">
        <f>[8]CRP_Outcome_CRP!$BF10</f>
        <v>0</v>
      </c>
      <c r="AM10">
        <f>[8]CRP_Outcome_CRP!$BG10</f>
        <v>9</v>
      </c>
      <c r="AN10">
        <f>[8]CRP_Outcome_CRP!$BH10</f>
        <v>7</v>
      </c>
      <c r="AP10">
        <f>[9]CRP_Outcome_CRP!$O10</f>
        <v>8</v>
      </c>
      <c r="AQ10">
        <f>[9]CRP_Outcome_CRP!$BF10</f>
        <v>0</v>
      </c>
      <c r="AR10">
        <f>[9]CRP_Outcome_CRP!$BG10</f>
        <v>6</v>
      </c>
      <c r="AS10">
        <f>[9]CRP_Outcome_CRP!$BH10</f>
        <v>3</v>
      </c>
      <c r="AU10">
        <f>[10]CRP_Outcome_CRP!$O10</f>
        <v>8</v>
      </c>
      <c r="AV10">
        <f>[10]CRP_Outcome_CRP!$BF10</f>
        <v>0</v>
      </c>
      <c r="AW10">
        <f>[10]CRP_Outcome_CRP!$BG10</f>
        <v>10</v>
      </c>
      <c r="AX10">
        <f>[10]CRP_Outcome_CRP!$BH10</f>
        <v>15</v>
      </c>
      <c r="AZ10">
        <f t="shared" si="0"/>
        <v>8</v>
      </c>
      <c r="BA10">
        <f t="shared" si="0"/>
        <v>0</v>
      </c>
      <c r="BB10">
        <f t="shared" si="0"/>
        <v>9.4</v>
      </c>
      <c r="BC10">
        <f t="shared" si="0"/>
        <v>8.5</v>
      </c>
    </row>
    <row r="11" spans="1:55" x14ac:dyDescent="0.35">
      <c r="A11">
        <v>9</v>
      </c>
      <c r="B11">
        <f>[1]CRP_Outcome_CRP!$O11</f>
        <v>8</v>
      </c>
      <c r="C11">
        <f>[1]CRP_Outcome_CRP!$BF11</f>
        <v>0</v>
      </c>
      <c r="D11">
        <f>[1]CRP_Outcome_CRP!$BG11</f>
        <v>9</v>
      </c>
      <c r="E11">
        <f>[1]CRP_Outcome_CRP!$BH11</f>
        <v>14</v>
      </c>
      <c r="G11">
        <f>[2]CRP_Outcome_CRP!$O11</f>
        <v>8</v>
      </c>
      <c r="H11">
        <f>[2]CRP_Outcome_CRP!$BF11</f>
        <v>0</v>
      </c>
      <c r="I11">
        <f>[2]CRP_Outcome_CRP!$BG11</f>
        <v>10</v>
      </c>
      <c r="J11">
        <f>[2]CRP_Outcome_CRP!$BH11</f>
        <v>13</v>
      </c>
      <c r="L11">
        <f>[3]CRP_Outcome_CRP!$O11</f>
        <v>8</v>
      </c>
      <c r="M11">
        <f>[3]CRP_Outcome_CRP!$BF11</f>
        <v>0</v>
      </c>
      <c r="N11">
        <f>[3]CRP_Outcome_CRP!$BG11</f>
        <v>9</v>
      </c>
      <c r="O11">
        <f>[3]CRP_Outcome_CRP!$BH11</f>
        <v>13</v>
      </c>
      <c r="Q11">
        <f>[4]CRP_Outcome_CRP!$O11</f>
        <v>8</v>
      </c>
      <c r="R11">
        <f>[4]CRP_Outcome_CRP!$BF11</f>
        <v>0</v>
      </c>
      <c r="S11">
        <f>[4]CRP_Outcome_CRP!$BG11</f>
        <v>9</v>
      </c>
      <c r="T11">
        <f>[4]CRP_Outcome_CRP!$BH11</f>
        <v>13</v>
      </c>
      <c r="V11">
        <f>[5]CRP_Outcome_CRP!$O11</f>
        <v>8</v>
      </c>
      <c r="W11">
        <f>[5]CRP_Outcome_CRP!$BF11</f>
        <v>0</v>
      </c>
      <c r="X11">
        <f>[5]CRP_Outcome_CRP!$BG11</f>
        <v>9</v>
      </c>
      <c r="Y11">
        <f>[5]CRP_Outcome_CRP!$BH11</f>
        <v>13</v>
      </c>
      <c r="AA11">
        <f>[6]CRP_Outcome_CRP!$O11</f>
        <v>8</v>
      </c>
      <c r="AB11">
        <f>[6]CRP_Outcome_CRP!$BF11</f>
        <v>0</v>
      </c>
      <c r="AC11">
        <f>[6]CRP_Outcome_CRP!$BG11</f>
        <v>9</v>
      </c>
      <c r="AD11">
        <f>[6]CRP_Outcome_CRP!$BH11</f>
        <v>13</v>
      </c>
      <c r="AF11">
        <f>[7]CRP_Outcome_CRP!$O11</f>
        <v>8</v>
      </c>
      <c r="AG11">
        <f>[7]CRP_Outcome_CRP!$BF11</f>
        <v>0</v>
      </c>
      <c r="AH11">
        <f>[7]CRP_Outcome_CRP!$BG11</f>
        <v>9</v>
      </c>
      <c r="AI11">
        <f>[7]CRP_Outcome_CRP!$BH11</f>
        <v>13</v>
      </c>
      <c r="AK11">
        <f>[8]CRP_Outcome_CRP!$O11</f>
        <v>8</v>
      </c>
      <c r="AL11">
        <f>[8]CRP_Outcome_CRP!$BF11</f>
        <v>0</v>
      </c>
      <c r="AM11">
        <f>[8]CRP_Outcome_CRP!$BG11</f>
        <v>9</v>
      </c>
      <c r="AN11">
        <f>[8]CRP_Outcome_CRP!$BH11</f>
        <v>13</v>
      </c>
      <c r="AP11">
        <f>[9]CRP_Outcome_CRP!$O11</f>
        <v>8</v>
      </c>
      <c r="AQ11">
        <f>[9]CRP_Outcome_CRP!$BF11</f>
        <v>0</v>
      </c>
      <c r="AR11">
        <f>[9]CRP_Outcome_CRP!$BG11</f>
        <v>6</v>
      </c>
      <c r="AS11">
        <f>[9]CRP_Outcome_CRP!$BH11</f>
        <v>5</v>
      </c>
      <c r="AU11">
        <f>[10]CRP_Outcome_CRP!$O11</f>
        <v>8</v>
      </c>
      <c r="AV11">
        <f>[10]CRP_Outcome_CRP!$BF11</f>
        <v>0</v>
      </c>
      <c r="AW11">
        <f>[10]CRP_Outcome_CRP!$BG11</f>
        <v>9</v>
      </c>
      <c r="AX11">
        <f>[10]CRP_Outcome_CRP!$BH11</f>
        <v>16</v>
      </c>
      <c r="AZ11">
        <f t="shared" si="0"/>
        <v>8</v>
      </c>
      <c r="BA11">
        <f t="shared" si="0"/>
        <v>0</v>
      </c>
      <c r="BB11">
        <f t="shared" si="0"/>
        <v>8.8000000000000007</v>
      </c>
      <c r="BC11">
        <f t="shared" si="0"/>
        <v>12.6</v>
      </c>
    </row>
    <row r="12" spans="1:55" x14ac:dyDescent="0.35">
      <c r="A12">
        <v>10</v>
      </c>
      <c r="B12">
        <f>[1]CRP_Outcome_CRP!$O12</f>
        <v>8</v>
      </c>
      <c r="C12">
        <f>[1]CRP_Outcome_CRP!$BF12</f>
        <v>29</v>
      </c>
      <c r="D12">
        <f>[1]CRP_Outcome_CRP!$BG12</f>
        <v>8</v>
      </c>
      <c r="E12">
        <f>[1]CRP_Outcome_CRP!$BH12</f>
        <v>12</v>
      </c>
      <c r="G12">
        <f>[2]CRP_Outcome_CRP!$O12</f>
        <v>8</v>
      </c>
      <c r="H12">
        <f>[2]CRP_Outcome_CRP!$BF12</f>
        <v>11</v>
      </c>
      <c r="I12">
        <f>[2]CRP_Outcome_CRP!$BG12</f>
        <v>8</v>
      </c>
      <c r="J12">
        <f>[2]CRP_Outcome_CRP!$BH12</f>
        <v>13</v>
      </c>
      <c r="L12">
        <f>[3]CRP_Outcome_CRP!$O12</f>
        <v>8</v>
      </c>
      <c r="M12">
        <f>[3]CRP_Outcome_CRP!$BF12</f>
        <v>8</v>
      </c>
      <c r="N12">
        <f>[3]CRP_Outcome_CRP!$BG12</f>
        <v>8</v>
      </c>
      <c r="O12">
        <f>[3]CRP_Outcome_CRP!$BH12</f>
        <v>13</v>
      </c>
      <c r="Q12">
        <f>[4]CRP_Outcome_CRP!$O12</f>
        <v>8</v>
      </c>
      <c r="R12">
        <f>[4]CRP_Outcome_CRP!$BF12</f>
        <v>22</v>
      </c>
      <c r="S12">
        <f>[4]CRP_Outcome_CRP!$BG12</f>
        <v>8</v>
      </c>
      <c r="T12">
        <f>[4]CRP_Outcome_CRP!$BH12</f>
        <v>13</v>
      </c>
      <c r="V12">
        <f>[5]CRP_Outcome_CRP!$O12</f>
        <v>8</v>
      </c>
      <c r="W12">
        <f>[5]CRP_Outcome_CRP!$BF12</f>
        <v>7</v>
      </c>
      <c r="X12">
        <f>[5]CRP_Outcome_CRP!$BG12</f>
        <v>8</v>
      </c>
      <c r="Y12">
        <f>[5]CRP_Outcome_CRP!$BH12</f>
        <v>14</v>
      </c>
      <c r="AA12">
        <f>[6]CRP_Outcome_CRP!$O12</f>
        <v>8</v>
      </c>
      <c r="AB12">
        <f>[6]CRP_Outcome_CRP!$BF12</f>
        <v>7</v>
      </c>
      <c r="AC12">
        <f>[6]CRP_Outcome_CRP!$BG12</f>
        <v>8</v>
      </c>
      <c r="AD12">
        <f>[6]CRP_Outcome_CRP!$BH12</f>
        <v>14</v>
      </c>
      <c r="AF12">
        <f>[7]CRP_Outcome_CRP!$O12</f>
        <v>8</v>
      </c>
      <c r="AG12">
        <f>[7]CRP_Outcome_CRP!$BF12</f>
        <v>5</v>
      </c>
      <c r="AH12">
        <f>[7]CRP_Outcome_CRP!$BG12</f>
        <v>8</v>
      </c>
      <c r="AI12">
        <f>[7]CRP_Outcome_CRP!$BH12</f>
        <v>11</v>
      </c>
      <c r="AK12">
        <f>[8]CRP_Outcome_CRP!$O12</f>
        <v>8</v>
      </c>
      <c r="AL12">
        <f>[8]CRP_Outcome_CRP!$BF12</f>
        <v>6</v>
      </c>
      <c r="AM12">
        <f>[8]CRP_Outcome_CRP!$BG12</f>
        <v>8</v>
      </c>
      <c r="AN12">
        <f>[8]CRP_Outcome_CRP!$BH12</f>
        <v>11</v>
      </c>
      <c r="AP12">
        <f>[9]CRP_Outcome_CRP!$O12</f>
        <v>8</v>
      </c>
      <c r="AQ12">
        <f>[9]CRP_Outcome_CRP!$BF12</f>
        <v>1</v>
      </c>
      <c r="AR12">
        <f>[9]CRP_Outcome_CRP!$BG12</f>
        <v>6</v>
      </c>
      <c r="AS12">
        <f>[9]CRP_Outcome_CRP!$BH12</f>
        <v>7</v>
      </c>
      <c r="AU12">
        <f>[10]CRP_Outcome_CRP!$O12</f>
        <v>8</v>
      </c>
      <c r="AV12">
        <f>[10]CRP_Outcome_CRP!$BF12</f>
        <v>43</v>
      </c>
      <c r="AW12">
        <f>[10]CRP_Outcome_CRP!$BG12</f>
        <v>7</v>
      </c>
      <c r="AX12">
        <f>[10]CRP_Outcome_CRP!$BH12</f>
        <v>10</v>
      </c>
      <c r="AZ12">
        <f t="shared" si="0"/>
        <v>8</v>
      </c>
      <c r="BA12">
        <f t="shared" si="0"/>
        <v>13.9</v>
      </c>
      <c r="BB12">
        <f t="shared" si="0"/>
        <v>7.7</v>
      </c>
      <c r="BC12">
        <f t="shared" si="0"/>
        <v>11.8</v>
      </c>
    </row>
    <row r="13" spans="1:55" x14ac:dyDescent="0.35">
      <c r="A13">
        <v>11</v>
      </c>
      <c r="B13">
        <f>[1]CRP_Outcome_CRP!$O13</f>
        <v>8</v>
      </c>
      <c r="C13">
        <f>[1]CRP_Outcome_CRP!$BF13</f>
        <v>18</v>
      </c>
      <c r="D13">
        <f>[1]CRP_Outcome_CRP!$BG13</f>
        <v>8</v>
      </c>
      <c r="E13">
        <f>[1]CRP_Outcome_CRP!$BH13</f>
        <v>5</v>
      </c>
      <c r="G13">
        <f>[2]CRP_Outcome_CRP!$O13</f>
        <v>8</v>
      </c>
      <c r="H13">
        <f>[2]CRP_Outcome_CRP!$BF13</f>
        <v>17</v>
      </c>
      <c r="I13">
        <f>[2]CRP_Outcome_CRP!$BG13</f>
        <v>8</v>
      </c>
      <c r="J13">
        <f>[2]CRP_Outcome_CRP!$BH13</f>
        <v>6</v>
      </c>
      <c r="L13">
        <f>[3]CRP_Outcome_CRP!$O13</f>
        <v>8</v>
      </c>
      <c r="M13">
        <f>[3]CRP_Outcome_CRP!$BF13</f>
        <v>15</v>
      </c>
      <c r="N13">
        <f>[3]CRP_Outcome_CRP!$BG13</f>
        <v>8</v>
      </c>
      <c r="O13">
        <f>[3]CRP_Outcome_CRP!$BH13</f>
        <v>6</v>
      </c>
      <c r="Q13">
        <f>[4]CRP_Outcome_CRP!$O13</f>
        <v>8</v>
      </c>
      <c r="R13">
        <f>[4]CRP_Outcome_CRP!$BF13</f>
        <v>20</v>
      </c>
      <c r="S13">
        <f>[4]CRP_Outcome_CRP!$BG13</f>
        <v>8</v>
      </c>
      <c r="T13">
        <f>[4]CRP_Outcome_CRP!$BH13</f>
        <v>6</v>
      </c>
      <c r="V13">
        <f>[5]CRP_Outcome_CRP!$O13</f>
        <v>8</v>
      </c>
      <c r="W13">
        <f>[5]CRP_Outcome_CRP!$BF13</f>
        <v>16</v>
      </c>
      <c r="X13">
        <f>[5]CRP_Outcome_CRP!$BG13</f>
        <v>7</v>
      </c>
      <c r="Y13">
        <f>[5]CRP_Outcome_CRP!$BH13</f>
        <v>6</v>
      </c>
      <c r="AA13">
        <f>[6]CRP_Outcome_CRP!$O13</f>
        <v>8</v>
      </c>
      <c r="AB13">
        <f>[6]CRP_Outcome_CRP!$BF13</f>
        <v>16</v>
      </c>
      <c r="AC13">
        <f>[6]CRP_Outcome_CRP!$BG13</f>
        <v>7</v>
      </c>
      <c r="AD13">
        <f>[6]CRP_Outcome_CRP!$BH13</f>
        <v>6</v>
      </c>
      <c r="AF13">
        <f>[7]CRP_Outcome_CRP!$O13</f>
        <v>8</v>
      </c>
      <c r="AG13">
        <f>[7]CRP_Outcome_CRP!$BF13</f>
        <v>33</v>
      </c>
      <c r="AH13">
        <f>[7]CRP_Outcome_CRP!$BG13</f>
        <v>8</v>
      </c>
      <c r="AI13">
        <f>[7]CRP_Outcome_CRP!$BH13</f>
        <v>6</v>
      </c>
      <c r="AK13">
        <f>[8]CRP_Outcome_CRP!$O13</f>
        <v>8</v>
      </c>
      <c r="AL13">
        <f>[8]CRP_Outcome_CRP!$BF13</f>
        <v>14</v>
      </c>
      <c r="AM13">
        <f>[8]CRP_Outcome_CRP!$BG13</f>
        <v>8</v>
      </c>
      <c r="AN13">
        <f>[8]CRP_Outcome_CRP!$BH13</f>
        <v>6</v>
      </c>
      <c r="AP13">
        <f>[9]CRP_Outcome_CRP!$O13</f>
        <v>8</v>
      </c>
      <c r="AQ13">
        <f>[9]CRP_Outcome_CRP!$BF13</f>
        <v>4</v>
      </c>
      <c r="AR13">
        <f>[9]CRP_Outcome_CRP!$BG13</f>
        <v>5</v>
      </c>
      <c r="AS13">
        <f>[9]CRP_Outcome_CRP!$BH13</f>
        <v>3</v>
      </c>
      <c r="AU13">
        <f>[10]CRP_Outcome_CRP!$O13</f>
        <v>8</v>
      </c>
      <c r="AV13">
        <f>[10]CRP_Outcome_CRP!$BF13</f>
        <v>14</v>
      </c>
      <c r="AW13">
        <f>[10]CRP_Outcome_CRP!$BG13</f>
        <v>9</v>
      </c>
      <c r="AX13">
        <f>[10]CRP_Outcome_CRP!$BH13</f>
        <v>5</v>
      </c>
      <c r="AZ13">
        <f t="shared" si="0"/>
        <v>8</v>
      </c>
      <c r="BA13">
        <f t="shared" si="0"/>
        <v>16.7</v>
      </c>
      <c r="BB13">
        <f t="shared" si="0"/>
        <v>7.6</v>
      </c>
      <c r="BC13">
        <f t="shared" si="0"/>
        <v>5.5</v>
      </c>
    </row>
    <row r="14" spans="1:55" x14ac:dyDescent="0.35">
      <c r="A14">
        <v>12</v>
      </c>
      <c r="B14">
        <f>[1]CRP_Outcome_CRP!$O14</f>
        <v>8</v>
      </c>
      <c r="C14">
        <f>[1]CRP_Outcome_CRP!$BF14</f>
        <v>2</v>
      </c>
      <c r="D14">
        <f>[1]CRP_Outcome_CRP!$BG14</f>
        <v>9</v>
      </c>
      <c r="E14">
        <f>[1]CRP_Outcome_CRP!$BH14</f>
        <v>0</v>
      </c>
      <c r="G14">
        <f>[2]CRP_Outcome_CRP!$O14</f>
        <v>8</v>
      </c>
      <c r="H14">
        <f>[2]CRP_Outcome_CRP!$BF14</f>
        <v>15</v>
      </c>
      <c r="I14">
        <f>[2]CRP_Outcome_CRP!$BG14</f>
        <v>9</v>
      </c>
      <c r="J14">
        <f>[2]CRP_Outcome_CRP!$BH14</f>
        <v>0</v>
      </c>
      <c r="L14">
        <f>[3]CRP_Outcome_CRP!$O14</f>
        <v>8</v>
      </c>
      <c r="M14">
        <f>[3]CRP_Outcome_CRP!$BF14</f>
        <v>13</v>
      </c>
      <c r="N14">
        <f>[3]CRP_Outcome_CRP!$BG14</f>
        <v>9</v>
      </c>
      <c r="O14">
        <f>[3]CRP_Outcome_CRP!$BH14</f>
        <v>0</v>
      </c>
      <c r="Q14">
        <f>[4]CRP_Outcome_CRP!$O14</f>
        <v>8</v>
      </c>
      <c r="R14">
        <f>[4]CRP_Outcome_CRP!$BF14</f>
        <v>8</v>
      </c>
      <c r="S14">
        <f>[4]CRP_Outcome_CRP!$BG14</f>
        <v>9</v>
      </c>
      <c r="T14">
        <f>[4]CRP_Outcome_CRP!$BH14</f>
        <v>0</v>
      </c>
      <c r="V14">
        <f>[5]CRP_Outcome_CRP!$O14</f>
        <v>8</v>
      </c>
      <c r="W14">
        <f>[5]CRP_Outcome_CRP!$BF14</f>
        <v>18</v>
      </c>
      <c r="X14">
        <f>[5]CRP_Outcome_CRP!$BG14</f>
        <v>8</v>
      </c>
      <c r="Y14">
        <f>[5]CRP_Outcome_CRP!$BH14</f>
        <v>0</v>
      </c>
      <c r="AA14">
        <f>[6]CRP_Outcome_CRP!$O14</f>
        <v>8</v>
      </c>
      <c r="AB14">
        <f>[6]CRP_Outcome_CRP!$BF14</f>
        <v>18</v>
      </c>
      <c r="AC14">
        <f>[6]CRP_Outcome_CRP!$BG14</f>
        <v>8</v>
      </c>
      <c r="AD14">
        <f>[6]CRP_Outcome_CRP!$BH14</f>
        <v>0</v>
      </c>
      <c r="AF14">
        <f>[7]CRP_Outcome_CRP!$O14</f>
        <v>8</v>
      </c>
      <c r="AG14">
        <f>[7]CRP_Outcome_CRP!$BF14</f>
        <v>5</v>
      </c>
      <c r="AH14">
        <f>[7]CRP_Outcome_CRP!$BG14</f>
        <v>8</v>
      </c>
      <c r="AI14">
        <f>[7]CRP_Outcome_CRP!$BH14</f>
        <v>0</v>
      </c>
      <c r="AK14">
        <f>[8]CRP_Outcome_CRP!$O14</f>
        <v>8</v>
      </c>
      <c r="AL14">
        <f>[8]CRP_Outcome_CRP!$BF14</f>
        <v>11</v>
      </c>
      <c r="AM14">
        <f>[8]CRP_Outcome_CRP!$BG14</f>
        <v>8</v>
      </c>
      <c r="AN14">
        <f>[8]CRP_Outcome_CRP!$BH14</f>
        <v>0</v>
      </c>
      <c r="AP14">
        <f>[9]CRP_Outcome_CRP!$O14</f>
        <v>8</v>
      </c>
      <c r="AQ14">
        <f>[9]CRP_Outcome_CRP!$BF14</f>
        <v>6</v>
      </c>
      <c r="AR14">
        <f>[9]CRP_Outcome_CRP!$BG14</f>
        <v>6</v>
      </c>
      <c r="AS14">
        <f>[9]CRP_Outcome_CRP!$BH14</f>
        <v>2</v>
      </c>
      <c r="AU14">
        <f>[10]CRP_Outcome_CRP!$O14</f>
        <v>8</v>
      </c>
      <c r="AV14">
        <f>[10]CRP_Outcome_CRP!$BF14</f>
        <v>0</v>
      </c>
      <c r="AW14">
        <f>[10]CRP_Outcome_CRP!$BG14</f>
        <v>10</v>
      </c>
      <c r="AX14">
        <f>[10]CRP_Outcome_CRP!$BH14</f>
        <v>0</v>
      </c>
      <c r="AZ14">
        <f t="shared" si="0"/>
        <v>8</v>
      </c>
      <c r="BA14">
        <f t="shared" si="0"/>
        <v>9.6</v>
      </c>
      <c r="BB14">
        <f t="shared" si="0"/>
        <v>8.4</v>
      </c>
      <c r="BC14">
        <f t="shared" si="0"/>
        <v>0.2</v>
      </c>
    </row>
    <row r="15" spans="1:55" x14ac:dyDescent="0.35">
      <c r="A15">
        <v>13</v>
      </c>
      <c r="B15">
        <f>[1]CRP_Outcome_CRP!$O15</f>
        <v>8</v>
      </c>
      <c r="C15">
        <f>[1]CRP_Outcome_CRP!$BF15</f>
        <v>0</v>
      </c>
      <c r="D15">
        <f>[1]CRP_Outcome_CRP!$BG15</f>
        <v>10</v>
      </c>
      <c r="E15">
        <f>[1]CRP_Outcome_CRP!$BH15</f>
        <v>6</v>
      </c>
      <c r="G15">
        <f>[2]CRP_Outcome_CRP!$O15</f>
        <v>8</v>
      </c>
      <c r="H15">
        <f>[2]CRP_Outcome_CRP!$BF15</f>
        <v>2</v>
      </c>
      <c r="I15">
        <f>[2]CRP_Outcome_CRP!$BG15</f>
        <v>9</v>
      </c>
      <c r="J15">
        <f>[2]CRP_Outcome_CRP!$BH15</f>
        <v>3</v>
      </c>
      <c r="L15">
        <f>[3]CRP_Outcome_CRP!$O15</f>
        <v>8</v>
      </c>
      <c r="M15">
        <f>[3]CRP_Outcome_CRP!$BF15</f>
        <v>1</v>
      </c>
      <c r="N15">
        <f>[3]CRP_Outcome_CRP!$BG15</f>
        <v>10</v>
      </c>
      <c r="O15">
        <f>[3]CRP_Outcome_CRP!$BH15</f>
        <v>3</v>
      </c>
      <c r="Q15">
        <f>[4]CRP_Outcome_CRP!$O15</f>
        <v>8</v>
      </c>
      <c r="R15">
        <f>[4]CRP_Outcome_CRP!$BF15</f>
        <v>0</v>
      </c>
      <c r="S15">
        <f>[4]CRP_Outcome_CRP!$BG15</f>
        <v>10</v>
      </c>
      <c r="T15">
        <f>[4]CRP_Outcome_CRP!$BH15</f>
        <v>3</v>
      </c>
      <c r="V15">
        <f>[5]CRP_Outcome_CRP!$O15</f>
        <v>8</v>
      </c>
      <c r="W15">
        <f>[5]CRP_Outcome_CRP!$BF15</f>
        <v>3</v>
      </c>
      <c r="X15">
        <f>[5]CRP_Outcome_CRP!$BG15</f>
        <v>9</v>
      </c>
      <c r="Y15">
        <f>[5]CRP_Outcome_CRP!$BH15</f>
        <v>2</v>
      </c>
      <c r="AA15">
        <f>[6]CRP_Outcome_CRP!$O15</f>
        <v>8</v>
      </c>
      <c r="AB15">
        <f>[6]CRP_Outcome_CRP!$BF15</f>
        <v>3</v>
      </c>
      <c r="AC15">
        <f>[6]CRP_Outcome_CRP!$BG15</f>
        <v>9</v>
      </c>
      <c r="AD15">
        <f>[6]CRP_Outcome_CRP!$BH15</f>
        <v>2</v>
      </c>
      <c r="AF15">
        <f>[7]CRP_Outcome_CRP!$O15</f>
        <v>8</v>
      </c>
      <c r="AG15">
        <f>[7]CRP_Outcome_CRP!$BF15</f>
        <v>0</v>
      </c>
      <c r="AH15">
        <f>[7]CRP_Outcome_CRP!$BG15</f>
        <v>9</v>
      </c>
      <c r="AI15">
        <f>[7]CRP_Outcome_CRP!$BH15</f>
        <v>2</v>
      </c>
      <c r="AK15">
        <f>[8]CRP_Outcome_CRP!$O15</f>
        <v>8</v>
      </c>
      <c r="AL15">
        <f>[8]CRP_Outcome_CRP!$BF15</f>
        <v>2</v>
      </c>
      <c r="AM15">
        <f>[8]CRP_Outcome_CRP!$BG15</f>
        <v>9</v>
      </c>
      <c r="AN15">
        <f>[8]CRP_Outcome_CRP!$BH15</f>
        <v>2</v>
      </c>
      <c r="AP15">
        <f>[9]CRP_Outcome_CRP!$O15</f>
        <v>8</v>
      </c>
      <c r="AQ15">
        <f>[9]CRP_Outcome_CRP!$BF15</f>
        <v>0</v>
      </c>
      <c r="AR15">
        <f>[9]CRP_Outcome_CRP!$BG15</f>
        <v>6</v>
      </c>
      <c r="AS15">
        <f>[9]CRP_Outcome_CRP!$BH15</f>
        <v>0</v>
      </c>
      <c r="AU15">
        <f>[10]CRP_Outcome_CRP!$O15</f>
        <v>8</v>
      </c>
      <c r="AV15">
        <f>[10]CRP_Outcome_CRP!$BF15</f>
        <v>7</v>
      </c>
      <c r="AW15">
        <f>[10]CRP_Outcome_CRP!$BG15</f>
        <v>10</v>
      </c>
      <c r="AX15">
        <f>[10]CRP_Outcome_CRP!$BH15</f>
        <v>9</v>
      </c>
      <c r="AZ15">
        <f t="shared" si="0"/>
        <v>8</v>
      </c>
      <c r="BA15">
        <f t="shared" si="0"/>
        <v>1.8</v>
      </c>
      <c r="BB15">
        <f t="shared" si="0"/>
        <v>9.1</v>
      </c>
      <c r="BC15">
        <f t="shared" si="0"/>
        <v>3.2</v>
      </c>
    </row>
    <row r="16" spans="1:55" x14ac:dyDescent="0.35">
      <c r="A16">
        <v>14</v>
      </c>
      <c r="B16">
        <f>[1]CRP_Outcome_CRP!$O16</f>
        <v>8</v>
      </c>
      <c r="C16">
        <f>[1]CRP_Outcome_CRP!$BF16</f>
        <v>0</v>
      </c>
      <c r="D16">
        <f>[1]CRP_Outcome_CRP!$BG16</f>
        <v>10</v>
      </c>
      <c r="E16">
        <f>[1]CRP_Outcome_CRP!$BH16</f>
        <v>11</v>
      </c>
      <c r="G16">
        <f>[2]CRP_Outcome_CRP!$O16</f>
        <v>8</v>
      </c>
      <c r="H16">
        <f>[2]CRP_Outcome_CRP!$BF16</f>
        <v>0</v>
      </c>
      <c r="I16">
        <f>[2]CRP_Outcome_CRP!$BG16</f>
        <v>10</v>
      </c>
      <c r="J16">
        <f>[2]CRP_Outcome_CRP!$BH16</f>
        <v>14</v>
      </c>
      <c r="L16">
        <f>[3]CRP_Outcome_CRP!$O16</f>
        <v>8</v>
      </c>
      <c r="M16">
        <f>[3]CRP_Outcome_CRP!$BF16</f>
        <v>0</v>
      </c>
      <c r="N16">
        <f>[3]CRP_Outcome_CRP!$BG16</f>
        <v>10</v>
      </c>
      <c r="O16">
        <f>[3]CRP_Outcome_CRP!$BH16</f>
        <v>10</v>
      </c>
      <c r="Q16">
        <f>[4]CRP_Outcome_CRP!$O16</f>
        <v>8</v>
      </c>
      <c r="R16">
        <f>[4]CRP_Outcome_CRP!$BF16</f>
        <v>0</v>
      </c>
      <c r="S16">
        <f>[4]CRP_Outcome_CRP!$BG16</f>
        <v>10</v>
      </c>
      <c r="T16">
        <f>[4]CRP_Outcome_CRP!$BH16</f>
        <v>10</v>
      </c>
      <c r="V16">
        <f>[5]CRP_Outcome_CRP!$O16</f>
        <v>8</v>
      </c>
      <c r="W16">
        <f>[5]CRP_Outcome_CRP!$BF16</f>
        <v>0</v>
      </c>
      <c r="X16">
        <f>[5]CRP_Outcome_CRP!$BG16</f>
        <v>9</v>
      </c>
      <c r="Y16">
        <f>[5]CRP_Outcome_CRP!$BH16</f>
        <v>10</v>
      </c>
      <c r="AA16">
        <f>[6]CRP_Outcome_CRP!$O16</f>
        <v>8</v>
      </c>
      <c r="AB16">
        <f>[6]CRP_Outcome_CRP!$BF16</f>
        <v>0</v>
      </c>
      <c r="AC16">
        <f>[6]CRP_Outcome_CRP!$BG16</f>
        <v>9</v>
      </c>
      <c r="AD16">
        <f>[6]CRP_Outcome_CRP!$BH16</f>
        <v>10</v>
      </c>
      <c r="AF16">
        <f>[7]CRP_Outcome_CRP!$O16</f>
        <v>8</v>
      </c>
      <c r="AG16">
        <f>[7]CRP_Outcome_CRP!$BF16</f>
        <v>0</v>
      </c>
      <c r="AH16">
        <f>[7]CRP_Outcome_CRP!$BG16</f>
        <v>9</v>
      </c>
      <c r="AI16">
        <f>[7]CRP_Outcome_CRP!$BH16</f>
        <v>9</v>
      </c>
      <c r="AK16">
        <f>[8]CRP_Outcome_CRP!$O16</f>
        <v>8</v>
      </c>
      <c r="AL16">
        <f>[8]CRP_Outcome_CRP!$BF16</f>
        <v>0</v>
      </c>
      <c r="AM16">
        <f>[8]CRP_Outcome_CRP!$BG16</f>
        <v>9</v>
      </c>
      <c r="AN16">
        <f>[8]CRP_Outcome_CRP!$BH16</f>
        <v>9</v>
      </c>
      <c r="AP16">
        <f>[9]CRP_Outcome_CRP!$O16</f>
        <v>8</v>
      </c>
      <c r="AQ16">
        <f>[9]CRP_Outcome_CRP!$BF16</f>
        <v>0</v>
      </c>
      <c r="AR16">
        <f>[9]CRP_Outcome_CRP!$BG16</f>
        <v>6</v>
      </c>
      <c r="AS16">
        <f>[9]CRP_Outcome_CRP!$BH16</f>
        <v>4</v>
      </c>
      <c r="AU16">
        <f>[10]CRP_Outcome_CRP!$O16</f>
        <v>8</v>
      </c>
      <c r="AV16">
        <f>[10]CRP_Outcome_CRP!$BF16</f>
        <v>0</v>
      </c>
      <c r="AW16">
        <f>[10]CRP_Outcome_CRP!$BG16</f>
        <v>10</v>
      </c>
      <c r="AX16">
        <f>[10]CRP_Outcome_CRP!$BH16</f>
        <v>14</v>
      </c>
      <c r="AZ16">
        <f t="shared" si="0"/>
        <v>8</v>
      </c>
      <c r="BA16">
        <f t="shared" si="0"/>
        <v>0</v>
      </c>
      <c r="BB16">
        <f t="shared" si="0"/>
        <v>9.1999999999999993</v>
      </c>
      <c r="BC16">
        <f t="shared" si="0"/>
        <v>10.1</v>
      </c>
    </row>
    <row r="17" spans="1:55" x14ac:dyDescent="0.35">
      <c r="A17">
        <v>15</v>
      </c>
      <c r="B17">
        <f>[1]CRP_Outcome_CRP!$O17</f>
        <v>8</v>
      </c>
      <c r="C17">
        <f>[1]CRP_Outcome_CRP!$BF17</f>
        <v>6</v>
      </c>
      <c r="D17">
        <f>[1]CRP_Outcome_CRP!$BG17</f>
        <v>9</v>
      </c>
      <c r="E17">
        <f>[1]CRP_Outcome_CRP!$BH17</f>
        <v>16</v>
      </c>
      <c r="G17">
        <f>[2]CRP_Outcome_CRP!$O17</f>
        <v>8</v>
      </c>
      <c r="H17">
        <f>[2]CRP_Outcome_CRP!$BF17</f>
        <v>0</v>
      </c>
      <c r="I17">
        <f>[2]CRP_Outcome_CRP!$BG17</f>
        <v>9</v>
      </c>
      <c r="J17">
        <f>[2]CRP_Outcome_CRP!$BH17</f>
        <v>14</v>
      </c>
      <c r="L17">
        <f>[3]CRP_Outcome_CRP!$O17</f>
        <v>8</v>
      </c>
      <c r="M17">
        <f>[3]CRP_Outcome_CRP!$BF17</f>
        <v>0</v>
      </c>
      <c r="N17">
        <f>[3]CRP_Outcome_CRP!$BG17</f>
        <v>9</v>
      </c>
      <c r="O17">
        <f>[3]CRP_Outcome_CRP!$BH17</f>
        <v>15</v>
      </c>
      <c r="Q17">
        <f>[4]CRP_Outcome_CRP!$O17</f>
        <v>8</v>
      </c>
      <c r="R17">
        <f>[4]CRP_Outcome_CRP!$BF17</f>
        <v>0</v>
      </c>
      <c r="S17">
        <f>[4]CRP_Outcome_CRP!$BG17</f>
        <v>9</v>
      </c>
      <c r="T17">
        <f>[4]CRP_Outcome_CRP!$BH17</f>
        <v>15</v>
      </c>
      <c r="V17">
        <f>[5]CRP_Outcome_CRP!$O17</f>
        <v>8</v>
      </c>
      <c r="W17">
        <f>[5]CRP_Outcome_CRP!$BF17</f>
        <v>0</v>
      </c>
      <c r="X17">
        <f>[5]CRP_Outcome_CRP!$BG17</f>
        <v>9</v>
      </c>
      <c r="Y17">
        <f>[5]CRP_Outcome_CRP!$BH17</f>
        <v>15</v>
      </c>
      <c r="AA17">
        <f>[6]CRP_Outcome_CRP!$O17</f>
        <v>8</v>
      </c>
      <c r="AB17">
        <f>[6]CRP_Outcome_CRP!$BF17</f>
        <v>0</v>
      </c>
      <c r="AC17">
        <f>[6]CRP_Outcome_CRP!$BG17</f>
        <v>9</v>
      </c>
      <c r="AD17">
        <f>[6]CRP_Outcome_CRP!$BH17</f>
        <v>15</v>
      </c>
      <c r="AF17">
        <f>[7]CRP_Outcome_CRP!$O17</f>
        <v>8</v>
      </c>
      <c r="AG17">
        <f>[7]CRP_Outcome_CRP!$BF17</f>
        <v>0</v>
      </c>
      <c r="AH17">
        <f>[7]CRP_Outcome_CRP!$BG17</f>
        <v>9</v>
      </c>
      <c r="AI17">
        <f>[7]CRP_Outcome_CRP!$BH17</f>
        <v>14</v>
      </c>
      <c r="AK17">
        <f>[8]CRP_Outcome_CRP!$O17</f>
        <v>8</v>
      </c>
      <c r="AL17">
        <f>[8]CRP_Outcome_CRP!$BF17</f>
        <v>0</v>
      </c>
      <c r="AM17">
        <f>[8]CRP_Outcome_CRP!$BG17</f>
        <v>9</v>
      </c>
      <c r="AN17">
        <f>[8]CRP_Outcome_CRP!$BH17</f>
        <v>14</v>
      </c>
      <c r="AP17">
        <f>[9]CRP_Outcome_CRP!$O17</f>
        <v>8</v>
      </c>
      <c r="AQ17">
        <f>[9]CRP_Outcome_CRP!$BF17</f>
        <v>0</v>
      </c>
      <c r="AR17">
        <f>[9]CRP_Outcome_CRP!$BG17</f>
        <v>6</v>
      </c>
      <c r="AS17">
        <f>[9]CRP_Outcome_CRP!$BH17</f>
        <v>8</v>
      </c>
      <c r="AU17">
        <f>[10]CRP_Outcome_CRP!$O17</f>
        <v>8</v>
      </c>
      <c r="AV17">
        <f>[10]CRP_Outcome_CRP!$BF17</f>
        <v>11</v>
      </c>
      <c r="AW17">
        <f>[10]CRP_Outcome_CRP!$BG17</f>
        <v>9</v>
      </c>
      <c r="AX17">
        <f>[10]CRP_Outcome_CRP!$BH17</f>
        <v>13</v>
      </c>
      <c r="AZ17">
        <f t="shared" si="0"/>
        <v>8</v>
      </c>
      <c r="BA17">
        <f t="shared" si="0"/>
        <v>1.7</v>
      </c>
      <c r="BB17">
        <f t="shared" si="0"/>
        <v>8.6999999999999993</v>
      </c>
      <c r="BC17">
        <f t="shared" si="0"/>
        <v>13.9</v>
      </c>
    </row>
    <row r="18" spans="1:55" x14ac:dyDescent="0.35">
      <c r="A18">
        <v>16</v>
      </c>
      <c r="B18">
        <f>[1]CRP_Outcome_CRP!$O18</f>
        <v>8</v>
      </c>
      <c r="C18">
        <f>[1]CRP_Outcome_CRP!$BF18</f>
        <v>33</v>
      </c>
      <c r="D18">
        <f>[1]CRP_Outcome_CRP!$BG18</f>
        <v>9</v>
      </c>
      <c r="E18">
        <f>[1]CRP_Outcome_CRP!$BH18</f>
        <v>11</v>
      </c>
      <c r="G18">
        <f>[2]CRP_Outcome_CRP!$O18</f>
        <v>8</v>
      </c>
      <c r="H18">
        <f>[2]CRP_Outcome_CRP!$BF18</f>
        <v>15</v>
      </c>
      <c r="I18">
        <f>[2]CRP_Outcome_CRP!$BG18</f>
        <v>9</v>
      </c>
      <c r="J18">
        <f>[2]CRP_Outcome_CRP!$BH18</f>
        <v>12</v>
      </c>
      <c r="L18">
        <f>[3]CRP_Outcome_CRP!$O18</f>
        <v>8</v>
      </c>
      <c r="M18">
        <f>[3]CRP_Outcome_CRP!$BF18</f>
        <v>7</v>
      </c>
      <c r="N18">
        <f>[3]CRP_Outcome_CRP!$BG18</f>
        <v>9</v>
      </c>
      <c r="O18">
        <f>[3]CRP_Outcome_CRP!$BH18</f>
        <v>13</v>
      </c>
      <c r="Q18">
        <f>[4]CRP_Outcome_CRP!$O18</f>
        <v>8</v>
      </c>
      <c r="R18">
        <f>[4]CRP_Outcome_CRP!$BF18</f>
        <v>25</v>
      </c>
      <c r="S18">
        <f>[4]CRP_Outcome_CRP!$BG18</f>
        <v>9</v>
      </c>
      <c r="T18">
        <f>[4]CRP_Outcome_CRP!$BH18</f>
        <v>13</v>
      </c>
      <c r="V18">
        <f>[5]CRP_Outcome_CRP!$O18</f>
        <v>8</v>
      </c>
      <c r="W18">
        <f>[5]CRP_Outcome_CRP!$BF18</f>
        <v>8</v>
      </c>
      <c r="X18">
        <f>[5]CRP_Outcome_CRP!$BG18</f>
        <v>9</v>
      </c>
      <c r="Y18">
        <f>[5]CRP_Outcome_CRP!$BH18</f>
        <v>11</v>
      </c>
      <c r="AA18">
        <f>[6]CRP_Outcome_CRP!$O18</f>
        <v>8</v>
      </c>
      <c r="AB18">
        <f>[6]CRP_Outcome_CRP!$BF18</f>
        <v>8</v>
      </c>
      <c r="AC18">
        <f>[6]CRP_Outcome_CRP!$BG18</f>
        <v>9</v>
      </c>
      <c r="AD18">
        <f>[6]CRP_Outcome_CRP!$BH18</f>
        <v>11</v>
      </c>
      <c r="AF18">
        <f>[7]CRP_Outcome_CRP!$O18</f>
        <v>8</v>
      </c>
      <c r="AG18">
        <f>[7]CRP_Outcome_CRP!$BF18</f>
        <v>19</v>
      </c>
      <c r="AH18">
        <f>[7]CRP_Outcome_CRP!$BG18</f>
        <v>8</v>
      </c>
      <c r="AI18">
        <f>[7]CRP_Outcome_CRP!$BH18</f>
        <v>12</v>
      </c>
      <c r="AK18">
        <f>[8]CRP_Outcome_CRP!$O18</f>
        <v>8</v>
      </c>
      <c r="AL18">
        <f>[8]CRP_Outcome_CRP!$BF18</f>
        <v>5</v>
      </c>
      <c r="AM18">
        <f>[8]CRP_Outcome_CRP!$BG18</f>
        <v>8</v>
      </c>
      <c r="AN18">
        <f>[8]CRP_Outcome_CRP!$BH18</f>
        <v>12</v>
      </c>
      <c r="AP18">
        <f>[9]CRP_Outcome_CRP!$O18</f>
        <v>8</v>
      </c>
      <c r="AQ18">
        <f>[9]CRP_Outcome_CRP!$BF18</f>
        <v>0</v>
      </c>
      <c r="AR18">
        <f>[9]CRP_Outcome_CRP!$BG18</f>
        <v>5</v>
      </c>
      <c r="AS18">
        <f>[9]CRP_Outcome_CRP!$BH18</f>
        <v>5</v>
      </c>
      <c r="AU18">
        <f>[10]CRP_Outcome_CRP!$O18</f>
        <v>8</v>
      </c>
      <c r="AV18">
        <f>[10]CRP_Outcome_CRP!$BF18</f>
        <v>36</v>
      </c>
      <c r="AW18">
        <f>[10]CRP_Outcome_CRP!$BG18</f>
        <v>9</v>
      </c>
      <c r="AX18">
        <f>[10]CRP_Outcome_CRP!$BH18</f>
        <v>10</v>
      </c>
      <c r="AZ18">
        <f t="shared" si="0"/>
        <v>8</v>
      </c>
      <c r="BA18">
        <f t="shared" si="0"/>
        <v>15.6</v>
      </c>
      <c r="BB18">
        <f t="shared" si="0"/>
        <v>8.4</v>
      </c>
      <c r="BC18">
        <f t="shared" si="0"/>
        <v>11</v>
      </c>
    </row>
    <row r="19" spans="1:55" x14ac:dyDescent="0.35">
      <c r="A19">
        <v>17</v>
      </c>
      <c r="B19">
        <f>[1]CRP_Outcome_CRP!$O19</f>
        <v>8</v>
      </c>
      <c r="C19">
        <f>[1]CRP_Outcome_CRP!$BF19</f>
        <v>22</v>
      </c>
      <c r="D19">
        <f>[1]CRP_Outcome_CRP!$BG19</f>
        <v>9</v>
      </c>
      <c r="E19">
        <f>[1]CRP_Outcome_CRP!$BH19</f>
        <v>2</v>
      </c>
      <c r="G19">
        <f>[2]CRP_Outcome_CRP!$O19</f>
        <v>8</v>
      </c>
      <c r="H19">
        <f>[2]CRP_Outcome_CRP!$BF19</f>
        <v>21</v>
      </c>
      <c r="I19">
        <f>[2]CRP_Outcome_CRP!$BG19</f>
        <v>9</v>
      </c>
      <c r="J19">
        <f>[2]CRP_Outcome_CRP!$BH19</f>
        <v>0</v>
      </c>
      <c r="L19">
        <f>[3]CRP_Outcome_CRP!$O19</f>
        <v>8</v>
      </c>
      <c r="M19">
        <f>[3]CRP_Outcome_CRP!$BF19</f>
        <v>20</v>
      </c>
      <c r="N19">
        <f>[3]CRP_Outcome_CRP!$BG19</f>
        <v>9</v>
      </c>
      <c r="O19">
        <f>[3]CRP_Outcome_CRP!$BH19</f>
        <v>4</v>
      </c>
      <c r="Q19">
        <f>[4]CRP_Outcome_CRP!$O19</f>
        <v>8</v>
      </c>
      <c r="R19">
        <f>[4]CRP_Outcome_CRP!$BF19</f>
        <v>31</v>
      </c>
      <c r="S19">
        <f>[4]CRP_Outcome_CRP!$BG19</f>
        <v>9</v>
      </c>
      <c r="T19">
        <f>[4]CRP_Outcome_CRP!$BH19</f>
        <v>4</v>
      </c>
      <c r="V19">
        <f>[5]CRP_Outcome_CRP!$O19</f>
        <v>8</v>
      </c>
      <c r="W19">
        <f>[5]CRP_Outcome_CRP!$BF19</f>
        <v>22</v>
      </c>
      <c r="X19">
        <f>[5]CRP_Outcome_CRP!$BG19</f>
        <v>8</v>
      </c>
      <c r="Y19">
        <f>[5]CRP_Outcome_CRP!$BH19</f>
        <v>4</v>
      </c>
      <c r="AA19">
        <f>[6]CRP_Outcome_CRP!$O19</f>
        <v>8</v>
      </c>
      <c r="AB19">
        <f>[6]CRP_Outcome_CRP!$BF19</f>
        <v>22</v>
      </c>
      <c r="AC19">
        <f>[6]CRP_Outcome_CRP!$BG19</f>
        <v>8</v>
      </c>
      <c r="AD19">
        <f>[6]CRP_Outcome_CRP!$BH19</f>
        <v>4</v>
      </c>
      <c r="AF19">
        <f>[7]CRP_Outcome_CRP!$O19</f>
        <v>8</v>
      </c>
      <c r="AG19">
        <f>[7]CRP_Outcome_CRP!$BF19</f>
        <v>29</v>
      </c>
      <c r="AH19">
        <f>[7]CRP_Outcome_CRP!$BG19</f>
        <v>8</v>
      </c>
      <c r="AI19">
        <f>[7]CRP_Outcome_CRP!$BH19</f>
        <v>4</v>
      </c>
      <c r="AK19">
        <f>[8]CRP_Outcome_CRP!$O19</f>
        <v>8</v>
      </c>
      <c r="AL19">
        <f>[8]CRP_Outcome_CRP!$BF19</f>
        <v>18</v>
      </c>
      <c r="AM19">
        <f>[8]CRP_Outcome_CRP!$BG19</f>
        <v>8</v>
      </c>
      <c r="AN19">
        <f>[8]CRP_Outcome_CRP!$BH19</f>
        <v>4</v>
      </c>
      <c r="AP19">
        <f>[9]CRP_Outcome_CRP!$O19</f>
        <v>8</v>
      </c>
      <c r="AQ19">
        <f>[9]CRP_Outcome_CRP!$BF19</f>
        <v>9</v>
      </c>
      <c r="AR19">
        <f>[9]CRP_Outcome_CRP!$BG19</f>
        <v>6</v>
      </c>
      <c r="AS19">
        <f>[9]CRP_Outcome_CRP!$BH19</f>
        <v>4</v>
      </c>
      <c r="AU19">
        <f>[10]CRP_Outcome_CRP!$O19</f>
        <v>8</v>
      </c>
      <c r="AV19">
        <f>[10]CRP_Outcome_CRP!$BF19</f>
        <v>0</v>
      </c>
      <c r="AW19">
        <f>[10]CRP_Outcome_CRP!$BG19</f>
        <v>9</v>
      </c>
      <c r="AX19">
        <f>[10]CRP_Outcome_CRP!$BH19</f>
        <v>9</v>
      </c>
      <c r="AZ19">
        <f t="shared" si="0"/>
        <v>8</v>
      </c>
      <c r="BA19">
        <f t="shared" si="0"/>
        <v>19.399999999999999</v>
      </c>
      <c r="BB19">
        <f t="shared" si="0"/>
        <v>8.3000000000000007</v>
      </c>
      <c r="BC19">
        <f t="shared" si="0"/>
        <v>3.9</v>
      </c>
    </row>
    <row r="20" spans="1:55" x14ac:dyDescent="0.35">
      <c r="A20">
        <v>18</v>
      </c>
      <c r="B20">
        <f>[1]CRP_Outcome_CRP!$O20</f>
        <v>8</v>
      </c>
      <c r="C20">
        <f>[1]CRP_Outcome_CRP!$BF20</f>
        <v>0</v>
      </c>
      <c r="D20">
        <f>[1]CRP_Outcome_CRP!$BG20</f>
        <v>9</v>
      </c>
      <c r="E20">
        <f>[1]CRP_Outcome_CRP!$BH20</f>
        <v>5</v>
      </c>
      <c r="G20">
        <f>[2]CRP_Outcome_CRP!$O20</f>
        <v>8</v>
      </c>
      <c r="H20">
        <f>[2]CRP_Outcome_CRP!$BF20</f>
        <v>14</v>
      </c>
      <c r="I20">
        <f>[2]CRP_Outcome_CRP!$BG20</f>
        <v>9</v>
      </c>
      <c r="J20">
        <f>[2]CRP_Outcome_CRP!$BH20</f>
        <v>0</v>
      </c>
      <c r="L20">
        <f>[3]CRP_Outcome_CRP!$O20</f>
        <v>8</v>
      </c>
      <c r="M20">
        <f>[3]CRP_Outcome_CRP!$BF20</f>
        <v>14</v>
      </c>
      <c r="N20">
        <f>[3]CRP_Outcome_CRP!$BG20</f>
        <v>9</v>
      </c>
      <c r="O20">
        <f>[3]CRP_Outcome_CRP!$BH20</f>
        <v>2</v>
      </c>
      <c r="Q20">
        <f>[4]CRP_Outcome_CRP!$O20</f>
        <v>8</v>
      </c>
      <c r="R20">
        <f>[4]CRP_Outcome_CRP!$BF20</f>
        <v>0</v>
      </c>
      <c r="S20">
        <f>[4]CRP_Outcome_CRP!$BG20</f>
        <v>8</v>
      </c>
      <c r="T20">
        <f>[4]CRP_Outcome_CRP!$BH20</f>
        <v>3</v>
      </c>
      <c r="V20">
        <f>[5]CRP_Outcome_CRP!$O20</f>
        <v>8</v>
      </c>
      <c r="W20">
        <f>[5]CRP_Outcome_CRP!$BF20</f>
        <v>14</v>
      </c>
      <c r="X20">
        <f>[5]CRP_Outcome_CRP!$BG20</f>
        <v>8</v>
      </c>
      <c r="Y20">
        <f>[5]CRP_Outcome_CRP!$BH20</f>
        <v>2</v>
      </c>
      <c r="AA20">
        <f>[6]CRP_Outcome_CRP!$O20</f>
        <v>8</v>
      </c>
      <c r="AB20">
        <f>[6]CRP_Outcome_CRP!$BF20</f>
        <v>14</v>
      </c>
      <c r="AC20">
        <f>[6]CRP_Outcome_CRP!$BG20</f>
        <v>8</v>
      </c>
      <c r="AD20">
        <f>[6]CRP_Outcome_CRP!$BH20</f>
        <v>2</v>
      </c>
      <c r="AF20">
        <f>[7]CRP_Outcome_CRP!$O20</f>
        <v>8</v>
      </c>
      <c r="AG20">
        <f>[7]CRP_Outcome_CRP!$BF20</f>
        <v>3</v>
      </c>
      <c r="AH20">
        <f>[7]CRP_Outcome_CRP!$BG20</f>
        <v>9</v>
      </c>
      <c r="AI20">
        <f>[7]CRP_Outcome_CRP!$BH20</f>
        <v>0</v>
      </c>
      <c r="AK20">
        <f>[8]CRP_Outcome_CRP!$O20</f>
        <v>8</v>
      </c>
      <c r="AL20">
        <f>[8]CRP_Outcome_CRP!$BF20</f>
        <v>13</v>
      </c>
      <c r="AM20">
        <f>[8]CRP_Outcome_CRP!$BG20</f>
        <v>9</v>
      </c>
      <c r="AN20">
        <f>[8]CRP_Outcome_CRP!$BH20</f>
        <v>0</v>
      </c>
      <c r="AP20">
        <f>[9]CRP_Outcome_CRP!$O20</f>
        <v>8</v>
      </c>
      <c r="AQ20">
        <f>[9]CRP_Outcome_CRP!$BF20</f>
        <v>4</v>
      </c>
      <c r="AR20">
        <f>[9]CRP_Outcome_CRP!$BG20</f>
        <v>6</v>
      </c>
      <c r="AS20">
        <f>[9]CRP_Outcome_CRP!$BH20</f>
        <v>0</v>
      </c>
      <c r="AU20">
        <f>[10]CRP_Outcome_CRP!$O20</f>
        <v>8</v>
      </c>
      <c r="AV20">
        <f>[10]CRP_Outcome_CRP!$BF20</f>
        <v>2</v>
      </c>
      <c r="AW20">
        <f>[10]CRP_Outcome_CRP!$BG20</f>
        <v>9</v>
      </c>
      <c r="AX20">
        <f>[10]CRP_Outcome_CRP!$BH20</f>
        <v>0</v>
      </c>
      <c r="AZ20">
        <f t="shared" si="0"/>
        <v>8</v>
      </c>
      <c r="BA20">
        <f t="shared" si="0"/>
        <v>7.8</v>
      </c>
      <c r="BB20">
        <f t="shared" si="0"/>
        <v>8.4</v>
      </c>
      <c r="BC20">
        <f t="shared" si="0"/>
        <v>1.4</v>
      </c>
    </row>
    <row r="21" spans="1:55" x14ac:dyDescent="0.35">
      <c r="A21">
        <v>19</v>
      </c>
      <c r="B21">
        <f>[1]CRP_Outcome_CRP!$O21</f>
        <v>8</v>
      </c>
      <c r="C21">
        <f>[1]CRP_Outcome_CRP!$BF21</f>
        <v>0</v>
      </c>
      <c r="D21">
        <f>[1]CRP_Outcome_CRP!$BG21</f>
        <v>9</v>
      </c>
      <c r="E21">
        <f>[1]CRP_Outcome_CRP!$BH21</f>
        <v>9</v>
      </c>
      <c r="G21">
        <f>[2]CRP_Outcome_CRP!$O21</f>
        <v>8</v>
      </c>
      <c r="H21">
        <f>[2]CRP_Outcome_CRP!$BF21</f>
        <v>0</v>
      </c>
      <c r="I21">
        <f>[2]CRP_Outcome_CRP!$BG21</f>
        <v>9</v>
      </c>
      <c r="J21">
        <f>[2]CRP_Outcome_CRP!$BH21</f>
        <v>11</v>
      </c>
      <c r="L21">
        <f>[3]CRP_Outcome_CRP!$O21</f>
        <v>8</v>
      </c>
      <c r="M21">
        <f>[3]CRP_Outcome_CRP!$BF21</f>
        <v>0</v>
      </c>
      <c r="N21">
        <f>[3]CRP_Outcome_CRP!$BG21</f>
        <v>9</v>
      </c>
      <c r="O21">
        <f>[3]CRP_Outcome_CRP!$BH21</f>
        <v>6</v>
      </c>
      <c r="Q21">
        <f>[4]CRP_Outcome_CRP!$O21</f>
        <v>8</v>
      </c>
      <c r="R21">
        <f>[4]CRP_Outcome_CRP!$BF21</f>
        <v>0</v>
      </c>
      <c r="S21">
        <f>[4]CRP_Outcome_CRP!$BG21</f>
        <v>8</v>
      </c>
      <c r="T21">
        <f>[4]CRP_Outcome_CRP!$BH21</f>
        <v>6</v>
      </c>
      <c r="V21">
        <f>[5]CRP_Outcome_CRP!$O21</f>
        <v>8</v>
      </c>
      <c r="W21">
        <f>[5]CRP_Outcome_CRP!$BF21</f>
        <v>0</v>
      </c>
      <c r="X21">
        <f>[5]CRP_Outcome_CRP!$BG21</f>
        <v>9</v>
      </c>
      <c r="Y21">
        <f>[5]CRP_Outcome_CRP!$BH21</f>
        <v>4</v>
      </c>
      <c r="AA21">
        <f>[6]CRP_Outcome_CRP!$O21</f>
        <v>8</v>
      </c>
      <c r="AB21">
        <f>[6]CRP_Outcome_CRP!$BF21</f>
        <v>0</v>
      </c>
      <c r="AC21">
        <f>[6]CRP_Outcome_CRP!$BG21</f>
        <v>9</v>
      </c>
      <c r="AD21">
        <f>[6]CRP_Outcome_CRP!$BH21</f>
        <v>4</v>
      </c>
      <c r="AF21">
        <f>[7]CRP_Outcome_CRP!$O21</f>
        <v>8</v>
      </c>
      <c r="AG21">
        <f>[7]CRP_Outcome_CRP!$BF21</f>
        <v>0</v>
      </c>
      <c r="AH21">
        <f>[7]CRP_Outcome_CRP!$BG21</f>
        <v>9</v>
      </c>
      <c r="AI21">
        <f>[7]CRP_Outcome_CRP!$BH21</f>
        <v>3</v>
      </c>
      <c r="AK21">
        <f>[8]CRP_Outcome_CRP!$O21</f>
        <v>8</v>
      </c>
      <c r="AL21">
        <f>[8]CRP_Outcome_CRP!$BF21</f>
        <v>0</v>
      </c>
      <c r="AM21">
        <f>[8]CRP_Outcome_CRP!$BG21</f>
        <v>9</v>
      </c>
      <c r="AN21">
        <f>[8]CRP_Outcome_CRP!$BH21</f>
        <v>1</v>
      </c>
      <c r="AP21">
        <f>[9]CRP_Outcome_CRP!$O21</f>
        <v>8</v>
      </c>
      <c r="AQ21">
        <f>[9]CRP_Outcome_CRP!$BF21</f>
        <v>1</v>
      </c>
      <c r="AR21">
        <f>[9]CRP_Outcome_CRP!$BG21</f>
        <v>6</v>
      </c>
      <c r="AS21">
        <f>[9]CRP_Outcome_CRP!$BH21</f>
        <v>1</v>
      </c>
      <c r="AU21">
        <f>[10]CRP_Outcome_CRP!$O21</f>
        <v>8</v>
      </c>
      <c r="AV21">
        <f>[10]CRP_Outcome_CRP!$BF21</f>
        <v>23</v>
      </c>
      <c r="AW21">
        <f>[10]CRP_Outcome_CRP!$BG21</f>
        <v>10</v>
      </c>
      <c r="AX21">
        <f>[10]CRP_Outcome_CRP!$BH21</f>
        <v>8</v>
      </c>
      <c r="AZ21">
        <f t="shared" si="0"/>
        <v>8</v>
      </c>
      <c r="BA21">
        <f t="shared" si="0"/>
        <v>2.4</v>
      </c>
      <c r="BB21">
        <f t="shared" si="0"/>
        <v>8.6999999999999993</v>
      </c>
      <c r="BC21">
        <f t="shared" si="0"/>
        <v>5.3</v>
      </c>
    </row>
    <row r="22" spans="1:55" x14ac:dyDescent="0.35">
      <c r="A22">
        <v>20</v>
      </c>
      <c r="B22">
        <f>[1]CRP_Outcome_CRP!$O22</f>
        <v>8</v>
      </c>
      <c r="C22">
        <f>[1]CRP_Outcome_CRP!$BF22</f>
        <v>0</v>
      </c>
      <c r="D22">
        <f>[1]CRP_Outcome_CRP!$BG22</f>
        <v>9</v>
      </c>
      <c r="E22">
        <f>[1]CRP_Outcome_CRP!$BH22</f>
        <v>11</v>
      </c>
      <c r="G22">
        <f>[2]CRP_Outcome_CRP!$O22</f>
        <v>8</v>
      </c>
      <c r="H22">
        <f>[2]CRP_Outcome_CRP!$BF22</f>
        <v>0</v>
      </c>
      <c r="I22">
        <f>[2]CRP_Outcome_CRP!$BG22</f>
        <v>9</v>
      </c>
      <c r="J22">
        <f>[2]CRP_Outcome_CRP!$BH22</f>
        <v>14</v>
      </c>
      <c r="L22">
        <f>[3]CRP_Outcome_CRP!$O22</f>
        <v>8</v>
      </c>
      <c r="M22">
        <f>[3]CRP_Outcome_CRP!$BF22</f>
        <v>0</v>
      </c>
      <c r="N22">
        <f>[3]CRP_Outcome_CRP!$BG22</f>
        <v>9</v>
      </c>
      <c r="O22">
        <f>[3]CRP_Outcome_CRP!$BH22</f>
        <v>10</v>
      </c>
      <c r="Q22">
        <f>[4]CRP_Outcome_CRP!$O22</f>
        <v>8</v>
      </c>
      <c r="R22">
        <f>[4]CRP_Outcome_CRP!$BF22</f>
        <v>0</v>
      </c>
      <c r="S22">
        <f>[4]CRP_Outcome_CRP!$BG22</f>
        <v>10</v>
      </c>
      <c r="T22">
        <f>[4]CRP_Outcome_CRP!$BH22</f>
        <v>7</v>
      </c>
      <c r="V22">
        <f>[5]CRP_Outcome_CRP!$O22</f>
        <v>8</v>
      </c>
      <c r="W22">
        <f>[5]CRP_Outcome_CRP!$BF22</f>
        <v>0</v>
      </c>
      <c r="X22">
        <f>[5]CRP_Outcome_CRP!$BG22</f>
        <v>9</v>
      </c>
      <c r="Y22">
        <f>[5]CRP_Outcome_CRP!$BH22</f>
        <v>11</v>
      </c>
      <c r="AA22">
        <f>[6]CRP_Outcome_CRP!$O22</f>
        <v>8</v>
      </c>
      <c r="AB22">
        <f>[6]CRP_Outcome_CRP!$BF22</f>
        <v>0</v>
      </c>
      <c r="AC22">
        <f>[6]CRP_Outcome_CRP!$BG22</f>
        <v>9</v>
      </c>
      <c r="AD22">
        <f>[6]CRP_Outcome_CRP!$BH22</f>
        <v>11</v>
      </c>
      <c r="AF22">
        <f>[7]CRP_Outcome_CRP!$O22</f>
        <v>8</v>
      </c>
      <c r="AG22">
        <f>[7]CRP_Outcome_CRP!$BF22</f>
        <v>0</v>
      </c>
      <c r="AH22">
        <f>[7]CRP_Outcome_CRP!$BG22</f>
        <v>9</v>
      </c>
      <c r="AI22">
        <f>[7]CRP_Outcome_CRP!$BH22</f>
        <v>11</v>
      </c>
      <c r="AK22">
        <f>[8]CRP_Outcome_CRP!$O22</f>
        <v>8</v>
      </c>
      <c r="AL22">
        <f>[8]CRP_Outcome_CRP!$BF22</f>
        <v>0</v>
      </c>
      <c r="AM22">
        <f>[8]CRP_Outcome_CRP!$BG22</f>
        <v>9</v>
      </c>
      <c r="AN22">
        <f>[8]CRP_Outcome_CRP!$BH22</f>
        <v>13</v>
      </c>
      <c r="AP22">
        <f>[9]CRP_Outcome_CRP!$O22</f>
        <v>8</v>
      </c>
      <c r="AQ22">
        <f>[9]CRP_Outcome_CRP!$BF22</f>
        <v>0</v>
      </c>
      <c r="AR22">
        <f>[9]CRP_Outcome_CRP!$BG22</f>
        <v>6</v>
      </c>
      <c r="AS22">
        <f>[9]CRP_Outcome_CRP!$BH22</f>
        <v>7</v>
      </c>
      <c r="AU22">
        <f>[10]CRP_Outcome_CRP!$O22</f>
        <v>8</v>
      </c>
      <c r="AV22">
        <f>[10]CRP_Outcome_CRP!$BF22</f>
        <v>0</v>
      </c>
      <c r="AW22">
        <f>[10]CRP_Outcome_CRP!$BG22</f>
        <v>9</v>
      </c>
      <c r="AX22">
        <f>[10]CRP_Outcome_CRP!$BH22</f>
        <v>11</v>
      </c>
      <c r="AZ22">
        <f t="shared" si="0"/>
        <v>8</v>
      </c>
      <c r="BA22">
        <f t="shared" si="0"/>
        <v>0</v>
      </c>
      <c r="BB22">
        <f t="shared" si="0"/>
        <v>8.8000000000000007</v>
      </c>
      <c r="BC22">
        <f t="shared" si="0"/>
        <v>10.6</v>
      </c>
    </row>
    <row r="23" spans="1:55" x14ac:dyDescent="0.35">
      <c r="A23">
        <v>21</v>
      </c>
      <c r="B23">
        <f>[1]CRP_Outcome_CRP!$O23</f>
        <v>8</v>
      </c>
      <c r="C23">
        <f>[1]CRP_Outcome_CRP!$BF23</f>
        <v>23</v>
      </c>
      <c r="D23">
        <f>[1]CRP_Outcome_CRP!$BG23</f>
        <v>9</v>
      </c>
      <c r="E23">
        <f>[1]CRP_Outcome_CRP!$BH23</f>
        <v>12</v>
      </c>
      <c r="G23">
        <f>[2]CRP_Outcome_CRP!$O23</f>
        <v>8</v>
      </c>
      <c r="H23">
        <f>[2]CRP_Outcome_CRP!$BF23</f>
        <v>6</v>
      </c>
      <c r="I23">
        <f>[2]CRP_Outcome_CRP!$BG23</f>
        <v>9</v>
      </c>
      <c r="J23">
        <f>[2]CRP_Outcome_CRP!$BH23</f>
        <v>15</v>
      </c>
      <c r="L23">
        <f>[3]CRP_Outcome_CRP!$O23</f>
        <v>8</v>
      </c>
      <c r="M23">
        <f>[3]CRP_Outcome_CRP!$BF23</f>
        <v>0</v>
      </c>
      <c r="N23">
        <f>[3]CRP_Outcome_CRP!$BG23</f>
        <v>9</v>
      </c>
      <c r="O23">
        <f>[3]CRP_Outcome_CRP!$BH23</f>
        <v>13</v>
      </c>
      <c r="Q23">
        <f>[4]CRP_Outcome_CRP!$O23</f>
        <v>8</v>
      </c>
      <c r="R23">
        <f>[4]CRP_Outcome_CRP!$BF23</f>
        <v>13</v>
      </c>
      <c r="S23">
        <f>[4]CRP_Outcome_CRP!$BG23</f>
        <v>10</v>
      </c>
      <c r="T23">
        <f>[4]CRP_Outcome_CRP!$BH23</f>
        <v>11</v>
      </c>
      <c r="V23">
        <f>[5]CRP_Outcome_CRP!$O23</f>
        <v>8</v>
      </c>
      <c r="W23">
        <f>[5]CRP_Outcome_CRP!$BF23</f>
        <v>0</v>
      </c>
      <c r="X23">
        <f>[5]CRP_Outcome_CRP!$BG23</f>
        <v>9</v>
      </c>
      <c r="Y23">
        <f>[5]CRP_Outcome_CRP!$BH23</f>
        <v>14</v>
      </c>
      <c r="AA23">
        <f>[6]CRP_Outcome_CRP!$O23</f>
        <v>8</v>
      </c>
      <c r="AB23">
        <f>[6]CRP_Outcome_CRP!$BF23</f>
        <v>0</v>
      </c>
      <c r="AC23">
        <f>[6]CRP_Outcome_CRP!$BG23</f>
        <v>9</v>
      </c>
      <c r="AD23">
        <f>[6]CRP_Outcome_CRP!$BH23</f>
        <v>14</v>
      </c>
      <c r="AF23">
        <f>[7]CRP_Outcome_CRP!$O23</f>
        <v>8</v>
      </c>
      <c r="AG23">
        <f>[7]CRP_Outcome_CRP!$BF23</f>
        <v>0</v>
      </c>
      <c r="AH23">
        <f>[7]CRP_Outcome_CRP!$BG23</f>
        <v>9</v>
      </c>
      <c r="AI23">
        <f>[7]CRP_Outcome_CRP!$BH23</f>
        <v>15</v>
      </c>
      <c r="AK23">
        <f>[8]CRP_Outcome_CRP!$O23</f>
        <v>8</v>
      </c>
      <c r="AL23">
        <f>[8]CRP_Outcome_CRP!$BF23</f>
        <v>0</v>
      </c>
      <c r="AM23">
        <f>[8]CRP_Outcome_CRP!$BG23</f>
        <v>9</v>
      </c>
      <c r="AN23">
        <f>[8]CRP_Outcome_CRP!$BH23</f>
        <v>15</v>
      </c>
      <c r="AP23">
        <f>[9]CRP_Outcome_CRP!$O23</f>
        <v>8</v>
      </c>
      <c r="AQ23">
        <f>[9]CRP_Outcome_CRP!$BF23</f>
        <v>0</v>
      </c>
      <c r="AR23">
        <f>[9]CRP_Outcome_CRP!$BG23</f>
        <v>5</v>
      </c>
      <c r="AS23">
        <f>[9]CRP_Outcome_CRP!$BH23</f>
        <v>6</v>
      </c>
      <c r="AU23">
        <f>[10]CRP_Outcome_CRP!$O23</f>
        <v>8</v>
      </c>
      <c r="AV23">
        <f>[10]CRP_Outcome_CRP!$BF23</f>
        <v>4</v>
      </c>
      <c r="AW23">
        <f>[10]CRP_Outcome_CRP!$BG23</f>
        <v>9</v>
      </c>
      <c r="AX23">
        <f>[10]CRP_Outcome_CRP!$BH23</f>
        <v>13</v>
      </c>
      <c r="AZ23">
        <f t="shared" si="0"/>
        <v>8</v>
      </c>
      <c r="BA23">
        <f t="shared" si="0"/>
        <v>4.5999999999999996</v>
      </c>
      <c r="BB23">
        <f t="shared" si="0"/>
        <v>8.6999999999999993</v>
      </c>
      <c r="BC23">
        <f t="shared" si="0"/>
        <v>12.8</v>
      </c>
    </row>
    <row r="24" spans="1:55" x14ac:dyDescent="0.35">
      <c r="A24">
        <v>22</v>
      </c>
      <c r="B24">
        <f>[1]CRP_Outcome_CRP!$O24</f>
        <v>8</v>
      </c>
      <c r="C24">
        <f>[1]CRP_Outcome_CRP!$BF24</f>
        <v>21</v>
      </c>
      <c r="D24">
        <f>[1]CRP_Outcome_CRP!$BG24</f>
        <v>9</v>
      </c>
      <c r="E24">
        <f>[1]CRP_Outcome_CRP!$BH24</f>
        <v>5</v>
      </c>
      <c r="G24">
        <f>[2]CRP_Outcome_CRP!$O24</f>
        <v>8</v>
      </c>
      <c r="H24">
        <f>[2]CRP_Outcome_CRP!$BF24</f>
        <v>18</v>
      </c>
      <c r="I24">
        <f>[2]CRP_Outcome_CRP!$BG24</f>
        <v>9</v>
      </c>
      <c r="J24">
        <f>[2]CRP_Outcome_CRP!$BH24</f>
        <v>3</v>
      </c>
      <c r="L24">
        <f>[3]CRP_Outcome_CRP!$O24</f>
        <v>8</v>
      </c>
      <c r="M24">
        <f>[3]CRP_Outcome_CRP!$BF24</f>
        <v>10</v>
      </c>
      <c r="N24">
        <f>[3]CRP_Outcome_CRP!$BG24</f>
        <v>9</v>
      </c>
      <c r="O24">
        <f>[3]CRP_Outcome_CRP!$BH24</f>
        <v>9</v>
      </c>
      <c r="Q24">
        <f>[4]CRP_Outcome_CRP!$O24</f>
        <v>8</v>
      </c>
      <c r="R24">
        <f>[4]CRP_Outcome_CRP!$BF24</f>
        <v>15</v>
      </c>
      <c r="S24">
        <f>[4]CRP_Outcome_CRP!$BG24</f>
        <v>10</v>
      </c>
      <c r="T24">
        <f>[4]CRP_Outcome_CRP!$BH24</f>
        <v>11</v>
      </c>
      <c r="V24">
        <f>[5]CRP_Outcome_CRP!$O24</f>
        <v>8</v>
      </c>
      <c r="W24">
        <f>[5]CRP_Outcome_CRP!$BF24</f>
        <v>13</v>
      </c>
      <c r="X24">
        <f>[5]CRP_Outcome_CRP!$BG24</f>
        <v>9</v>
      </c>
      <c r="Y24">
        <f>[5]CRP_Outcome_CRP!$BH24</f>
        <v>9</v>
      </c>
      <c r="AA24">
        <f>[6]CRP_Outcome_CRP!$O24</f>
        <v>8</v>
      </c>
      <c r="AB24">
        <f>[6]CRP_Outcome_CRP!$BF24</f>
        <v>13</v>
      </c>
      <c r="AC24">
        <f>[6]CRP_Outcome_CRP!$BG24</f>
        <v>9</v>
      </c>
      <c r="AD24">
        <f>[6]CRP_Outcome_CRP!$BH24</f>
        <v>9</v>
      </c>
      <c r="AF24">
        <f>[7]CRP_Outcome_CRP!$O24</f>
        <v>8</v>
      </c>
      <c r="AG24">
        <f>[7]CRP_Outcome_CRP!$BF24</f>
        <v>29</v>
      </c>
      <c r="AH24">
        <f>[7]CRP_Outcome_CRP!$BG24</f>
        <v>8</v>
      </c>
      <c r="AI24">
        <f>[7]CRP_Outcome_CRP!$BH24</f>
        <v>10</v>
      </c>
      <c r="AK24">
        <f>[8]CRP_Outcome_CRP!$O24</f>
        <v>8</v>
      </c>
      <c r="AL24">
        <f>[8]CRP_Outcome_CRP!$BF24</f>
        <v>10</v>
      </c>
      <c r="AM24">
        <f>[8]CRP_Outcome_CRP!$BG24</f>
        <v>8</v>
      </c>
      <c r="AN24">
        <f>[8]CRP_Outcome_CRP!$BH24</f>
        <v>10</v>
      </c>
      <c r="AP24">
        <f>[9]CRP_Outcome_CRP!$O24</f>
        <v>8</v>
      </c>
      <c r="AQ24">
        <f>[9]CRP_Outcome_CRP!$BF24</f>
        <v>4</v>
      </c>
      <c r="AR24">
        <f>[9]CRP_Outcome_CRP!$BG24</f>
        <v>6</v>
      </c>
      <c r="AS24">
        <f>[9]CRP_Outcome_CRP!$BH24</f>
        <v>6</v>
      </c>
      <c r="AU24">
        <f>[10]CRP_Outcome_CRP!$O24</f>
        <v>8</v>
      </c>
      <c r="AV24">
        <f>[10]CRP_Outcome_CRP!$BF24</f>
        <v>13</v>
      </c>
      <c r="AW24">
        <f>[10]CRP_Outcome_CRP!$BG24</f>
        <v>9</v>
      </c>
      <c r="AX24">
        <f>[10]CRP_Outcome_CRP!$BH24</f>
        <v>10</v>
      </c>
      <c r="AZ24">
        <f t="shared" si="0"/>
        <v>8</v>
      </c>
      <c r="BA24">
        <f t="shared" si="0"/>
        <v>14.6</v>
      </c>
      <c r="BB24">
        <f t="shared" si="0"/>
        <v>8.6</v>
      </c>
      <c r="BC24">
        <f t="shared" si="0"/>
        <v>8.1999999999999993</v>
      </c>
    </row>
    <row r="25" spans="1:55" x14ac:dyDescent="0.35">
      <c r="A25">
        <v>23</v>
      </c>
      <c r="B25">
        <f>[1]CRP_Outcome_CRP!$O25</f>
        <v>8</v>
      </c>
      <c r="C25">
        <f>[1]CRP_Outcome_CRP!$BF25</f>
        <v>6</v>
      </c>
      <c r="D25">
        <f>[1]CRP_Outcome_CRP!$BG25</f>
        <v>9</v>
      </c>
      <c r="E25">
        <f>[1]CRP_Outcome_CRP!$BH25</f>
        <v>5</v>
      </c>
      <c r="G25">
        <f>[2]CRP_Outcome_CRP!$O25</f>
        <v>8</v>
      </c>
      <c r="H25">
        <f>[2]CRP_Outcome_CRP!$BF25</f>
        <v>23</v>
      </c>
      <c r="I25">
        <f>[2]CRP_Outcome_CRP!$BG25</f>
        <v>9</v>
      </c>
      <c r="J25">
        <f>[2]CRP_Outcome_CRP!$BH25</f>
        <v>0</v>
      </c>
      <c r="L25">
        <f>[3]CRP_Outcome_CRP!$O25</f>
        <v>8</v>
      </c>
      <c r="M25">
        <f>[3]CRP_Outcome_CRP!$BF25</f>
        <v>18</v>
      </c>
      <c r="N25">
        <f>[3]CRP_Outcome_CRP!$BG25</f>
        <v>9</v>
      </c>
      <c r="O25">
        <f>[3]CRP_Outcome_CRP!$BH25</f>
        <v>4</v>
      </c>
      <c r="Q25">
        <f>[4]CRP_Outcome_CRP!$O25</f>
        <v>8</v>
      </c>
      <c r="R25">
        <f>[4]CRP_Outcome_CRP!$BF25</f>
        <v>13</v>
      </c>
      <c r="S25">
        <f>[4]CRP_Outcome_CRP!$BG25</f>
        <v>9</v>
      </c>
      <c r="T25">
        <f>[4]CRP_Outcome_CRP!$BH25</f>
        <v>8</v>
      </c>
      <c r="V25">
        <f>[5]CRP_Outcome_CRP!$O25</f>
        <v>8</v>
      </c>
      <c r="W25">
        <f>[5]CRP_Outcome_CRP!$BF25</f>
        <v>22</v>
      </c>
      <c r="X25">
        <f>[5]CRP_Outcome_CRP!$BG25</f>
        <v>8</v>
      </c>
      <c r="Y25">
        <f>[5]CRP_Outcome_CRP!$BH25</f>
        <v>4</v>
      </c>
      <c r="AA25">
        <f>[6]CRP_Outcome_CRP!$O25</f>
        <v>8</v>
      </c>
      <c r="AB25">
        <f>[6]CRP_Outcome_CRP!$BF25</f>
        <v>22</v>
      </c>
      <c r="AC25">
        <f>[6]CRP_Outcome_CRP!$BG25</f>
        <v>8</v>
      </c>
      <c r="AD25">
        <f>[6]CRP_Outcome_CRP!$BH25</f>
        <v>4</v>
      </c>
      <c r="AF25">
        <f>[7]CRP_Outcome_CRP!$O25</f>
        <v>8</v>
      </c>
      <c r="AG25">
        <f>[7]CRP_Outcome_CRP!$BF25</f>
        <v>25</v>
      </c>
      <c r="AH25">
        <f>[7]CRP_Outcome_CRP!$BG25</f>
        <v>8</v>
      </c>
      <c r="AI25">
        <f>[7]CRP_Outcome_CRP!$BH25</f>
        <v>3</v>
      </c>
      <c r="AK25">
        <f>[8]CRP_Outcome_CRP!$O25</f>
        <v>8</v>
      </c>
      <c r="AL25">
        <f>[8]CRP_Outcome_CRP!$BF25</f>
        <v>20</v>
      </c>
      <c r="AM25">
        <f>[8]CRP_Outcome_CRP!$BG25</f>
        <v>8</v>
      </c>
      <c r="AN25">
        <f>[8]CRP_Outcome_CRP!$BH25</f>
        <v>3</v>
      </c>
      <c r="AP25">
        <f>[9]CRP_Outcome_CRP!$O25</f>
        <v>8</v>
      </c>
      <c r="AQ25">
        <f>[9]CRP_Outcome_CRP!$BF25</f>
        <v>5</v>
      </c>
      <c r="AR25">
        <f>[9]CRP_Outcome_CRP!$BG25</f>
        <v>6</v>
      </c>
      <c r="AS25">
        <f>[9]CRP_Outcome_CRP!$BH25</f>
        <v>0</v>
      </c>
      <c r="AU25">
        <f>[10]CRP_Outcome_CRP!$O25</f>
        <v>8</v>
      </c>
      <c r="AV25">
        <f>[10]CRP_Outcome_CRP!$BF25</f>
        <v>11</v>
      </c>
      <c r="AW25">
        <f>[10]CRP_Outcome_CRP!$BG25</f>
        <v>9</v>
      </c>
      <c r="AX25">
        <f>[10]CRP_Outcome_CRP!$BH25</f>
        <v>2</v>
      </c>
      <c r="AZ25">
        <f t="shared" si="0"/>
        <v>8</v>
      </c>
      <c r="BA25">
        <f t="shared" si="0"/>
        <v>16.5</v>
      </c>
      <c r="BB25">
        <f t="shared" si="0"/>
        <v>8.3000000000000007</v>
      </c>
      <c r="BC25">
        <f t="shared" si="0"/>
        <v>3.3</v>
      </c>
    </row>
    <row r="26" spans="1:55" x14ac:dyDescent="0.35">
      <c r="A26">
        <v>24</v>
      </c>
      <c r="B26">
        <f>[1]CRP_Outcome_CRP!$O26</f>
        <v>8</v>
      </c>
      <c r="C26">
        <f>[1]CRP_Outcome_CRP!$BF26</f>
        <v>0</v>
      </c>
      <c r="D26">
        <f>[1]CRP_Outcome_CRP!$BG26</f>
        <v>9</v>
      </c>
      <c r="E26">
        <f>[1]CRP_Outcome_CRP!$BH26</f>
        <v>7</v>
      </c>
      <c r="G26">
        <f>[2]CRP_Outcome_CRP!$O26</f>
        <v>8</v>
      </c>
      <c r="H26">
        <f>[2]CRP_Outcome_CRP!$BF26</f>
        <v>0</v>
      </c>
      <c r="I26">
        <f>[2]CRP_Outcome_CRP!$BG26</f>
        <v>9</v>
      </c>
      <c r="J26">
        <f>[2]CRP_Outcome_CRP!$BH26</f>
        <v>9</v>
      </c>
      <c r="L26">
        <f>[3]CRP_Outcome_CRP!$O26</f>
        <v>8</v>
      </c>
      <c r="M26">
        <f>[3]CRP_Outcome_CRP!$BF26</f>
        <v>8</v>
      </c>
      <c r="N26">
        <f>[3]CRP_Outcome_CRP!$BG26</f>
        <v>9</v>
      </c>
      <c r="O26">
        <f>[3]CRP_Outcome_CRP!$BH26</f>
        <v>4</v>
      </c>
      <c r="Q26">
        <f>[4]CRP_Outcome_CRP!$O26</f>
        <v>8</v>
      </c>
      <c r="R26">
        <f>[4]CRP_Outcome_CRP!$BF26</f>
        <v>5</v>
      </c>
      <c r="S26">
        <f>[4]CRP_Outcome_CRP!$BG26</f>
        <v>8</v>
      </c>
      <c r="T26">
        <f>[4]CRP_Outcome_CRP!$BH26</f>
        <v>7</v>
      </c>
      <c r="V26">
        <f>[5]CRP_Outcome_CRP!$O26</f>
        <v>8</v>
      </c>
      <c r="W26">
        <f>[5]CRP_Outcome_CRP!$BF26</f>
        <v>9</v>
      </c>
      <c r="X26">
        <f>[5]CRP_Outcome_CRP!$BG26</f>
        <v>8</v>
      </c>
      <c r="Y26">
        <f>[5]CRP_Outcome_CRP!$BH26</f>
        <v>5</v>
      </c>
      <c r="AA26">
        <f>[6]CRP_Outcome_CRP!$O26</f>
        <v>8</v>
      </c>
      <c r="AB26">
        <f>[6]CRP_Outcome_CRP!$BF26</f>
        <v>9</v>
      </c>
      <c r="AC26">
        <f>[6]CRP_Outcome_CRP!$BG26</f>
        <v>8</v>
      </c>
      <c r="AD26">
        <f>[6]CRP_Outcome_CRP!$BH26</f>
        <v>5</v>
      </c>
      <c r="AF26">
        <f>[7]CRP_Outcome_CRP!$O26</f>
        <v>8</v>
      </c>
      <c r="AG26">
        <f>[7]CRP_Outcome_CRP!$BF26</f>
        <v>0</v>
      </c>
      <c r="AH26">
        <f>[7]CRP_Outcome_CRP!$BG26</f>
        <v>9</v>
      </c>
      <c r="AI26">
        <f>[7]CRP_Outcome_CRP!$BH26</f>
        <v>0</v>
      </c>
      <c r="AK26">
        <f>[8]CRP_Outcome_CRP!$O26</f>
        <v>8</v>
      </c>
      <c r="AL26">
        <f>[8]CRP_Outcome_CRP!$BF26</f>
        <v>9</v>
      </c>
      <c r="AM26">
        <f>[8]CRP_Outcome_CRP!$BG26</f>
        <v>9</v>
      </c>
      <c r="AN26">
        <f>[8]CRP_Outcome_CRP!$BH26</f>
        <v>0</v>
      </c>
      <c r="AP26">
        <f>[9]CRP_Outcome_CRP!$O26</f>
        <v>8</v>
      </c>
      <c r="AQ26">
        <f>[9]CRP_Outcome_CRP!$BF26</f>
        <v>5</v>
      </c>
      <c r="AR26">
        <f>[9]CRP_Outcome_CRP!$BG26</f>
        <v>6</v>
      </c>
      <c r="AS26">
        <f>[9]CRP_Outcome_CRP!$BH26</f>
        <v>0</v>
      </c>
      <c r="AU26">
        <f>[10]CRP_Outcome_CRP!$O26</f>
        <v>8</v>
      </c>
      <c r="AV26">
        <f>[10]CRP_Outcome_CRP!$BF26</f>
        <v>23</v>
      </c>
      <c r="AW26">
        <f>[10]CRP_Outcome_CRP!$BG26</f>
        <v>10</v>
      </c>
      <c r="AX26">
        <f>[10]CRP_Outcome_CRP!$BH26</f>
        <v>5</v>
      </c>
      <c r="AZ26">
        <f t="shared" si="0"/>
        <v>8</v>
      </c>
      <c r="BA26">
        <f t="shared" si="0"/>
        <v>6.8</v>
      </c>
      <c r="BB26">
        <f t="shared" si="0"/>
        <v>8.5</v>
      </c>
      <c r="BC26">
        <f t="shared" si="0"/>
        <v>4.2</v>
      </c>
    </row>
    <row r="27" spans="1:55" x14ac:dyDescent="0.35">
      <c r="A27">
        <v>25</v>
      </c>
      <c r="B27">
        <f>[1]CRP_Outcome_CRP!$O27</f>
        <v>8</v>
      </c>
      <c r="C27">
        <f>[1]CRP_Outcome_CRP!$BF27</f>
        <v>0</v>
      </c>
      <c r="D27">
        <f>[1]CRP_Outcome_CRP!$BG27</f>
        <v>9</v>
      </c>
      <c r="E27">
        <f>[1]CRP_Outcome_CRP!$BH27</f>
        <v>9</v>
      </c>
      <c r="G27">
        <f>[2]CRP_Outcome_CRP!$O27</f>
        <v>8</v>
      </c>
      <c r="H27">
        <f>[2]CRP_Outcome_CRP!$BF27</f>
        <v>0</v>
      </c>
      <c r="I27">
        <f>[2]CRP_Outcome_CRP!$BG27</f>
        <v>9</v>
      </c>
      <c r="J27">
        <f>[2]CRP_Outcome_CRP!$BH27</f>
        <v>13</v>
      </c>
      <c r="L27">
        <f>[3]CRP_Outcome_CRP!$O27</f>
        <v>8</v>
      </c>
      <c r="M27">
        <f>[3]CRP_Outcome_CRP!$BF27</f>
        <v>0</v>
      </c>
      <c r="N27">
        <f>[3]CRP_Outcome_CRP!$BG27</f>
        <v>9</v>
      </c>
      <c r="O27">
        <f>[3]CRP_Outcome_CRP!$BH27</f>
        <v>7</v>
      </c>
      <c r="Q27">
        <f>[4]CRP_Outcome_CRP!$O27</f>
        <v>8</v>
      </c>
      <c r="R27">
        <f>[4]CRP_Outcome_CRP!$BF27</f>
        <v>0</v>
      </c>
      <c r="S27">
        <f>[4]CRP_Outcome_CRP!$BG27</f>
        <v>9</v>
      </c>
      <c r="T27">
        <f>[4]CRP_Outcome_CRP!$BH27</f>
        <v>4</v>
      </c>
      <c r="V27">
        <f>[5]CRP_Outcome_CRP!$O27</f>
        <v>8</v>
      </c>
      <c r="W27">
        <f>[5]CRP_Outcome_CRP!$BF27</f>
        <v>0</v>
      </c>
      <c r="X27">
        <f>[5]CRP_Outcome_CRP!$BG27</f>
        <v>9</v>
      </c>
      <c r="Y27">
        <f>[5]CRP_Outcome_CRP!$BH27</f>
        <v>6</v>
      </c>
      <c r="AA27">
        <f>[6]CRP_Outcome_CRP!$O27</f>
        <v>8</v>
      </c>
      <c r="AB27">
        <f>[6]CRP_Outcome_CRP!$BF27</f>
        <v>0</v>
      </c>
      <c r="AC27">
        <f>[6]CRP_Outcome_CRP!$BG27</f>
        <v>9</v>
      </c>
      <c r="AD27">
        <f>[6]CRP_Outcome_CRP!$BH27</f>
        <v>6</v>
      </c>
      <c r="AF27">
        <f>[7]CRP_Outcome_CRP!$O27</f>
        <v>8</v>
      </c>
      <c r="AG27">
        <f>[7]CRP_Outcome_CRP!$BF27</f>
        <v>0</v>
      </c>
      <c r="AH27">
        <f>[7]CRP_Outcome_CRP!$BG27</f>
        <v>9</v>
      </c>
      <c r="AI27">
        <f>[7]CRP_Outcome_CRP!$BH27</f>
        <v>6</v>
      </c>
      <c r="AK27">
        <f>[8]CRP_Outcome_CRP!$O27</f>
        <v>8</v>
      </c>
      <c r="AL27">
        <f>[8]CRP_Outcome_CRP!$BF27</f>
        <v>0</v>
      </c>
      <c r="AM27">
        <f>[8]CRP_Outcome_CRP!$BG27</f>
        <v>9</v>
      </c>
      <c r="AN27">
        <f>[8]CRP_Outcome_CRP!$BH27</f>
        <v>6</v>
      </c>
      <c r="AP27">
        <f>[9]CRP_Outcome_CRP!$O27</f>
        <v>8</v>
      </c>
      <c r="AQ27">
        <f>[9]CRP_Outcome_CRP!$BF27</f>
        <v>0</v>
      </c>
      <c r="AR27">
        <f>[9]CRP_Outcome_CRP!$BG27</f>
        <v>6</v>
      </c>
      <c r="AS27">
        <f>[9]CRP_Outcome_CRP!$BH27</f>
        <v>5</v>
      </c>
      <c r="AU27">
        <f>[10]CRP_Outcome_CRP!$O27</f>
        <v>8</v>
      </c>
      <c r="AV27">
        <f>[10]CRP_Outcome_CRP!$BF27</f>
        <v>0</v>
      </c>
      <c r="AW27">
        <f>[10]CRP_Outcome_CRP!$BG27</f>
        <v>9</v>
      </c>
      <c r="AX27">
        <f>[10]CRP_Outcome_CRP!$BH27</f>
        <v>9</v>
      </c>
      <c r="AZ27">
        <f t="shared" si="0"/>
        <v>8</v>
      </c>
      <c r="BA27">
        <f t="shared" si="0"/>
        <v>0</v>
      </c>
      <c r="BB27">
        <f t="shared" si="0"/>
        <v>8.6999999999999993</v>
      </c>
      <c r="BC27">
        <f t="shared" si="0"/>
        <v>7.1</v>
      </c>
    </row>
    <row r="28" spans="1:55" x14ac:dyDescent="0.35">
      <c r="A28">
        <v>26</v>
      </c>
      <c r="B28">
        <f>[1]CRP_Outcome_CRP!$O28</f>
        <v>8</v>
      </c>
      <c r="C28">
        <f>[1]CRP_Outcome_CRP!$BF28</f>
        <v>11</v>
      </c>
      <c r="D28">
        <f>[1]CRP_Outcome_CRP!$BG28</f>
        <v>9</v>
      </c>
      <c r="E28">
        <f>[1]CRP_Outcome_CRP!$BH28</f>
        <v>12</v>
      </c>
      <c r="G28">
        <f>[2]CRP_Outcome_CRP!$O28</f>
        <v>8</v>
      </c>
      <c r="H28">
        <f>[2]CRP_Outcome_CRP!$BF28</f>
        <v>5</v>
      </c>
      <c r="I28">
        <f>[2]CRP_Outcome_CRP!$BG28</f>
        <v>9</v>
      </c>
      <c r="J28">
        <f>[2]CRP_Outcome_CRP!$BH28</f>
        <v>14</v>
      </c>
      <c r="L28">
        <f>[3]CRP_Outcome_CRP!$O28</f>
        <v>8</v>
      </c>
      <c r="M28">
        <f>[3]CRP_Outcome_CRP!$BF28</f>
        <v>0</v>
      </c>
      <c r="N28">
        <f>[3]CRP_Outcome_CRP!$BG28</f>
        <v>9</v>
      </c>
      <c r="O28">
        <f>[3]CRP_Outcome_CRP!$BH28</f>
        <v>10</v>
      </c>
      <c r="Q28">
        <f>[4]CRP_Outcome_CRP!$O28</f>
        <v>8</v>
      </c>
      <c r="R28">
        <f>[4]CRP_Outcome_CRP!$BF28</f>
        <v>5</v>
      </c>
      <c r="S28">
        <f>[4]CRP_Outcome_CRP!$BG28</f>
        <v>9</v>
      </c>
      <c r="T28">
        <f>[4]CRP_Outcome_CRP!$BH28</f>
        <v>5</v>
      </c>
      <c r="V28">
        <f>[5]CRP_Outcome_CRP!$O28</f>
        <v>8</v>
      </c>
      <c r="W28">
        <f>[5]CRP_Outcome_CRP!$BF28</f>
        <v>0</v>
      </c>
      <c r="X28">
        <f>[5]CRP_Outcome_CRP!$BG28</f>
        <v>9</v>
      </c>
      <c r="Y28">
        <f>[5]CRP_Outcome_CRP!$BH28</f>
        <v>10</v>
      </c>
      <c r="AA28">
        <f>[6]CRP_Outcome_CRP!$O28</f>
        <v>8</v>
      </c>
      <c r="AB28">
        <f>[6]CRP_Outcome_CRP!$BF28</f>
        <v>0</v>
      </c>
      <c r="AC28">
        <f>[6]CRP_Outcome_CRP!$BG28</f>
        <v>9</v>
      </c>
      <c r="AD28">
        <f>[6]CRP_Outcome_CRP!$BH28</f>
        <v>10</v>
      </c>
      <c r="AF28">
        <f>[7]CRP_Outcome_CRP!$O28</f>
        <v>8</v>
      </c>
      <c r="AG28">
        <f>[7]CRP_Outcome_CRP!$BF28</f>
        <v>0</v>
      </c>
      <c r="AH28">
        <f>[7]CRP_Outcome_CRP!$BG28</f>
        <v>9</v>
      </c>
      <c r="AI28">
        <f>[7]CRP_Outcome_CRP!$BH28</f>
        <v>12</v>
      </c>
      <c r="AK28">
        <f>[8]CRP_Outcome_CRP!$O28</f>
        <v>8</v>
      </c>
      <c r="AL28">
        <f>[8]CRP_Outcome_CRP!$BF28</f>
        <v>0</v>
      </c>
      <c r="AM28">
        <f>[8]CRP_Outcome_CRP!$BG28</f>
        <v>9</v>
      </c>
      <c r="AN28">
        <f>[8]CRP_Outcome_CRP!$BH28</f>
        <v>12</v>
      </c>
      <c r="AP28">
        <f>[9]CRP_Outcome_CRP!$O28</f>
        <v>8</v>
      </c>
      <c r="AQ28">
        <f>[9]CRP_Outcome_CRP!$BF28</f>
        <v>0</v>
      </c>
      <c r="AR28">
        <f>[9]CRP_Outcome_CRP!$BG28</f>
        <v>5</v>
      </c>
      <c r="AS28">
        <f>[9]CRP_Outcome_CRP!$BH28</f>
        <v>6</v>
      </c>
      <c r="AU28">
        <f>[10]CRP_Outcome_CRP!$O28</f>
        <v>8</v>
      </c>
      <c r="AV28">
        <f>[10]CRP_Outcome_CRP!$BF28</f>
        <v>0</v>
      </c>
      <c r="AW28">
        <f>[10]CRP_Outcome_CRP!$BG28</f>
        <v>9</v>
      </c>
      <c r="AX28">
        <f>[10]CRP_Outcome_CRP!$BH28</f>
        <v>14</v>
      </c>
      <c r="AZ28">
        <f t="shared" si="0"/>
        <v>8</v>
      </c>
      <c r="BA28">
        <f t="shared" si="0"/>
        <v>2.1</v>
      </c>
      <c r="BB28">
        <f t="shared" si="0"/>
        <v>8.6</v>
      </c>
      <c r="BC28">
        <f t="shared" si="0"/>
        <v>10.5</v>
      </c>
    </row>
    <row r="29" spans="1:55" x14ac:dyDescent="0.35">
      <c r="A29">
        <v>27</v>
      </c>
      <c r="B29">
        <f>[1]CRP_Outcome_CRP!$O29</f>
        <v>8</v>
      </c>
      <c r="C29">
        <f>[1]CRP_Outcome_CRP!$BF29</f>
        <v>20</v>
      </c>
      <c r="D29">
        <f>[1]CRP_Outcome_CRP!$BG29</f>
        <v>9</v>
      </c>
      <c r="E29">
        <f>[1]CRP_Outcome_CRP!$BH29</f>
        <v>8</v>
      </c>
      <c r="G29">
        <f>[2]CRP_Outcome_CRP!$O29</f>
        <v>8</v>
      </c>
      <c r="H29">
        <f>[2]CRP_Outcome_CRP!$BF29</f>
        <v>16</v>
      </c>
      <c r="I29">
        <f>[2]CRP_Outcome_CRP!$BG29</f>
        <v>9</v>
      </c>
      <c r="J29">
        <f>[2]CRP_Outcome_CRP!$BH29</f>
        <v>6</v>
      </c>
      <c r="L29">
        <f>[3]CRP_Outcome_CRP!$O29</f>
        <v>8</v>
      </c>
      <c r="M29">
        <f>[3]CRP_Outcome_CRP!$BF29</f>
        <v>2</v>
      </c>
      <c r="N29">
        <f>[3]CRP_Outcome_CRP!$BG29</f>
        <v>9</v>
      </c>
      <c r="O29">
        <f>[3]CRP_Outcome_CRP!$BH29</f>
        <v>11</v>
      </c>
      <c r="Q29">
        <f>[4]CRP_Outcome_CRP!$O29</f>
        <v>8</v>
      </c>
      <c r="R29">
        <f>[4]CRP_Outcome_CRP!$BF29</f>
        <v>0</v>
      </c>
      <c r="S29">
        <f>[4]CRP_Outcome_CRP!$BG29</f>
        <v>10</v>
      </c>
      <c r="T29">
        <f>[4]CRP_Outcome_CRP!$BH29</f>
        <v>10</v>
      </c>
      <c r="V29">
        <f>[5]CRP_Outcome_CRP!$O29</f>
        <v>8</v>
      </c>
      <c r="W29">
        <f>[5]CRP_Outcome_CRP!$BF29</f>
        <v>4</v>
      </c>
      <c r="X29">
        <f>[5]CRP_Outcome_CRP!$BG29</f>
        <v>9</v>
      </c>
      <c r="Y29">
        <f>[5]CRP_Outcome_CRP!$BH29</f>
        <v>12</v>
      </c>
      <c r="AA29">
        <f>[6]CRP_Outcome_CRP!$O29</f>
        <v>8</v>
      </c>
      <c r="AB29">
        <f>[6]CRP_Outcome_CRP!$BF29</f>
        <v>4</v>
      </c>
      <c r="AC29">
        <f>[6]CRP_Outcome_CRP!$BG29</f>
        <v>9</v>
      </c>
      <c r="AD29">
        <f>[6]CRP_Outcome_CRP!$BH29</f>
        <v>12</v>
      </c>
      <c r="AF29">
        <f>[7]CRP_Outcome_CRP!$O29</f>
        <v>8</v>
      </c>
      <c r="AG29">
        <f>[7]CRP_Outcome_CRP!$BF29</f>
        <v>3</v>
      </c>
      <c r="AH29">
        <f>[7]CRP_Outcome_CRP!$BG29</f>
        <v>9</v>
      </c>
      <c r="AI29">
        <f>[7]CRP_Outcome_CRP!$BH29</f>
        <v>14</v>
      </c>
      <c r="AK29">
        <f>[8]CRP_Outcome_CRP!$O29</f>
        <v>8</v>
      </c>
      <c r="AL29">
        <f>[8]CRP_Outcome_CRP!$BF29</f>
        <v>0</v>
      </c>
      <c r="AM29">
        <f>[8]CRP_Outcome_CRP!$BG29</f>
        <v>9</v>
      </c>
      <c r="AN29">
        <f>[8]CRP_Outcome_CRP!$BH29</f>
        <v>14</v>
      </c>
      <c r="AP29">
        <f>[9]CRP_Outcome_CRP!$O29</f>
        <v>8</v>
      </c>
      <c r="AQ29">
        <f>[9]CRP_Outcome_CRP!$BF29</f>
        <v>0</v>
      </c>
      <c r="AR29">
        <f>[9]CRP_Outcome_CRP!$BG29</f>
        <v>6</v>
      </c>
      <c r="AS29">
        <f>[9]CRP_Outcome_CRP!$BH29</f>
        <v>8</v>
      </c>
      <c r="AU29">
        <f>[10]CRP_Outcome_CRP!$O29</f>
        <v>8</v>
      </c>
      <c r="AV29">
        <f>[10]CRP_Outcome_CRP!$BF29</f>
        <v>9</v>
      </c>
      <c r="AW29">
        <f>[10]CRP_Outcome_CRP!$BG29</f>
        <v>9</v>
      </c>
      <c r="AX29">
        <f>[10]CRP_Outcome_CRP!$BH29</f>
        <v>11</v>
      </c>
      <c r="AZ29">
        <f t="shared" si="0"/>
        <v>8</v>
      </c>
      <c r="BA29">
        <f t="shared" si="0"/>
        <v>5.8</v>
      </c>
      <c r="BB29">
        <f t="shared" si="0"/>
        <v>8.8000000000000007</v>
      </c>
      <c r="BC29">
        <f t="shared" si="0"/>
        <v>10.6</v>
      </c>
    </row>
    <row r="30" spans="1:55" x14ac:dyDescent="0.35">
      <c r="A30">
        <v>28</v>
      </c>
      <c r="B30">
        <f>[1]CRP_Outcome_CRP!$O30</f>
        <v>8</v>
      </c>
      <c r="C30">
        <f>[1]CRP_Outcome_CRP!$BF30</f>
        <v>18</v>
      </c>
      <c r="D30">
        <f>[1]CRP_Outcome_CRP!$BG30</f>
        <v>9</v>
      </c>
      <c r="E30">
        <f>[1]CRP_Outcome_CRP!$BH30</f>
        <v>5</v>
      </c>
      <c r="G30">
        <f>[2]CRP_Outcome_CRP!$O30</f>
        <v>8</v>
      </c>
      <c r="H30">
        <f>[2]CRP_Outcome_CRP!$BF30</f>
        <v>21</v>
      </c>
      <c r="I30">
        <f>[2]CRP_Outcome_CRP!$BG30</f>
        <v>9</v>
      </c>
      <c r="J30">
        <f>[2]CRP_Outcome_CRP!$BH30</f>
        <v>0</v>
      </c>
      <c r="L30">
        <f>[3]CRP_Outcome_CRP!$O30</f>
        <v>8</v>
      </c>
      <c r="M30">
        <f>[3]CRP_Outcome_CRP!$BF30</f>
        <v>11</v>
      </c>
      <c r="N30">
        <f>[3]CRP_Outcome_CRP!$BG30</f>
        <v>9</v>
      </c>
      <c r="O30">
        <f>[3]CRP_Outcome_CRP!$BH30</f>
        <v>8</v>
      </c>
      <c r="Q30">
        <f>[4]CRP_Outcome_CRP!$O30</f>
        <v>8</v>
      </c>
      <c r="R30">
        <f>[4]CRP_Outcome_CRP!$BF30</f>
        <v>13</v>
      </c>
      <c r="S30">
        <f>[4]CRP_Outcome_CRP!$BG30</f>
        <v>10</v>
      </c>
      <c r="T30">
        <f>[4]CRP_Outcome_CRP!$BH30</f>
        <v>10</v>
      </c>
      <c r="V30">
        <f>[5]CRP_Outcome_CRP!$O30</f>
        <v>8</v>
      </c>
      <c r="W30">
        <f>[5]CRP_Outcome_CRP!$BF30</f>
        <v>13</v>
      </c>
      <c r="X30">
        <f>[5]CRP_Outcome_CRP!$BG30</f>
        <v>9</v>
      </c>
      <c r="Y30">
        <f>[5]CRP_Outcome_CRP!$BH30</f>
        <v>7</v>
      </c>
      <c r="AA30">
        <f>[6]CRP_Outcome_CRP!$O30</f>
        <v>8</v>
      </c>
      <c r="AB30">
        <f>[6]CRP_Outcome_CRP!$BF30</f>
        <v>13</v>
      </c>
      <c r="AC30">
        <f>[6]CRP_Outcome_CRP!$BG30</f>
        <v>9</v>
      </c>
      <c r="AD30">
        <f>[6]CRP_Outcome_CRP!$BH30</f>
        <v>7</v>
      </c>
      <c r="AF30">
        <f>[7]CRP_Outcome_CRP!$O30</f>
        <v>8</v>
      </c>
      <c r="AG30">
        <f>[7]CRP_Outcome_CRP!$BF30</f>
        <v>36</v>
      </c>
      <c r="AH30">
        <f>[7]CRP_Outcome_CRP!$BG30</f>
        <v>8</v>
      </c>
      <c r="AI30">
        <f>[7]CRP_Outcome_CRP!$BH30</f>
        <v>8</v>
      </c>
      <c r="AK30">
        <f>[8]CRP_Outcome_CRP!$O30</f>
        <v>8</v>
      </c>
      <c r="AL30">
        <f>[8]CRP_Outcome_CRP!$BF30</f>
        <v>13</v>
      </c>
      <c r="AM30">
        <f>[8]CRP_Outcome_CRP!$BG30</f>
        <v>8</v>
      </c>
      <c r="AN30">
        <f>[8]CRP_Outcome_CRP!$BH30</f>
        <v>8</v>
      </c>
      <c r="AP30">
        <f>[9]CRP_Outcome_CRP!$O30</f>
        <v>8</v>
      </c>
      <c r="AQ30">
        <f>[9]CRP_Outcome_CRP!$BF30</f>
        <v>4</v>
      </c>
      <c r="AR30">
        <f>[9]CRP_Outcome_CRP!$BG30</f>
        <v>6</v>
      </c>
      <c r="AS30">
        <f>[9]CRP_Outcome_CRP!$BH30</f>
        <v>1</v>
      </c>
      <c r="AU30">
        <f>[10]CRP_Outcome_CRP!$O30</f>
        <v>8</v>
      </c>
      <c r="AV30">
        <f>[10]CRP_Outcome_CRP!$BF30</f>
        <v>33</v>
      </c>
      <c r="AW30">
        <f>[10]CRP_Outcome_CRP!$BG30</f>
        <v>9</v>
      </c>
      <c r="AX30">
        <f>[10]CRP_Outcome_CRP!$BH30</f>
        <v>4</v>
      </c>
      <c r="AZ30">
        <f t="shared" si="0"/>
        <v>8</v>
      </c>
      <c r="BA30">
        <f t="shared" si="0"/>
        <v>17.5</v>
      </c>
      <c r="BB30">
        <f t="shared" si="0"/>
        <v>8.6</v>
      </c>
      <c r="BC30">
        <f t="shared" si="0"/>
        <v>5.8</v>
      </c>
    </row>
    <row r="31" spans="1:55" x14ac:dyDescent="0.35">
      <c r="A31">
        <v>29</v>
      </c>
      <c r="B31">
        <f>[1]CRP_Outcome_CRP!$O31</f>
        <v>8</v>
      </c>
      <c r="C31">
        <f>[1]CRP_Outcome_CRP!$BF31</f>
        <v>0</v>
      </c>
      <c r="D31">
        <f>[1]CRP_Outcome_CRP!$BG31</f>
        <v>9</v>
      </c>
      <c r="E31">
        <f>[1]CRP_Outcome_CRP!$BH31</f>
        <v>6</v>
      </c>
      <c r="G31">
        <f>[2]CRP_Outcome_CRP!$O31</f>
        <v>8</v>
      </c>
      <c r="H31">
        <f>[2]CRP_Outcome_CRP!$BF31</f>
        <v>4</v>
      </c>
      <c r="I31">
        <f>[2]CRP_Outcome_CRP!$BG31</f>
        <v>9</v>
      </c>
      <c r="J31">
        <f>[2]CRP_Outcome_CRP!$BH31</f>
        <v>7</v>
      </c>
      <c r="L31">
        <f>[3]CRP_Outcome_CRP!$O31</f>
        <v>8</v>
      </c>
      <c r="M31">
        <f>[3]CRP_Outcome_CRP!$BF31</f>
        <v>14</v>
      </c>
      <c r="N31">
        <f>[3]CRP_Outcome_CRP!$BG31</f>
        <v>9</v>
      </c>
      <c r="O31">
        <f>[3]CRP_Outcome_CRP!$BH31</f>
        <v>5</v>
      </c>
      <c r="Q31">
        <f>[4]CRP_Outcome_CRP!$O31</f>
        <v>8</v>
      </c>
      <c r="R31">
        <f>[4]CRP_Outcome_CRP!$BF31</f>
        <v>19</v>
      </c>
      <c r="S31">
        <f>[4]CRP_Outcome_CRP!$BG31</f>
        <v>9</v>
      </c>
      <c r="T31">
        <f>[4]CRP_Outcome_CRP!$BH31</f>
        <v>11</v>
      </c>
      <c r="V31">
        <f>[5]CRP_Outcome_CRP!$O31</f>
        <v>8</v>
      </c>
      <c r="W31">
        <f>[5]CRP_Outcome_CRP!$BF31</f>
        <v>18</v>
      </c>
      <c r="X31">
        <f>[5]CRP_Outcome_CRP!$BG31</f>
        <v>8</v>
      </c>
      <c r="Y31">
        <f>[5]CRP_Outcome_CRP!$BH31</f>
        <v>6</v>
      </c>
      <c r="AA31">
        <f>[6]CRP_Outcome_CRP!$O31</f>
        <v>8</v>
      </c>
      <c r="AB31">
        <f>[6]CRP_Outcome_CRP!$BF31</f>
        <v>18</v>
      </c>
      <c r="AC31">
        <f>[6]CRP_Outcome_CRP!$BG31</f>
        <v>8</v>
      </c>
      <c r="AD31">
        <f>[6]CRP_Outcome_CRP!$BH31</f>
        <v>6</v>
      </c>
      <c r="AF31">
        <f>[7]CRP_Outcome_CRP!$O31</f>
        <v>8</v>
      </c>
      <c r="AG31">
        <f>[7]CRP_Outcome_CRP!$BF31</f>
        <v>15</v>
      </c>
      <c r="AH31">
        <f>[7]CRP_Outcome_CRP!$BG31</f>
        <v>8</v>
      </c>
      <c r="AI31">
        <f>[7]CRP_Outcome_CRP!$BH31</f>
        <v>1</v>
      </c>
      <c r="AK31">
        <f>[8]CRP_Outcome_CRP!$O31</f>
        <v>8</v>
      </c>
      <c r="AL31">
        <f>[8]CRP_Outcome_CRP!$BF31</f>
        <v>18</v>
      </c>
      <c r="AM31">
        <f>[8]CRP_Outcome_CRP!$BG31</f>
        <v>8</v>
      </c>
      <c r="AN31">
        <f>[8]CRP_Outcome_CRP!$BH31</f>
        <v>1</v>
      </c>
      <c r="AP31">
        <f>[9]CRP_Outcome_CRP!$O31</f>
        <v>8</v>
      </c>
      <c r="AQ31">
        <f>[9]CRP_Outcome_CRP!$BF31</f>
        <v>9</v>
      </c>
      <c r="AR31">
        <f>[9]CRP_Outcome_CRP!$BG31</f>
        <v>6</v>
      </c>
      <c r="AS31">
        <f>[9]CRP_Outcome_CRP!$BH31</f>
        <v>0</v>
      </c>
      <c r="AU31">
        <f>[10]CRP_Outcome_CRP!$O31</f>
        <v>8</v>
      </c>
      <c r="AV31">
        <f>[10]CRP_Outcome_CRP!$BF31</f>
        <v>9</v>
      </c>
      <c r="AW31">
        <f>[10]CRP_Outcome_CRP!$BG31</f>
        <v>10</v>
      </c>
      <c r="AX31">
        <f>[10]CRP_Outcome_CRP!$BH31</f>
        <v>4</v>
      </c>
      <c r="AZ31">
        <f t="shared" si="0"/>
        <v>8</v>
      </c>
      <c r="BA31">
        <f t="shared" si="0"/>
        <v>12.4</v>
      </c>
      <c r="BB31">
        <f t="shared" si="0"/>
        <v>8.4</v>
      </c>
      <c r="BC31">
        <f t="shared" si="0"/>
        <v>4.7</v>
      </c>
    </row>
    <row r="32" spans="1:55" x14ac:dyDescent="0.35">
      <c r="A32">
        <v>30</v>
      </c>
      <c r="B32">
        <f>[1]CRP_Outcome_CRP!$O32</f>
        <v>8</v>
      </c>
      <c r="C32">
        <f>[1]CRP_Outcome_CRP!$BF32</f>
        <v>0</v>
      </c>
      <c r="D32">
        <f>[1]CRP_Outcome_CRP!$BG32</f>
        <v>9</v>
      </c>
      <c r="E32">
        <f>[1]CRP_Outcome_CRP!$BH32</f>
        <v>8</v>
      </c>
      <c r="G32">
        <f>[2]CRP_Outcome_CRP!$O32</f>
        <v>8</v>
      </c>
      <c r="H32">
        <f>[2]CRP_Outcome_CRP!$BF32</f>
        <v>0</v>
      </c>
      <c r="I32">
        <f>[2]CRP_Outcome_CRP!$BG32</f>
        <v>9</v>
      </c>
      <c r="J32">
        <f>[2]CRP_Outcome_CRP!$BH32</f>
        <v>12</v>
      </c>
      <c r="L32">
        <f>[3]CRP_Outcome_CRP!$O32</f>
        <v>8</v>
      </c>
      <c r="M32">
        <f>[3]CRP_Outcome_CRP!$BF32</f>
        <v>6</v>
      </c>
      <c r="N32">
        <f>[3]CRP_Outcome_CRP!$BG32</f>
        <v>9</v>
      </c>
      <c r="O32">
        <f>[3]CRP_Outcome_CRP!$BH32</f>
        <v>5</v>
      </c>
      <c r="Q32">
        <f>[4]CRP_Outcome_CRP!$O32</f>
        <v>8</v>
      </c>
      <c r="R32">
        <f>[4]CRP_Outcome_CRP!$BF32</f>
        <v>2</v>
      </c>
      <c r="S32">
        <f>[4]CRP_Outcome_CRP!$BG32</f>
        <v>9</v>
      </c>
      <c r="T32">
        <f>[4]CRP_Outcome_CRP!$BH32</f>
        <v>8</v>
      </c>
      <c r="V32">
        <f>[5]CRP_Outcome_CRP!$O32</f>
        <v>8</v>
      </c>
      <c r="W32">
        <f>[5]CRP_Outcome_CRP!$BF32</f>
        <v>6</v>
      </c>
      <c r="X32">
        <f>[5]CRP_Outcome_CRP!$BG32</f>
        <v>8</v>
      </c>
      <c r="Y32">
        <f>[5]CRP_Outcome_CRP!$BH32</f>
        <v>5</v>
      </c>
      <c r="AA32">
        <f>[6]CRP_Outcome_CRP!$O32</f>
        <v>8</v>
      </c>
      <c r="AB32">
        <f>[6]CRP_Outcome_CRP!$BF32</f>
        <v>6</v>
      </c>
      <c r="AC32">
        <f>[6]CRP_Outcome_CRP!$BG32</f>
        <v>8</v>
      </c>
      <c r="AD32">
        <f>[6]CRP_Outcome_CRP!$BH32</f>
        <v>5</v>
      </c>
      <c r="AF32">
        <f>[7]CRP_Outcome_CRP!$O32</f>
        <v>8</v>
      </c>
      <c r="AG32">
        <f>[7]CRP_Outcome_CRP!$BF32</f>
        <v>0</v>
      </c>
      <c r="AH32">
        <f>[7]CRP_Outcome_CRP!$BG32</f>
        <v>9</v>
      </c>
      <c r="AI32">
        <f>[7]CRP_Outcome_CRP!$BH32</f>
        <v>1</v>
      </c>
      <c r="AK32">
        <f>[8]CRP_Outcome_CRP!$O32</f>
        <v>8</v>
      </c>
      <c r="AL32">
        <f>[8]CRP_Outcome_CRP!$BF32</f>
        <v>6</v>
      </c>
      <c r="AM32">
        <f>[8]CRP_Outcome_CRP!$BG32</f>
        <v>9</v>
      </c>
      <c r="AN32">
        <f>[8]CRP_Outcome_CRP!$BH32</f>
        <v>1</v>
      </c>
      <c r="AP32">
        <f>[9]CRP_Outcome_CRP!$O32</f>
        <v>8</v>
      </c>
      <c r="AQ32">
        <f>[9]CRP_Outcome_CRP!$BF32</f>
        <v>0</v>
      </c>
      <c r="AR32">
        <f>[9]CRP_Outcome_CRP!$BG32</f>
        <v>6</v>
      </c>
      <c r="AS32">
        <f>[9]CRP_Outcome_CRP!$BH32</f>
        <v>3</v>
      </c>
      <c r="AU32">
        <f>[10]CRP_Outcome_CRP!$O32</f>
        <v>8</v>
      </c>
      <c r="AV32">
        <f>[10]CRP_Outcome_CRP!$BF32</f>
        <v>0</v>
      </c>
      <c r="AW32">
        <f>[10]CRP_Outcome_CRP!$BG32</f>
        <v>9</v>
      </c>
      <c r="AX32">
        <f>[10]CRP_Outcome_CRP!$BH32</f>
        <v>6</v>
      </c>
      <c r="AZ32">
        <f t="shared" si="0"/>
        <v>8</v>
      </c>
      <c r="BA32">
        <f t="shared" si="0"/>
        <v>2.6</v>
      </c>
      <c r="BB32">
        <f t="shared" si="0"/>
        <v>8.5</v>
      </c>
      <c r="BC32">
        <f t="shared" si="0"/>
        <v>5.4</v>
      </c>
    </row>
    <row r="33" spans="1:56" x14ac:dyDescent="0.35">
      <c r="A33">
        <v>31</v>
      </c>
      <c r="B33">
        <f>[1]CRP_Outcome_CRP!$O33</f>
        <v>8</v>
      </c>
      <c r="C33">
        <f>[1]CRP_Outcome_CRP!$BF33</f>
        <v>2</v>
      </c>
      <c r="D33">
        <f>[1]CRP_Outcome_CRP!$BG33</f>
        <v>9</v>
      </c>
      <c r="E33">
        <f>[1]CRP_Outcome_CRP!$BH33</f>
        <v>11</v>
      </c>
      <c r="G33">
        <f>[2]CRP_Outcome_CRP!$O33</f>
        <v>8</v>
      </c>
      <c r="H33">
        <f>[2]CRP_Outcome_CRP!$BF33</f>
        <v>1</v>
      </c>
      <c r="I33">
        <f>[2]CRP_Outcome_CRP!$BG33</f>
        <v>9</v>
      </c>
      <c r="J33">
        <f>[2]CRP_Outcome_CRP!$BH33</f>
        <v>14</v>
      </c>
      <c r="L33">
        <f>[3]CRP_Outcome_CRP!$O33</f>
        <v>8</v>
      </c>
      <c r="M33">
        <f>[3]CRP_Outcome_CRP!$BF33</f>
        <v>0</v>
      </c>
      <c r="N33">
        <f>[3]CRP_Outcome_CRP!$BG33</f>
        <v>9</v>
      </c>
      <c r="O33">
        <f>[3]CRP_Outcome_CRP!$BH33</f>
        <v>7</v>
      </c>
      <c r="Q33">
        <f>[4]CRP_Outcome_CRP!$O33</f>
        <v>8</v>
      </c>
      <c r="R33">
        <f>[4]CRP_Outcome_CRP!$BF33</f>
        <v>14</v>
      </c>
      <c r="S33">
        <f>[4]CRP_Outcome_CRP!$BG33</f>
        <v>9</v>
      </c>
      <c r="T33">
        <f>[4]CRP_Outcome_CRP!$BH33</f>
        <v>3</v>
      </c>
      <c r="V33">
        <f>[5]CRP_Outcome_CRP!$O33</f>
        <v>8</v>
      </c>
      <c r="W33">
        <f>[5]CRP_Outcome_CRP!$BF33</f>
        <v>0</v>
      </c>
      <c r="X33">
        <f>[5]CRP_Outcome_CRP!$BG33</f>
        <v>9</v>
      </c>
      <c r="Y33">
        <f>[5]CRP_Outcome_CRP!$BH33</f>
        <v>6</v>
      </c>
      <c r="AA33">
        <f>[6]CRP_Outcome_CRP!$O33</f>
        <v>8</v>
      </c>
      <c r="AB33">
        <f>[6]CRP_Outcome_CRP!$BF33</f>
        <v>0</v>
      </c>
      <c r="AC33">
        <f>[6]CRP_Outcome_CRP!$BG33</f>
        <v>9</v>
      </c>
      <c r="AD33">
        <f>[6]CRP_Outcome_CRP!$BH33</f>
        <v>6</v>
      </c>
      <c r="AF33">
        <f>[7]CRP_Outcome_CRP!$O33</f>
        <v>8</v>
      </c>
      <c r="AG33">
        <f>[7]CRP_Outcome_CRP!$BF33</f>
        <v>0</v>
      </c>
      <c r="AH33">
        <f>[7]CRP_Outcome_CRP!$BG33</f>
        <v>9</v>
      </c>
      <c r="AI33">
        <f>[7]CRP_Outcome_CRP!$BH33</f>
        <v>7</v>
      </c>
      <c r="AK33">
        <f>[8]CRP_Outcome_CRP!$O33</f>
        <v>8</v>
      </c>
      <c r="AL33">
        <f>[8]CRP_Outcome_CRP!$BF33</f>
        <v>0</v>
      </c>
      <c r="AM33">
        <f>[8]CRP_Outcome_CRP!$BG33</f>
        <v>9</v>
      </c>
      <c r="AN33">
        <f>[8]CRP_Outcome_CRP!$BH33</f>
        <v>7</v>
      </c>
      <c r="AP33">
        <f>[9]CRP_Outcome_CRP!$O33</f>
        <v>8</v>
      </c>
      <c r="AQ33">
        <f>[9]CRP_Outcome_CRP!$BF33</f>
        <v>0</v>
      </c>
      <c r="AR33">
        <f>[9]CRP_Outcome_CRP!$BG33</f>
        <v>7</v>
      </c>
      <c r="AS33">
        <f>[9]CRP_Outcome_CRP!$BH33</f>
        <v>5</v>
      </c>
      <c r="AU33">
        <f>[10]CRP_Outcome_CRP!$O33</f>
        <v>8</v>
      </c>
      <c r="AV33">
        <f>[10]CRP_Outcome_CRP!$BF33</f>
        <v>0</v>
      </c>
      <c r="AW33">
        <f>[10]CRP_Outcome_CRP!$BG33</f>
        <v>9</v>
      </c>
      <c r="AX33">
        <f>[10]CRP_Outcome_CRP!$BH33</f>
        <v>14</v>
      </c>
      <c r="AZ33">
        <f t="shared" si="0"/>
        <v>8</v>
      </c>
      <c r="BA33">
        <f t="shared" si="0"/>
        <v>1.7</v>
      </c>
      <c r="BB33">
        <f t="shared" si="0"/>
        <v>8.8000000000000007</v>
      </c>
      <c r="BC33">
        <f t="shared" si="0"/>
        <v>8</v>
      </c>
    </row>
    <row r="34" spans="1:56" x14ac:dyDescent="0.35">
      <c r="A34">
        <v>32</v>
      </c>
      <c r="B34">
        <f>[1]CRP_Outcome_CRP!$O34</f>
        <v>8</v>
      </c>
      <c r="C34">
        <f>[1]CRP_Outcome_CRP!$BF34</f>
        <v>19</v>
      </c>
      <c r="D34">
        <f>[1]CRP_Outcome_CRP!$BG34</f>
        <v>9</v>
      </c>
      <c r="E34">
        <f>[1]CRP_Outcome_CRP!$BH34</f>
        <v>10</v>
      </c>
      <c r="G34">
        <f>[2]CRP_Outcome_CRP!$O34</f>
        <v>8</v>
      </c>
      <c r="H34">
        <f>[2]CRP_Outcome_CRP!$BF34</f>
        <v>14</v>
      </c>
      <c r="I34">
        <f>[2]CRP_Outcome_CRP!$BG34</f>
        <v>9</v>
      </c>
      <c r="J34">
        <f>[2]CRP_Outcome_CRP!$BH34</f>
        <v>8</v>
      </c>
      <c r="L34">
        <f>[3]CRP_Outcome_CRP!$O34</f>
        <v>8</v>
      </c>
      <c r="M34">
        <f>[3]CRP_Outcome_CRP!$BF34</f>
        <v>0</v>
      </c>
      <c r="N34">
        <f>[3]CRP_Outcome_CRP!$BG34</f>
        <v>9</v>
      </c>
      <c r="O34">
        <f>[3]CRP_Outcome_CRP!$BH34</f>
        <v>10</v>
      </c>
      <c r="Q34">
        <f>[4]CRP_Outcome_CRP!$O34</f>
        <v>8</v>
      </c>
      <c r="R34">
        <f>[4]CRP_Outcome_CRP!$BF34</f>
        <v>0</v>
      </c>
      <c r="S34">
        <f>[4]CRP_Outcome_CRP!$BG34</f>
        <v>9</v>
      </c>
      <c r="T34">
        <f>[4]CRP_Outcome_CRP!$BH34</f>
        <v>7</v>
      </c>
      <c r="V34">
        <f>[5]CRP_Outcome_CRP!$O34</f>
        <v>8</v>
      </c>
      <c r="W34">
        <f>[5]CRP_Outcome_CRP!$BF34</f>
        <v>0</v>
      </c>
      <c r="X34">
        <f>[5]CRP_Outcome_CRP!$BG34</f>
        <v>9</v>
      </c>
      <c r="Y34">
        <f>[5]CRP_Outcome_CRP!$BH34</f>
        <v>10</v>
      </c>
      <c r="AA34">
        <f>[6]CRP_Outcome_CRP!$O34</f>
        <v>8</v>
      </c>
      <c r="AB34">
        <f>[6]CRP_Outcome_CRP!$BF34</f>
        <v>0</v>
      </c>
      <c r="AC34">
        <f>[6]CRP_Outcome_CRP!$BG34</f>
        <v>9</v>
      </c>
      <c r="AD34">
        <f>[6]CRP_Outcome_CRP!$BH34</f>
        <v>10</v>
      </c>
      <c r="AF34">
        <f>[7]CRP_Outcome_CRP!$O34</f>
        <v>8</v>
      </c>
      <c r="AG34">
        <f>[7]CRP_Outcome_CRP!$BF34</f>
        <v>0</v>
      </c>
      <c r="AH34">
        <f>[7]CRP_Outcome_CRP!$BG34</f>
        <v>9</v>
      </c>
      <c r="AI34">
        <f>[7]CRP_Outcome_CRP!$BH34</f>
        <v>14</v>
      </c>
      <c r="AK34">
        <f>[8]CRP_Outcome_CRP!$O34</f>
        <v>8</v>
      </c>
      <c r="AL34">
        <f>[8]CRP_Outcome_CRP!$BF34</f>
        <v>0</v>
      </c>
      <c r="AM34">
        <f>[8]CRP_Outcome_CRP!$BG34</f>
        <v>9</v>
      </c>
      <c r="AN34">
        <f>[8]CRP_Outcome_CRP!$BH34</f>
        <v>14</v>
      </c>
      <c r="AP34">
        <f>[9]CRP_Outcome_CRP!$O34</f>
        <v>8</v>
      </c>
      <c r="AQ34">
        <f>[9]CRP_Outcome_CRP!$BF34</f>
        <v>0</v>
      </c>
      <c r="AR34">
        <f>[9]CRP_Outcome_CRP!$BG34</f>
        <v>5</v>
      </c>
      <c r="AS34">
        <f>[9]CRP_Outcome_CRP!$BH34</f>
        <v>9</v>
      </c>
      <c r="AU34">
        <f>[10]CRP_Outcome_CRP!$O34</f>
        <v>8</v>
      </c>
      <c r="AV34">
        <f>[10]CRP_Outcome_CRP!$BF34</f>
        <v>2</v>
      </c>
      <c r="AW34">
        <f>[10]CRP_Outcome_CRP!$BG34</f>
        <v>9</v>
      </c>
      <c r="AX34">
        <f>[10]CRP_Outcome_CRP!$BH34</f>
        <v>12</v>
      </c>
      <c r="AZ34">
        <f t="shared" si="0"/>
        <v>8</v>
      </c>
      <c r="BA34">
        <f t="shared" si="0"/>
        <v>3.5</v>
      </c>
      <c r="BB34">
        <f t="shared" si="0"/>
        <v>8.6</v>
      </c>
      <c r="BC34">
        <f t="shared" si="0"/>
        <v>10.4</v>
      </c>
    </row>
    <row r="35" spans="1:56" x14ac:dyDescent="0.35">
      <c r="A35">
        <v>33</v>
      </c>
      <c r="B35">
        <f>[1]CRP_Outcome_CRP!$O35</f>
        <v>8</v>
      </c>
      <c r="C35">
        <f>[1]CRP_Outcome_CRP!$BF35</f>
        <v>24</v>
      </c>
      <c r="D35">
        <f>[1]CRP_Outcome_CRP!$BG35</f>
        <v>9</v>
      </c>
      <c r="E35">
        <f>[1]CRP_Outcome_CRP!$BH35</f>
        <v>6</v>
      </c>
      <c r="G35">
        <f>[2]CRP_Outcome_CRP!$O35</f>
        <v>8</v>
      </c>
      <c r="H35">
        <f>[2]CRP_Outcome_CRP!$BF35</f>
        <v>21</v>
      </c>
      <c r="I35">
        <f>[2]CRP_Outcome_CRP!$BG35</f>
        <v>9</v>
      </c>
      <c r="J35">
        <f>[2]CRP_Outcome_CRP!$BH35</f>
        <v>1</v>
      </c>
      <c r="L35">
        <f>[3]CRP_Outcome_CRP!$O35</f>
        <v>8</v>
      </c>
      <c r="M35">
        <f>[3]CRP_Outcome_CRP!$BF35</f>
        <v>4</v>
      </c>
      <c r="N35">
        <f>[3]CRP_Outcome_CRP!$BG35</f>
        <v>9</v>
      </c>
      <c r="O35">
        <f>[3]CRP_Outcome_CRP!$BH35</f>
        <v>10</v>
      </c>
      <c r="Q35">
        <f>[4]CRP_Outcome_CRP!$O35</f>
        <v>8</v>
      </c>
      <c r="R35">
        <f>[4]CRP_Outcome_CRP!$BF35</f>
        <v>0</v>
      </c>
      <c r="S35">
        <f>[4]CRP_Outcome_CRP!$BG35</f>
        <v>9</v>
      </c>
      <c r="T35">
        <f>[4]CRP_Outcome_CRP!$BH35</f>
        <v>8</v>
      </c>
      <c r="V35">
        <f>[5]CRP_Outcome_CRP!$O35</f>
        <v>8</v>
      </c>
      <c r="W35">
        <f>[5]CRP_Outcome_CRP!$BF35</f>
        <v>5</v>
      </c>
      <c r="X35">
        <f>[5]CRP_Outcome_CRP!$BG35</f>
        <v>9</v>
      </c>
      <c r="Y35">
        <f>[5]CRP_Outcome_CRP!$BH35</f>
        <v>10</v>
      </c>
      <c r="AA35">
        <f>[6]CRP_Outcome_CRP!$O35</f>
        <v>8</v>
      </c>
      <c r="AB35">
        <f>[6]CRP_Outcome_CRP!$BF35</f>
        <v>5</v>
      </c>
      <c r="AC35">
        <f>[6]CRP_Outcome_CRP!$BG35</f>
        <v>9</v>
      </c>
      <c r="AD35">
        <f>[6]CRP_Outcome_CRP!$BH35</f>
        <v>10</v>
      </c>
      <c r="AF35">
        <f>[7]CRP_Outcome_CRP!$O35</f>
        <v>8</v>
      </c>
      <c r="AG35">
        <f>[7]CRP_Outcome_CRP!$BF35</f>
        <v>5</v>
      </c>
      <c r="AH35">
        <f>[7]CRP_Outcome_CRP!$BG35</f>
        <v>9</v>
      </c>
      <c r="AI35">
        <f>[7]CRP_Outcome_CRP!$BH35</f>
        <v>13</v>
      </c>
      <c r="AK35">
        <f>[8]CRP_Outcome_CRP!$O35</f>
        <v>8</v>
      </c>
      <c r="AL35">
        <f>[8]CRP_Outcome_CRP!$BF35</f>
        <v>1</v>
      </c>
      <c r="AM35">
        <f>[8]CRP_Outcome_CRP!$BG35</f>
        <v>9</v>
      </c>
      <c r="AN35">
        <f>[8]CRP_Outcome_CRP!$BH35</f>
        <v>13</v>
      </c>
      <c r="AP35">
        <f>[9]CRP_Outcome_CRP!$O35</f>
        <v>8</v>
      </c>
      <c r="AQ35">
        <f>[9]CRP_Outcome_CRP!$BF35</f>
        <v>0</v>
      </c>
      <c r="AR35">
        <f>[9]CRP_Outcome_CRP!$BG35</f>
        <v>5</v>
      </c>
      <c r="AS35">
        <f>[9]CRP_Outcome_CRP!$BH35</f>
        <v>7</v>
      </c>
      <c r="AU35">
        <f>[10]CRP_Outcome_CRP!$O35</f>
        <v>8</v>
      </c>
      <c r="AV35">
        <f>[10]CRP_Outcome_CRP!$BF35</f>
        <v>42</v>
      </c>
      <c r="AW35">
        <f>[10]CRP_Outcome_CRP!$BG35</f>
        <v>9</v>
      </c>
      <c r="AX35">
        <f>[10]CRP_Outcome_CRP!$BH35</f>
        <v>7</v>
      </c>
      <c r="AZ35">
        <f t="shared" si="0"/>
        <v>8</v>
      </c>
      <c r="BA35">
        <f t="shared" si="0"/>
        <v>10.7</v>
      </c>
      <c r="BB35">
        <f t="shared" si="0"/>
        <v>8.6</v>
      </c>
      <c r="BC35">
        <f t="shared" si="0"/>
        <v>8.5</v>
      </c>
    </row>
    <row r="36" spans="1:56" x14ac:dyDescent="0.35">
      <c r="A36">
        <v>34</v>
      </c>
      <c r="B36">
        <f>[1]CRP_Outcome_CRP!$O36</f>
        <v>8</v>
      </c>
      <c r="C36">
        <f>[1]CRP_Outcome_CRP!$BF36</f>
        <v>0</v>
      </c>
      <c r="D36">
        <f>[1]CRP_Outcome_CRP!$BG36</f>
        <v>9</v>
      </c>
      <c r="E36">
        <f>[1]CRP_Outcome_CRP!$BH36</f>
        <v>6</v>
      </c>
      <c r="G36">
        <f>[2]CRP_Outcome_CRP!$O36</f>
        <v>8</v>
      </c>
      <c r="H36">
        <f>[2]CRP_Outcome_CRP!$BF36</f>
        <v>9</v>
      </c>
      <c r="I36">
        <f>[2]CRP_Outcome_CRP!$BG36</f>
        <v>9</v>
      </c>
      <c r="J36">
        <f>[2]CRP_Outcome_CRP!$BH36</f>
        <v>4</v>
      </c>
      <c r="L36">
        <f>[3]CRP_Outcome_CRP!$O36</f>
        <v>8</v>
      </c>
      <c r="M36">
        <f>[3]CRP_Outcome_CRP!$BF36</f>
        <v>12</v>
      </c>
      <c r="N36">
        <f>[3]CRP_Outcome_CRP!$BG36</f>
        <v>9</v>
      </c>
      <c r="O36">
        <f>[3]CRP_Outcome_CRP!$BH36</f>
        <v>7</v>
      </c>
      <c r="Q36">
        <f>[4]CRP_Outcome_CRP!$O36</f>
        <v>8</v>
      </c>
      <c r="R36">
        <f>[4]CRP_Outcome_CRP!$BF36</f>
        <v>13</v>
      </c>
      <c r="S36">
        <f>[4]CRP_Outcome_CRP!$BG36</f>
        <v>9</v>
      </c>
      <c r="T36">
        <f>[4]CRP_Outcome_CRP!$BH36</f>
        <v>10</v>
      </c>
      <c r="V36">
        <f>[5]CRP_Outcome_CRP!$O36</f>
        <v>8</v>
      </c>
      <c r="W36">
        <f>[5]CRP_Outcome_CRP!$BF36</f>
        <v>14</v>
      </c>
      <c r="X36">
        <f>[5]CRP_Outcome_CRP!$BG36</f>
        <v>9</v>
      </c>
      <c r="Y36">
        <f>[5]CRP_Outcome_CRP!$BH36</f>
        <v>8</v>
      </c>
      <c r="AA36">
        <f>[6]CRP_Outcome_CRP!$O36</f>
        <v>8</v>
      </c>
      <c r="AB36">
        <f>[6]CRP_Outcome_CRP!$BF36</f>
        <v>14</v>
      </c>
      <c r="AC36">
        <f>[6]CRP_Outcome_CRP!$BG36</f>
        <v>9</v>
      </c>
      <c r="AD36">
        <f>[6]CRP_Outcome_CRP!$BH36</f>
        <v>8</v>
      </c>
      <c r="AF36">
        <f>[7]CRP_Outcome_CRP!$O36</f>
        <v>8</v>
      </c>
      <c r="AG36">
        <f>[7]CRP_Outcome_CRP!$BF36</f>
        <v>41</v>
      </c>
      <c r="AH36">
        <f>[7]CRP_Outcome_CRP!$BG36</f>
        <v>8</v>
      </c>
      <c r="AI36">
        <f>[7]CRP_Outcome_CRP!$BH36</f>
        <v>6</v>
      </c>
      <c r="AK36">
        <f>[8]CRP_Outcome_CRP!$O36</f>
        <v>8</v>
      </c>
      <c r="AL36">
        <f>[8]CRP_Outcome_CRP!$BF36</f>
        <v>17</v>
      </c>
      <c r="AM36">
        <f>[8]CRP_Outcome_CRP!$BG36</f>
        <v>8</v>
      </c>
      <c r="AN36">
        <f>[8]CRP_Outcome_CRP!$BH36</f>
        <v>6</v>
      </c>
      <c r="AP36">
        <f>[9]CRP_Outcome_CRP!$O36</f>
        <v>8</v>
      </c>
      <c r="AQ36">
        <f>[9]CRP_Outcome_CRP!$BF36</f>
        <v>11</v>
      </c>
      <c r="AR36">
        <f>[9]CRP_Outcome_CRP!$BG36</f>
        <v>6</v>
      </c>
      <c r="AS36">
        <f>[9]CRP_Outcome_CRP!$BH36</f>
        <v>0</v>
      </c>
      <c r="AU36">
        <f>[10]CRP_Outcome_CRP!$O36</f>
        <v>8</v>
      </c>
      <c r="AV36">
        <f>[10]CRP_Outcome_CRP!$BF36</f>
        <v>7</v>
      </c>
      <c r="AW36">
        <f>[10]CRP_Outcome_CRP!$BG36</f>
        <v>10</v>
      </c>
      <c r="AX36">
        <f>[10]CRP_Outcome_CRP!$BH36</f>
        <v>4</v>
      </c>
      <c r="AZ36">
        <f t="shared" si="0"/>
        <v>8</v>
      </c>
      <c r="BA36">
        <f t="shared" si="0"/>
        <v>13.8</v>
      </c>
      <c r="BB36">
        <f t="shared" si="0"/>
        <v>8.6</v>
      </c>
      <c r="BC36">
        <f t="shared" si="0"/>
        <v>5.9</v>
      </c>
    </row>
    <row r="37" spans="1:56" x14ac:dyDescent="0.35">
      <c r="A37">
        <v>35</v>
      </c>
      <c r="B37">
        <f>[1]CRP_Outcome_CRP!$O37</f>
        <v>8</v>
      </c>
      <c r="C37">
        <f>[1]CRP_Outcome_CRP!$BF37</f>
        <v>0</v>
      </c>
      <c r="D37">
        <f>[1]CRP_Outcome_CRP!$BG37</f>
        <v>9</v>
      </c>
      <c r="E37">
        <f>[1]CRP_Outcome_CRP!$BH37</f>
        <v>7</v>
      </c>
      <c r="G37">
        <f>[2]CRP_Outcome_CRP!$O37</f>
        <v>8</v>
      </c>
      <c r="H37">
        <f>[2]CRP_Outcome_CRP!$BF37</f>
        <v>0</v>
      </c>
      <c r="I37">
        <f>[2]CRP_Outcome_CRP!$BG37</f>
        <v>9</v>
      </c>
      <c r="J37">
        <f>[2]CRP_Outcome_CRP!$BH37</f>
        <v>10</v>
      </c>
      <c r="L37">
        <f>[3]CRP_Outcome_CRP!$O37</f>
        <v>8</v>
      </c>
      <c r="M37">
        <f>[3]CRP_Outcome_CRP!$BF37</f>
        <v>12</v>
      </c>
      <c r="N37">
        <f>[3]CRP_Outcome_CRP!$BG37</f>
        <v>9</v>
      </c>
      <c r="O37">
        <f>[3]CRP_Outcome_CRP!$BH37</f>
        <v>6</v>
      </c>
      <c r="Q37">
        <f>[4]CRP_Outcome_CRP!$O37</f>
        <v>8</v>
      </c>
      <c r="R37">
        <f>[4]CRP_Outcome_CRP!$BF37</f>
        <v>4</v>
      </c>
      <c r="S37">
        <f>[4]CRP_Outcome_CRP!$BG37</f>
        <v>9</v>
      </c>
      <c r="T37">
        <f>[4]CRP_Outcome_CRP!$BH37</f>
        <v>11</v>
      </c>
      <c r="V37">
        <f>[5]CRP_Outcome_CRP!$O37</f>
        <v>8</v>
      </c>
      <c r="W37">
        <f>[5]CRP_Outcome_CRP!$BF37</f>
        <v>14</v>
      </c>
      <c r="X37">
        <f>[5]CRP_Outcome_CRP!$BG37</f>
        <v>8</v>
      </c>
      <c r="Y37">
        <f>[5]CRP_Outcome_CRP!$BH37</f>
        <v>6</v>
      </c>
      <c r="AA37">
        <f>[6]CRP_Outcome_CRP!$O37</f>
        <v>8</v>
      </c>
      <c r="AB37">
        <f>[6]CRP_Outcome_CRP!$BF37</f>
        <v>14</v>
      </c>
      <c r="AC37">
        <f>[6]CRP_Outcome_CRP!$BG37</f>
        <v>8</v>
      </c>
      <c r="AD37">
        <f>[6]CRP_Outcome_CRP!$BH37</f>
        <v>6</v>
      </c>
      <c r="AF37">
        <f>[7]CRP_Outcome_CRP!$O37</f>
        <v>8</v>
      </c>
      <c r="AG37">
        <f>[7]CRP_Outcome_CRP!$BF37</f>
        <v>7</v>
      </c>
      <c r="AH37">
        <f>[7]CRP_Outcome_CRP!$BG37</f>
        <v>8</v>
      </c>
      <c r="AI37">
        <f>[7]CRP_Outcome_CRP!$BH37</f>
        <v>2</v>
      </c>
      <c r="AK37">
        <f>[8]CRP_Outcome_CRP!$O37</f>
        <v>8</v>
      </c>
      <c r="AL37">
        <f>[8]CRP_Outcome_CRP!$BF37</f>
        <v>16</v>
      </c>
      <c r="AM37">
        <f>[8]CRP_Outcome_CRP!$BG37</f>
        <v>8</v>
      </c>
      <c r="AN37">
        <f>[8]CRP_Outcome_CRP!$BH37</f>
        <v>1</v>
      </c>
      <c r="AP37">
        <f>[9]CRP_Outcome_CRP!$O37</f>
        <v>8</v>
      </c>
      <c r="AQ37">
        <f>[9]CRP_Outcome_CRP!$BF37</f>
        <v>7</v>
      </c>
      <c r="AR37">
        <f>[9]CRP_Outcome_CRP!$BG37</f>
        <v>6</v>
      </c>
      <c r="AS37">
        <f>[9]CRP_Outcome_CRP!$BH37</f>
        <v>0</v>
      </c>
      <c r="AU37">
        <f>[10]CRP_Outcome_CRP!$O37</f>
        <v>8</v>
      </c>
      <c r="AV37">
        <f>[10]CRP_Outcome_CRP!$BF37</f>
        <v>0</v>
      </c>
      <c r="AW37">
        <f>[10]CRP_Outcome_CRP!$BG37</f>
        <v>9</v>
      </c>
      <c r="AX37">
        <f>[10]CRP_Outcome_CRP!$BH37</f>
        <v>4</v>
      </c>
      <c r="AZ37">
        <f t="shared" si="0"/>
        <v>8</v>
      </c>
      <c r="BA37">
        <f t="shared" si="0"/>
        <v>7.4</v>
      </c>
      <c r="BB37">
        <f t="shared" si="0"/>
        <v>8.3000000000000007</v>
      </c>
      <c r="BC37">
        <f t="shared" si="0"/>
        <v>5.3</v>
      </c>
    </row>
    <row r="38" spans="1:56" x14ac:dyDescent="0.35">
      <c r="A38">
        <v>36</v>
      </c>
      <c r="B38">
        <f>[1]CRP_Outcome_CRP!$O38</f>
        <v>8</v>
      </c>
      <c r="C38">
        <f>[1]CRP_Outcome_CRP!$BF38</f>
        <v>4</v>
      </c>
      <c r="D38">
        <f>[1]CRP_Outcome_CRP!$BG38</f>
        <v>9</v>
      </c>
      <c r="E38">
        <f>[1]CRP_Outcome_CRP!$BH38</f>
        <v>9</v>
      </c>
      <c r="G38">
        <f>[2]CRP_Outcome_CRP!$O38</f>
        <v>8</v>
      </c>
      <c r="H38">
        <f>[2]CRP_Outcome_CRP!$BF38</f>
        <v>0</v>
      </c>
      <c r="I38">
        <f>[2]CRP_Outcome_CRP!$BG38</f>
        <v>9</v>
      </c>
      <c r="J38">
        <f>[2]CRP_Outcome_CRP!$BH38</f>
        <v>15</v>
      </c>
      <c r="L38">
        <f>[3]CRP_Outcome_CRP!$O38</f>
        <v>8</v>
      </c>
      <c r="M38">
        <f>[3]CRP_Outcome_CRP!$BF38</f>
        <v>4</v>
      </c>
      <c r="N38">
        <f>[3]CRP_Outcome_CRP!$BG38</f>
        <v>9</v>
      </c>
      <c r="O38">
        <f>[3]CRP_Outcome_CRP!$BH38</f>
        <v>5</v>
      </c>
      <c r="Q38">
        <f>[4]CRP_Outcome_CRP!$O38</f>
        <v>8</v>
      </c>
      <c r="R38">
        <f>[4]CRP_Outcome_CRP!$BF38</f>
        <v>25</v>
      </c>
      <c r="S38">
        <f>[4]CRP_Outcome_CRP!$BG38</f>
        <v>9</v>
      </c>
      <c r="T38">
        <f>[4]CRP_Outcome_CRP!$BH38</f>
        <v>5</v>
      </c>
      <c r="V38">
        <f>[5]CRP_Outcome_CRP!$O38</f>
        <v>8</v>
      </c>
      <c r="W38">
        <f>[5]CRP_Outcome_CRP!$BF38</f>
        <v>7</v>
      </c>
      <c r="X38">
        <f>[5]CRP_Outcome_CRP!$BG38</f>
        <v>8</v>
      </c>
      <c r="Y38">
        <f>[5]CRP_Outcome_CRP!$BH38</f>
        <v>6</v>
      </c>
      <c r="AA38">
        <f>[6]CRP_Outcome_CRP!$O38</f>
        <v>8</v>
      </c>
      <c r="AB38">
        <f>[6]CRP_Outcome_CRP!$BF38</f>
        <v>7</v>
      </c>
      <c r="AC38">
        <f>[6]CRP_Outcome_CRP!$BG38</f>
        <v>8</v>
      </c>
      <c r="AD38">
        <f>[6]CRP_Outcome_CRP!$BH38</f>
        <v>6</v>
      </c>
      <c r="AF38">
        <f>[7]CRP_Outcome_CRP!$O38</f>
        <v>8</v>
      </c>
      <c r="AG38">
        <f>[7]CRP_Outcome_CRP!$BF38</f>
        <v>0</v>
      </c>
      <c r="AH38">
        <f>[7]CRP_Outcome_CRP!$BG38</f>
        <v>9</v>
      </c>
      <c r="AI38">
        <f>[7]CRP_Outcome_CRP!$BH38</f>
        <v>2</v>
      </c>
      <c r="AK38">
        <f>[8]CRP_Outcome_CRP!$O38</f>
        <v>8</v>
      </c>
      <c r="AL38">
        <f>[8]CRP_Outcome_CRP!$BF38</f>
        <v>2</v>
      </c>
      <c r="AM38">
        <f>[8]CRP_Outcome_CRP!$BG38</f>
        <v>9</v>
      </c>
      <c r="AN38">
        <f>[8]CRP_Outcome_CRP!$BH38</f>
        <v>0</v>
      </c>
      <c r="AP38">
        <f>[9]CRP_Outcome_CRP!$O38</f>
        <v>8</v>
      </c>
      <c r="AQ38">
        <f>[9]CRP_Outcome_CRP!$BF38</f>
        <v>0</v>
      </c>
      <c r="AR38">
        <f>[9]CRP_Outcome_CRP!$BG38</f>
        <v>6</v>
      </c>
      <c r="AS38">
        <f>[9]CRP_Outcome_CRP!$BH38</f>
        <v>1</v>
      </c>
      <c r="AU38">
        <f>[10]CRP_Outcome_CRP!$O38</f>
        <v>8</v>
      </c>
      <c r="AV38">
        <f>[10]CRP_Outcome_CRP!$BF38</f>
        <v>5</v>
      </c>
      <c r="AW38">
        <f>[10]CRP_Outcome_CRP!$BG38</f>
        <v>9</v>
      </c>
      <c r="AX38">
        <f>[10]CRP_Outcome_CRP!$BH38</f>
        <v>13</v>
      </c>
      <c r="AZ38">
        <f t="shared" si="0"/>
        <v>8</v>
      </c>
      <c r="BA38">
        <f t="shared" si="0"/>
        <v>5.4</v>
      </c>
      <c r="BB38">
        <f t="shared" si="0"/>
        <v>8.5</v>
      </c>
      <c r="BC38">
        <f t="shared" si="0"/>
        <v>6.2</v>
      </c>
    </row>
    <row r="40" spans="1:56" x14ac:dyDescent="0.35">
      <c r="A40" t="s">
        <v>9</v>
      </c>
      <c r="B40">
        <f>SUM(B2:B38)</f>
        <v>272</v>
      </c>
      <c r="C40">
        <f t="shared" ref="C40:E40" si="1">SUM(C2:C38)</f>
        <v>278</v>
      </c>
      <c r="D40">
        <f t="shared" si="1"/>
        <v>300</v>
      </c>
      <c r="E40">
        <f t="shared" si="1"/>
        <v>259</v>
      </c>
      <c r="G40">
        <f>SUM(G2:G38)</f>
        <v>272</v>
      </c>
      <c r="H40">
        <f t="shared" ref="H40:J40" si="2">SUM(H2:H38)</f>
        <v>254</v>
      </c>
      <c r="I40">
        <f t="shared" si="2"/>
        <v>298</v>
      </c>
      <c r="J40">
        <f t="shared" si="2"/>
        <v>261</v>
      </c>
      <c r="L40">
        <f>SUM(L2:L38)</f>
        <v>272</v>
      </c>
      <c r="M40">
        <f t="shared" ref="M40:O40" si="3">SUM(M2:M38)</f>
        <v>199</v>
      </c>
      <c r="N40">
        <f t="shared" si="3"/>
        <v>300</v>
      </c>
      <c r="O40">
        <f t="shared" si="3"/>
        <v>245</v>
      </c>
      <c r="Q40">
        <f>SUM(Q2:Q38)</f>
        <v>272</v>
      </c>
      <c r="R40">
        <f t="shared" ref="R40:T40" si="4">SUM(R2:R38)</f>
        <v>267</v>
      </c>
      <c r="S40">
        <f t="shared" si="4"/>
        <v>302</v>
      </c>
      <c r="T40">
        <f t="shared" si="4"/>
        <v>251</v>
      </c>
      <c r="V40">
        <f>SUM(V2:V38)</f>
        <v>272</v>
      </c>
      <c r="W40">
        <f t="shared" ref="W40:Y40" si="5">SUM(W2:W38)</f>
        <v>234</v>
      </c>
      <c r="X40">
        <f t="shared" si="5"/>
        <v>285</v>
      </c>
      <c r="Y40">
        <f t="shared" si="5"/>
        <v>243</v>
      </c>
      <c r="AA40">
        <f>SUM(AA2:AA38)</f>
        <v>272</v>
      </c>
      <c r="AB40">
        <f t="shared" ref="AB40:AD40" si="6">SUM(AB2:AB38)</f>
        <v>234</v>
      </c>
      <c r="AC40">
        <f t="shared" si="6"/>
        <v>285</v>
      </c>
      <c r="AD40">
        <f t="shared" si="6"/>
        <v>243</v>
      </c>
      <c r="AF40">
        <f>SUM(AF2:AF38)</f>
        <v>272</v>
      </c>
      <c r="AG40">
        <f t="shared" ref="AG40:AI40" si="7">SUM(AG2:AG38)</f>
        <v>281</v>
      </c>
      <c r="AH40">
        <f t="shared" si="7"/>
        <v>286</v>
      </c>
      <c r="AI40">
        <f t="shared" si="7"/>
        <v>226</v>
      </c>
      <c r="AK40">
        <f>SUM(AK2:AK38)</f>
        <v>272</v>
      </c>
      <c r="AL40">
        <f t="shared" ref="AL40:AN40" si="8">SUM(AL2:AL38)</f>
        <v>201</v>
      </c>
      <c r="AM40">
        <f t="shared" si="8"/>
        <v>286</v>
      </c>
      <c r="AN40">
        <f t="shared" si="8"/>
        <v>223</v>
      </c>
      <c r="AP40">
        <f>SUM(AP2:AP38)</f>
        <v>272</v>
      </c>
      <c r="AQ40">
        <f t="shared" ref="AQ40:AS40" si="9">SUM(AQ2:AQ38)</f>
        <v>90</v>
      </c>
      <c r="AR40">
        <f t="shared" si="9"/>
        <v>199</v>
      </c>
      <c r="AS40">
        <f t="shared" si="9"/>
        <v>127</v>
      </c>
      <c r="AU40">
        <f>SUM(AU2:AU38)</f>
        <v>272</v>
      </c>
      <c r="AV40">
        <f t="shared" ref="AV40:AX40" si="10">SUM(AV2:AV38)</f>
        <v>314</v>
      </c>
      <c r="AW40">
        <f t="shared" si="10"/>
        <v>308</v>
      </c>
      <c r="AX40">
        <f t="shared" si="10"/>
        <v>272</v>
      </c>
      <c r="AZ40">
        <f>SUM(AZ2:AZ38)</f>
        <v>272</v>
      </c>
      <c r="BA40">
        <f>SUM(BA2:BA38)</f>
        <v>235.20000000000002</v>
      </c>
      <c r="BB40">
        <f t="shared" ref="BB40:BD40" si="11">SUM(BB2:BB38)</f>
        <v>284.90000000000003</v>
      </c>
      <c r="BC40">
        <f t="shared" si="11"/>
        <v>235</v>
      </c>
      <c r="BD40">
        <f t="shared" si="11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CAD5-4389-4FD4-A235-F12439131AF0}">
  <dimension ref="A1:BC40"/>
  <sheetViews>
    <sheetView topLeftCell="AO1" workbookViewId="0">
      <selection activeCell="AZ40" sqref="AZ40:BC40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0" max="51" width="8.7265625" style="5"/>
  </cols>
  <sheetData>
    <row r="1" spans="1:55" x14ac:dyDescent="0.35">
      <c r="A1" t="s">
        <v>19</v>
      </c>
      <c r="B1" t="s">
        <v>47</v>
      </c>
      <c r="C1" t="s">
        <v>48</v>
      </c>
      <c r="D1" t="s">
        <v>49</v>
      </c>
      <c r="E1" t="s">
        <v>50</v>
      </c>
      <c r="F1" s="5">
        <v>1</v>
      </c>
      <c r="G1" t="s">
        <v>47</v>
      </c>
      <c r="H1" t="s">
        <v>48</v>
      </c>
      <c r="I1" t="s">
        <v>49</v>
      </c>
      <c r="J1" t="s">
        <v>50</v>
      </c>
      <c r="K1" s="5">
        <v>2</v>
      </c>
      <c r="L1" t="s">
        <v>47</v>
      </c>
      <c r="M1" t="s">
        <v>48</v>
      </c>
      <c r="N1" t="s">
        <v>49</v>
      </c>
      <c r="O1" t="s">
        <v>50</v>
      </c>
      <c r="P1" s="5">
        <v>3</v>
      </c>
      <c r="Q1" t="s">
        <v>47</v>
      </c>
      <c r="R1" t="s">
        <v>48</v>
      </c>
      <c r="S1" t="s">
        <v>49</v>
      </c>
      <c r="T1" t="s">
        <v>50</v>
      </c>
      <c r="U1" s="5">
        <v>4</v>
      </c>
      <c r="V1" t="s">
        <v>47</v>
      </c>
      <c r="W1" t="s">
        <v>48</v>
      </c>
      <c r="X1" t="s">
        <v>49</v>
      </c>
      <c r="Y1" t="s">
        <v>50</v>
      </c>
      <c r="Z1" s="5">
        <v>5</v>
      </c>
      <c r="AA1" t="s">
        <v>47</v>
      </c>
      <c r="AB1" t="s">
        <v>48</v>
      </c>
      <c r="AC1" t="s">
        <v>49</v>
      </c>
      <c r="AD1" t="s">
        <v>50</v>
      </c>
      <c r="AE1" s="5">
        <v>6</v>
      </c>
      <c r="AF1" t="s">
        <v>47</v>
      </c>
      <c r="AG1" t="s">
        <v>48</v>
      </c>
      <c r="AH1" t="s">
        <v>49</v>
      </c>
      <c r="AI1" t="s">
        <v>50</v>
      </c>
      <c r="AJ1" s="5">
        <v>7</v>
      </c>
      <c r="AK1" t="s">
        <v>47</v>
      </c>
      <c r="AL1" t="s">
        <v>48</v>
      </c>
      <c r="AM1" t="s">
        <v>49</v>
      </c>
      <c r="AN1" t="s">
        <v>50</v>
      </c>
      <c r="AO1" s="5">
        <v>8</v>
      </c>
      <c r="AP1" t="s">
        <v>47</v>
      </c>
      <c r="AQ1" t="s">
        <v>48</v>
      </c>
      <c r="AR1" t="s">
        <v>49</v>
      </c>
      <c r="AS1" t="s">
        <v>50</v>
      </c>
      <c r="AT1" s="5">
        <v>9</v>
      </c>
      <c r="AU1" t="s">
        <v>47</v>
      </c>
      <c r="AV1" t="s">
        <v>48</v>
      </c>
      <c r="AW1" t="s">
        <v>49</v>
      </c>
      <c r="AX1" t="s">
        <v>50</v>
      </c>
      <c r="AY1" s="5">
        <v>10</v>
      </c>
      <c r="AZ1" t="s">
        <v>107</v>
      </c>
      <c r="BA1" t="s">
        <v>134</v>
      </c>
      <c r="BB1" t="s">
        <v>105</v>
      </c>
      <c r="BC1" t="s">
        <v>133</v>
      </c>
    </row>
    <row r="2" spans="1:55" x14ac:dyDescent="0.35">
      <c r="A2">
        <v>0</v>
      </c>
      <c r="B2">
        <v>0</v>
      </c>
      <c r="C2">
        <v>0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L2">
        <v>0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V2">
        <v>0</v>
      </c>
      <c r="W2">
        <v>0</v>
      </c>
      <c r="X2">
        <v>0</v>
      </c>
      <c r="Y2">
        <v>0</v>
      </c>
      <c r="AA2">
        <v>0</v>
      </c>
      <c r="AB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K2">
        <v>0</v>
      </c>
      <c r="AL2">
        <v>0</v>
      </c>
      <c r="AM2">
        <v>0</v>
      </c>
      <c r="AN2">
        <v>0</v>
      </c>
      <c r="AP2">
        <v>0</v>
      </c>
      <c r="AQ2">
        <v>0</v>
      </c>
      <c r="AR2">
        <v>0</v>
      </c>
      <c r="AS2">
        <v>0</v>
      </c>
      <c r="AU2">
        <v>0</v>
      </c>
      <c r="AV2">
        <v>0</v>
      </c>
      <c r="AW2">
        <v>0</v>
      </c>
      <c r="AX2">
        <v>0</v>
      </c>
      <c r="AZ2">
        <f>AVERAGE(B2,G2,L2,Q2,V2,AA2,AF2,AK2,AP2,AU2)</f>
        <v>0</v>
      </c>
      <c r="BA2">
        <f t="shared" ref="BA2:BC2" si="0">AVERAGE(C2,H2,M2,R2,W2,AB2,AG2,AL2,AQ2,AV2)</f>
        <v>0</v>
      </c>
      <c r="BB2">
        <f t="shared" si="0"/>
        <v>0</v>
      </c>
      <c r="BC2">
        <f t="shared" si="0"/>
        <v>0</v>
      </c>
    </row>
    <row r="3" spans="1:55" x14ac:dyDescent="0.35">
      <c r="A3">
        <v>1</v>
      </c>
      <c r="B3">
        <f>'Inventory CRP'!B3*0.5</f>
        <v>6</v>
      </c>
      <c r="C3">
        <f>'Inventory CRP'!C3*0.5</f>
        <v>6</v>
      </c>
      <c r="D3">
        <f>'Inventory CRP'!D3*0.5</f>
        <v>6</v>
      </c>
      <c r="E3">
        <f>'Inventory CRP'!E3*0.5</f>
        <v>6</v>
      </c>
      <c r="G3">
        <f>'Inventory CRP'!G3*0.5</f>
        <v>6</v>
      </c>
      <c r="H3">
        <f>'Inventory CRP'!H3*0.5</f>
        <v>6</v>
      </c>
      <c r="I3">
        <f>'Inventory CRP'!I3*0.5</f>
        <v>6</v>
      </c>
      <c r="J3">
        <f>'Inventory CRP'!J3*0.5</f>
        <v>6</v>
      </c>
      <c r="L3">
        <f>'Inventory CRP'!L3*0.5</f>
        <v>6</v>
      </c>
      <c r="M3">
        <f>'Inventory CRP'!M3*0.5</f>
        <v>6</v>
      </c>
      <c r="N3">
        <f>'Inventory CRP'!N3*0.5</f>
        <v>6</v>
      </c>
      <c r="O3">
        <f>'Inventory CRP'!O3*0.5</f>
        <v>6</v>
      </c>
      <c r="Q3">
        <f>'Inventory CRP'!Q3*0.5</f>
        <v>6</v>
      </c>
      <c r="R3">
        <f>'Inventory CRP'!R3*0.5</f>
        <v>6</v>
      </c>
      <c r="S3">
        <f>'Inventory CRP'!S3*0.5</f>
        <v>6</v>
      </c>
      <c r="T3">
        <f>'Inventory CRP'!T3*0.5</f>
        <v>6</v>
      </c>
      <c r="V3">
        <f>'Inventory CRP'!V3*0.5</f>
        <v>6</v>
      </c>
      <c r="W3">
        <f>'Inventory CRP'!W3*0.5</f>
        <v>6</v>
      </c>
      <c r="X3">
        <f>'Inventory CRP'!X3*0.5</f>
        <v>6</v>
      </c>
      <c r="Y3">
        <f>'Inventory CRP'!Y3*0.5</f>
        <v>6</v>
      </c>
      <c r="AA3">
        <f>'Inventory CRP'!AA3*0.5</f>
        <v>6</v>
      </c>
      <c r="AB3">
        <f>'Inventory CRP'!AB3*0.5</f>
        <v>6</v>
      </c>
      <c r="AC3">
        <f>'Inventory CRP'!AC3*0.5</f>
        <v>6</v>
      </c>
      <c r="AD3">
        <f>'Inventory CRP'!AD3*0.5</f>
        <v>6</v>
      </c>
      <c r="AF3">
        <f>'Inventory CRP'!AF3*0.5</f>
        <v>6</v>
      </c>
      <c r="AG3">
        <f>'Inventory CRP'!AG3*0.5</f>
        <v>6</v>
      </c>
      <c r="AH3">
        <f>'Inventory CRP'!AH3*0.5</f>
        <v>6</v>
      </c>
      <c r="AI3">
        <f>'Inventory CRP'!AI3*0.5</f>
        <v>6</v>
      </c>
      <c r="AK3">
        <f>'Inventory CRP'!AK3*0.5</f>
        <v>6</v>
      </c>
      <c r="AL3">
        <f>'Inventory CRP'!AL3*0.5</f>
        <v>6</v>
      </c>
      <c r="AM3">
        <f>'Inventory CRP'!AM3*0.5</f>
        <v>6</v>
      </c>
      <c r="AN3">
        <f>'Inventory CRP'!AN3*0.5</f>
        <v>6</v>
      </c>
      <c r="AP3">
        <f>'Inventory CRP'!AP3*0.5</f>
        <v>6</v>
      </c>
      <c r="AQ3">
        <f>'Inventory CRP'!AQ3*0.5</f>
        <v>6</v>
      </c>
      <c r="AR3">
        <f>'Inventory CRP'!AR3*0.5</f>
        <v>6</v>
      </c>
      <c r="AS3">
        <f>'Inventory CRP'!AS3*0.5</f>
        <v>6</v>
      </c>
      <c r="AU3">
        <f>'Inventory CRP'!AU3*0.5</f>
        <v>6</v>
      </c>
      <c r="AV3">
        <f>'Inventory CRP'!AV3*0.5</f>
        <v>6</v>
      </c>
      <c r="AW3">
        <f>'Inventory CRP'!AW3*0.5</f>
        <v>6</v>
      </c>
      <c r="AX3">
        <f>'Inventory CRP'!AX3*0.5</f>
        <v>6</v>
      </c>
      <c r="AZ3">
        <f t="shared" ref="AZ3:BC38" si="1">AVERAGE(B3,G3,L3,Q3,V3,AA3,AF3,AK3,AP3,AU3)</f>
        <v>6</v>
      </c>
      <c r="BA3">
        <f t="shared" ref="BA3:BC17" si="2">AVERAGE(C3,H3,M3,R3,W3,AB3,AG3,AL3,AQ3,AV3)</f>
        <v>6</v>
      </c>
      <c r="BB3">
        <f t="shared" si="2"/>
        <v>6</v>
      </c>
      <c r="BC3">
        <f t="shared" si="2"/>
        <v>6</v>
      </c>
    </row>
    <row r="4" spans="1:55" x14ac:dyDescent="0.35">
      <c r="A4">
        <v>2</v>
      </c>
      <c r="B4">
        <f>'Inventory CRP'!B4*0.5</f>
        <v>8</v>
      </c>
      <c r="C4">
        <f>'Inventory CRP'!C4*0.5</f>
        <v>6</v>
      </c>
      <c r="D4">
        <f>'Inventory CRP'!D4*0.5</f>
        <v>10</v>
      </c>
      <c r="E4">
        <f>'Inventory CRP'!E4*0.5</f>
        <v>6</v>
      </c>
      <c r="G4">
        <f>'Inventory CRP'!G4*0.5</f>
        <v>6</v>
      </c>
      <c r="H4">
        <f>'Inventory CRP'!H4*0.5</f>
        <v>10</v>
      </c>
      <c r="I4">
        <f>'Inventory CRP'!I4*0.5</f>
        <v>10</v>
      </c>
      <c r="J4">
        <f>'Inventory CRP'!J4*0.5</f>
        <v>4</v>
      </c>
      <c r="L4">
        <f>'Inventory CRP'!L4*0.5</f>
        <v>6</v>
      </c>
      <c r="M4">
        <f>'Inventory CRP'!M4*0.5</f>
        <v>10</v>
      </c>
      <c r="N4">
        <f>'Inventory CRP'!N4*0.5</f>
        <v>10</v>
      </c>
      <c r="O4">
        <f>'Inventory CRP'!O4*0.5</f>
        <v>6</v>
      </c>
      <c r="Q4">
        <f>'Inventory CRP'!Q4*0.5</f>
        <v>6</v>
      </c>
      <c r="R4">
        <f>'Inventory CRP'!R4*0.5</f>
        <v>10</v>
      </c>
      <c r="S4">
        <f>'Inventory CRP'!S4*0.5</f>
        <v>10</v>
      </c>
      <c r="T4">
        <f>'Inventory CRP'!T4*0.5</f>
        <v>6</v>
      </c>
      <c r="V4">
        <f>'Inventory CRP'!V4*0.5</f>
        <v>6</v>
      </c>
      <c r="W4">
        <f>'Inventory CRP'!W4*0.5</f>
        <v>10</v>
      </c>
      <c r="X4">
        <f>'Inventory CRP'!X4*0.5</f>
        <v>8</v>
      </c>
      <c r="Y4">
        <f>'Inventory CRP'!Y4*0.5</f>
        <v>6</v>
      </c>
      <c r="AA4">
        <f>'Inventory CRP'!AA4*0.5</f>
        <v>6</v>
      </c>
      <c r="AB4">
        <f>'Inventory CRP'!AB4*0.5</f>
        <v>10</v>
      </c>
      <c r="AC4">
        <f>'Inventory CRP'!AC4*0.5</f>
        <v>8</v>
      </c>
      <c r="AD4">
        <f>'Inventory CRP'!AD4*0.5</f>
        <v>6</v>
      </c>
      <c r="AF4">
        <f>'Inventory CRP'!AF4*0.5</f>
        <v>8</v>
      </c>
      <c r="AG4">
        <f>'Inventory CRP'!AG4*0.5</f>
        <v>10</v>
      </c>
      <c r="AH4">
        <f>'Inventory CRP'!AH4*0.5</f>
        <v>10</v>
      </c>
      <c r="AI4">
        <f>'Inventory CRP'!AI4*0.5</f>
        <v>6</v>
      </c>
      <c r="AK4">
        <f>'Inventory CRP'!AK4*0.5</f>
        <v>6</v>
      </c>
      <c r="AL4">
        <f>'Inventory CRP'!AL4*0.5</f>
        <v>6</v>
      </c>
      <c r="AM4">
        <f>'Inventory CRP'!AM4*0.5</f>
        <v>10</v>
      </c>
      <c r="AN4">
        <f>'Inventory CRP'!AN4*0.5</f>
        <v>6</v>
      </c>
      <c r="AP4">
        <f>'Inventory CRP'!AP4*0.5</f>
        <v>6</v>
      </c>
      <c r="AQ4">
        <f>'Inventory CRP'!AQ4*0.5</f>
        <v>10</v>
      </c>
      <c r="AR4">
        <f>'Inventory CRP'!AR4*0.5</f>
        <v>6</v>
      </c>
      <c r="AS4">
        <f>'Inventory CRP'!AS4*0.5</f>
        <v>4</v>
      </c>
      <c r="AU4">
        <f>'Inventory CRP'!AU4*0.5</f>
        <v>6</v>
      </c>
      <c r="AV4">
        <f>'Inventory CRP'!AV4*0.5</f>
        <v>10</v>
      </c>
      <c r="AW4">
        <f>'Inventory CRP'!AW4*0.5</f>
        <v>6</v>
      </c>
      <c r="AX4">
        <f>'Inventory CRP'!AX4*0.5</f>
        <v>4</v>
      </c>
      <c r="AZ4">
        <f t="shared" si="1"/>
        <v>6.4</v>
      </c>
      <c r="BA4">
        <f t="shared" si="2"/>
        <v>9.1999999999999993</v>
      </c>
      <c r="BB4">
        <f t="shared" si="2"/>
        <v>8.8000000000000007</v>
      </c>
      <c r="BC4">
        <f t="shared" si="2"/>
        <v>5.4</v>
      </c>
    </row>
    <row r="5" spans="1:55" x14ac:dyDescent="0.35">
      <c r="A5">
        <v>3</v>
      </c>
      <c r="B5">
        <f>'Inventory CRP'!B5*0.5</f>
        <v>6</v>
      </c>
      <c r="C5">
        <f>'Inventory CRP'!C5*0.5</f>
        <v>10</v>
      </c>
      <c r="D5">
        <f>'Inventory CRP'!D5*0.5</f>
        <v>6</v>
      </c>
      <c r="E5">
        <f>'Inventory CRP'!E5*0.5</f>
        <v>6</v>
      </c>
      <c r="G5">
        <f>'Inventory CRP'!G5*0.5</f>
        <v>6</v>
      </c>
      <c r="H5">
        <f>'Inventory CRP'!H5*0.5</f>
        <v>6</v>
      </c>
      <c r="I5">
        <f>'Inventory CRP'!I5*0.5</f>
        <v>8</v>
      </c>
      <c r="J5">
        <f>'Inventory CRP'!J5*0.5</f>
        <v>6</v>
      </c>
      <c r="L5">
        <f>'Inventory CRP'!L5*0.5</f>
        <v>6</v>
      </c>
      <c r="M5">
        <f>'Inventory CRP'!M5*0.5</f>
        <v>6</v>
      </c>
      <c r="N5">
        <f>'Inventory CRP'!N5*0.5</f>
        <v>6</v>
      </c>
      <c r="O5">
        <f>'Inventory CRP'!O5*0.5</f>
        <v>6</v>
      </c>
      <c r="Q5">
        <f>'Inventory CRP'!Q5*0.5</f>
        <v>6</v>
      </c>
      <c r="R5">
        <f>'Inventory CRP'!R5*0.5</f>
        <v>10</v>
      </c>
      <c r="S5">
        <f>'Inventory CRP'!S5*0.5</f>
        <v>8</v>
      </c>
      <c r="T5">
        <f>'Inventory CRP'!T5*0.5</f>
        <v>6</v>
      </c>
      <c r="V5">
        <f>'Inventory CRP'!V5*0.5</f>
        <v>6</v>
      </c>
      <c r="W5">
        <f>'Inventory CRP'!W5*0.5</f>
        <v>6</v>
      </c>
      <c r="X5">
        <f>'Inventory CRP'!X5*0.5</f>
        <v>8</v>
      </c>
      <c r="Y5">
        <f>'Inventory CRP'!Y5*0.5</f>
        <v>8</v>
      </c>
      <c r="AA5">
        <f>'Inventory CRP'!AA5*0.5</f>
        <v>6</v>
      </c>
      <c r="AB5">
        <f>'Inventory CRP'!AB5*0.5</f>
        <v>6</v>
      </c>
      <c r="AC5">
        <f>'Inventory CRP'!AC5*0.5</f>
        <v>8</v>
      </c>
      <c r="AD5">
        <f>'Inventory CRP'!AD5*0.5</f>
        <v>8</v>
      </c>
      <c r="AF5">
        <f>'Inventory CRP'!AF5*0.5</f>
        <v>6</v>
      </c>
      <c r="AG5">
        <f>'Inventory CRP'!AG5*0.5</f>
        <v>10</v>
      </c>
      <c r="AH5">
        <f>'Inventory CRP'!AH5*0.5</f>
        <v>6</v>
      </c>
      <c r="AI5">
        <f>'Inventory CRP'!AI5*0.5</f>
        <v>8</v>
      </c>
      <c r="AK5">
        <f>'Inventory CRP'!AK5*0.5</f>
        <v>6</v>
      </c>
      <c r="AL5">
        <f>'Inventory CRP'!AL5*0.5</f>
        <v>6</v>
      </c>
      <c r="AM5">
        <f>'Inventory CRP'!AM5*0.5</f>
        <v>6</v>
      </c>
      <c r="AN5">
        <f>'Inventory CRP'!AN5*0.5</f>
        <v>4</v>
      </c>
      <c r="AP5">
        <f>'Inventory CRP'!AP5*0.5</f>
        <v>6</v>
      </c>
      <c r="AQ5">
        <f>'Inventory CRP'!AQ5*0.5</f>
        <v>6</v>
      </c>
      <c r="AR5">
        <f>'Inventory CRP'!AR5*0.5</f>
        <v>6</v>
      </c>
      <c r="AS5">
        <f>'Inventory CRP'!AS5*0.5</f>
        <v>2</v>
      </c>
      <c r="AU5">
        <f>'Inventory CRP'!AU5*0.5</f>
        <v>6</v>
      </c>
      <c r="AV5">
        <f>'Inventory CRP'!AV5*0.5</f>
        <v>6</v>
      </c>
      <c r="AW5">
        <f>'Inventory CRP'!AW5*0.5</f>
        <v>6</v>
      </c>
      <c r="AX5">
        <f>'Inventory CRP'!AX5*0.5</f>
        <v>2</v>
      </c>
      <c r="AZ5">
        <f t="shared" si="1"/>
        <v>6</v>
      </c>
      <c r="BA5">
        <f t="shared" si="2"/>
        <v>7.2</v>
      </c>
      <c r="BB5">
        <f t="shared" si="2"/>
        <v>6.8</v>
      </c>
      <c r="BC5">
        <f t="shared" si="2"/>
        <v>5.6</v>
      </c>
    </row>
    <row r="6" spans="1:55" x14ac:dyDescent="0.35">
      <c r="A6">
        <v>4</v>
      </c>
      <c r="B6">
        <f>'Inventory CRP'!B6*0.5</f>
        <v>6</v>
      </c>
      <c r="C6">
        <f>'Inventory CRP'!C6*0.5</f>
        <v>6</v>
      </c>
      <c r="D6">
        <f>'Inventory CRP'!D6*0.5</f>
        <v>6</v>
      </c>
      <c r="E6">
        <f>'Inventory CRP'!E6*0.5</f>
        <v>6</v>
      </c>
      <c r="G6">
        <f>'Inventory CRP'!G6*0.5</f>
        <v>4</v>
      </c>
      <c r="H6">
        <f>'Inventory CRP'!H6*0.5</f>
        <v>6</v>
      </c>
      <c r="I6">
        <f>'Inventory CRP'!I6*0.5</f>
        <v>6</v>
      </c>
      <c r="J6">
        <f>'Inventory CRP'!J6*0.5</f>
        <v>6</v>
      </c>
      <c r="L6">
        <f>'Inventory CRP'!L6*0.5</f>
        <v>4</v>
      </c>
      <c r="M6">
        <f>'Inventory CRP'!M6*0.5</f>
        <v>6</v>
      </c>
      <c r="N6">
        <f>'Inventory CRP'!N6*0.5</f>
        <v>6</v>
      </c>
      <c r="O6">
        <f>'Inventory CRP'!O6*0.5</f>
        <v>6</v>
      </c>
      <c r="Q6">
        <f>'Inventory CRP'!Q6*0.5</f>
        <v>4</v>
      </c>
      <c r="R6">
        <f>'Inventory CRP'!R6*0.5</f>
        <v>6</v>
      </c>
      <c r="S6">
        <f>'Inventory CRP'!S6*0.5</f>
        <v>6</v>
      </c>
      <c r="T6">
        <f>'Inventory CRP'!T6*0.5</f>
        <v>6</v>
      </c>
      <c r="V6">
        <f>'Inventory CRP'!V6*0.5</f>
        <v>4</v>
      </c>
      <c r="W6">
        <f>'Inventory CRP'!W6*0.5</f>
        <v>6</v>
      </c>
      <c r="X6">
        <f>'Inventory CRP'!X6*0.5</f>
        <v>6</v>
      </c>
      <c r="Y6">
        <f>'Inventory CRP'!Y6*0.5</f>
        <v>6</v>
      </c>
      <c r="AA6">
        <f>'Inventory CRP'!AA6*0.5</f>
        <v>4</v>
      </c>
      <c r="AB6">
        <f>'Inventory CRP'!AB6*0.5</f>
        <v>6</v>
      </c>
      <c r="AC6">
        <f>'Inventory CRP'!AC6*0.5</f>
        <v>6</v>
      </c>
      <c r="AD6">
        <f>'Inventory CRP'!AD6*0.5</f>
        <v>6</v>
      </c>
      <c r="AF6">
        <f>'Inventory CRP'!AF6*0.5</f>
        <v>4</v>
      </c>
      <c r="AG6">
        <f>'Inventory CRP'!AG6*0.5</f>
        <v>10</v>
      </c>
      <c r="AH6">
        <f>'Inventory CRP'!AH6*0.5</f>
        <v>6</v>
      </c>
      <c r="AI6">
        <f>'Inventory CRP'!AI6*0.5</f>
        <v>8</v>
      </c>
      <c r="AK6">
        <f>'Inventory CRP'!AK6*0.5</f>
        <v>6</v>
      </c>
      <c r="AL6">
        <f>'Inventory CRP'!AL6*0.5</f>
        <v>6</v>
      </c>
      <c r="AM6">
        <f>'Inventory CRP'!AM6*0.5</f>
        <v>6</v>
      </c>
      <c r="AN6">
        <f>'Inventory CRP'!AN6*0.5</f>
        <v>6</v>
      </c>
      <c r="AP6">
        <f>'Inventory CRP'!AP6*0.5</f>
        <v>4</v>
      </c>
      <c r="AQ6">
        <f>'Inventory CRP'!AQ6*0.5</f>
        <v>6</v>
      </c>
      <c r="AR6">
        <f>'Inventory CRP'!AR6*0.5</f>
        <v>6</v>
      </c>
      <c r="AS6">
        <f>'Inventory CRP'!AS6*0.5</f>
        <v>2</v>
      </c>
      <c r="AU6">
        <f>'Inventory CRP'!AU6*0.5</f>
        <v>4</v>
      </c>
      <c r="AV6">
        <f>'Inventory CRP'!AV6*0.5</f>
        <v>6</v>
      </c>
      <c r="AW6">
        <f>'Inventory CRP'!AW6*0.5</f>
        <v>6</v>
      </c>
      <c r="AX6">
        <f>'Inventory CRP'!AX6*0.5</f>
        <v>2</v>
      </c>
      <c r="AZ6">
        <f t="shared" si="1"/>
        <v>4.4000000000000004</v>
      </c>
      <c r="BA6">
        <f t="shared" si="2"/>
        <v>6.4</v>
      </c>
      <c r="BB6">
        <f t="shared" si="2"/>
        <v>6</v>
      </c>
      <c r="BC6">
        <f t="shared" si="2"/>
        <v>5.4</v>
      </c>
    </row>
    <row r="7" spans="1:55" x14ac:dyDescent="0.35">
      <c r="A7">
        <v>5</v>
      </c>
      <c r="B7">
        <f>'Inventory CRP'!B7*0.5</f>
        <v>4</v>
      </c>
      <c r="C7">
        <f>'Inventory CRP'!C7*0.5</f>
        <v>6</v>
      </c>
      <c r="D7">
        <f>'Inventory CRP'!D7*0.5</f>
        <v>4</v>
      </c>
      <c r="E7">
        <f>'Inventory CRP'!E7*0.5</f>
        <v>6</v>
      </c>
      <c r="G7">
        <f>'Inventory CRP'!G7*0.5</f>
        <v>6</v>
      </c>
      <c r="H7">
        <f>'Inventory CRP'!H7*0.5</f>
        <v>6</v>
      </c>
      <c r="I7">
        <f>'Inventory CRP'!I7*0.5</f>
        <v>4</v>
      </c>
      <c r="J7">
        <f>'Inventory CRP'!J7*0.5</f>
        <v>6</v>
      </c>
      <c r="L7">
        <f>'Inventory CRP'!L7*0.5</f>
        <v>6</v>
      </c>
      <c r="M7">
        <f>'Inventory CRP'!M7*0.5</f>
        <v>6</v>
      </c>
      <c r="N7">
        <f>'Inventory CRP'!N7*0.5</f>
        <v>4</v>
      </c>
      <c r="O7">
        <f>'Inventory CRP'!O7*0.5</f>
        <v>6</v>
      </c>
      <c r="Q7">
        <f>'Inventory CRP'!Q7*0.5</f>
        <v>4</v>
      </c>
      <c r="R7">
        <f>'Inventory CRP'!R7*0.5</f>
        <v>6</v>
      </c>
      <c r="S7">
        <f>'Inventory CRP'!S7*0.5</f>
        <v>4</v>
      </c>
      <c r="T7">
        <f>'Inventory CRP'!T7*0.5</f>
        <v>6</v>
      </c>
      <c r="V7">
        <f>'Inventory CRP'!V7*0.5</f>
        <v>6</v>
      </c>
      <c r="W7">
        <f>'Inventory CRP'!W7*0.5</f>
        <v>6</v>
      </c>
      <c r="X7">
        <f>'Inventory CRP'!X7*0.5</f>
        <v>4</v>
      </c>
      <c r="Y7">
        <f>'Inventory CRP'!Y7*0.5</f>
        <v>6</v>
      </c>
      <c r="AA7">
        <f>'Inventory CRP'!AA7*0.5</f>
        <v>6</v>
      </c>
      <c r="AB7">
        <f>'Inventory CRP'!AB7*0.5</f>
        <v>6</v>
      </c>
      <c r="AC7">
        <f>'Inventory CRP'!AC7*0.5</f>
        <v>4</v>
      </c>
      <c r="AD7">
        <f>'Inventory CRP'!AD7*0.5</f>
        <v>6</v>
      </c>
      <c r="AF7">
        <f>'Inventory CRP'!AF7*0.5</f>
        <v>4</v>
      </c>
      <c r="AG7">
        <f>'Inventory CRP'!AG7*0.5</f>
        <v>10</v>
      </c>
      <c r="AH7">
        <f>'Inventory CRP'!AH7*0.5</f>
        <v>4</v>
      </c>
      <c r="AI7">
        <f>'Inventory CRP'!AI7*0.5</f>
        <v>8</v>
      </c>
      <c r="AK7">
        <f>'Inventory CRP'!AK7*0.5</f>
        <v>6</v>
      </c>
      <c r="AL7">
        <f>'Inventory CRP'!AL7*0.5</f>
        <v>6</v>
      </c>
      <c r="AM7">
        <f>'Inventory CRP'!AM7*0.5</f>
        <v>4</v>
      </c>
      <c r="AN7">
        <f>'Inventory CRP'!AN7*0.5</f>
        <v>6</v>
      </c>
      <c r="AP7">
        <f>'Inventory CRP'!AP7*0.5</f>
        <v>6</v>
      </c>
      <c r="AQ7">
        <f>'Inventory CRP'!AQ7*0.5</f>
        <v>6</v>
      </c>
      <c r="AR7">
        <f>'Inventory CRP'!AR7*0.5</f>
        <v>4</v>
      </c>
      <c r="AS7">
        <f>'Inventory CRP'!AS7*0.5</f>
        <v>4</v>
      </c>
      <c r="AU7">
        <f>'Inventory CRP'!AU7*0.5</f>
        <v>6</v>
      </c>
      <c r="AV7">
        <f>'Inventory CRP'!AV7*0.5</f>
        <v>6</v>
      </c>
      <c r="AW7">
        <f>'Inventory CRP'!AW7*0.5</f>
        <v>4</v>
      </c>
      <c r="AX7">
        <f>'Inventory CRP'!AX7*0.5</f>
        <v>4</v>
      </c>
      <c r="AZ7">
        <f t="shared" si="1"/>
        <v>5.4</v>
      </c>
      <c r="BA7">
        <f t="shared" si="2"/>
        <v>6.4</v>
      </c>
      <c r="BB7">
        <f t="shared" si="2"/>
        <v>4</v>
      </c>
      <c r="BC7">
        <f t="shared" si="2"/>
        <v>5.8</v>
      </c>
    </row>
    <row r="8" spans="1:55" x14ac:dyDescent="0.35">
      <c r="A8">
        <v>6</v>
      </c>
      <c r="B8">
        <f>'Inventory CRP'!B8*0.5</f>
        <v>6</v>
      </c>
      <c r="C8">
        <f>'Inventory CRP'!C8*0.5</f>
        <v>6</v>
      </c>
      <c r="D8">
        <f>'Inventory CRP'!D8*0.5</f>
        <v>4</v>
      </c>
      <c r="E8">
        <f>'Inventory CRP'!E8*0.5</f>
        <v>6</v>
      </c>
      <c r="G8">
        <f>'Inventory CRP'!G8*0.5</f>
        <v>6</v>
      </c>
      <c r="H8">
        <f>'Inventory CRP'!H8*0.5</f>
        <v>6</v>
      </c>
      <c r="I8">
        <f>'Inventory CRP'!I8*0.5</f>
        <v>4</v>
      </c>
      <c r="J8">
        <f>'Inventory CRP'!J8*0.5</f>
        <v>6</v>
      </c>
      <c r="L8">
        <f>'Inventory CRP'!L8*0.5</f>
        <v>6</v>
      </c>
      <c r="M8">
        <f>'Inventory CRP'!M8*0.5</f>
        <v>6</v>
      </c>
      <c r="N8">
        <f>'Inventory CRP'!N8*0.5</f>
        <v>4</v>
      </c>
      <c r="O8">
        <f>'Inventory CRP'!O8*0.5</f>
        <v>6</v>
      </c>
      <c r="Q8">
        <f>'Inventory CRP'!Q8*0.5</f>
        <v>6</v>
      </c>
      <c r="R8">
        <f>'Inventory CRP'!R8*0.5</f>
        <v>6</v>
      </c>
      <c r="S8">
        <f>'Inventory CRP'!S8*0.5</f>
        <v>4</v>
      </c>
      <c r="T8">
        <f>'Inventory CRP'!T8*0.5</f>
        <v>6</v>
      </c>
      <c r="V8">
        <f>'Inventory CRP'!V8*0.5</f>
        <v>6</v>
      </c>
      <c r="W8">
        <f>'Inventory CRP'!W8*0.5</f>
        <v>6</v>
      </c>
      <c r="X8">
        <f>'Inventory CRP'!X8*0.5</f>
        <v>4</v>
      </c>
      <c r="Y8">
        <f>'Inventory CRP'!Y8*0.5</f>
        <v>6</v>
      </c>
      <c r="AA8">
        <f>'Inventory CRP'!AA8*0.5</f>
        <v>6</v>
      </c>
      <c r="AB8">
        <f>'Inventory CRP'!AB8*0.5</f>
        <v>6</v>
      </c>
      <c r="AC8">
        <f>'Inventory CRP'!AC8*0.5</f>
        <v>4</v>
      </c>
      <c r="AD8">
        <f>'Inventory CRP'!AD8*0.5</f>
        <v>6</v>
      </c>
      <c r="AF8">
        <f>'Inventory CRP'!AF8*0.5</f>
        <v>4</v>
      </c>
      <c r="AG8">
        <f>'Inventory CRP'!AG8*0.5</f>
        <v>6</v>
      </c>
      <c r="AH8">
        <f>'Inventory CRP'!AH8*0.5</f>
        <v>4</v>
      </c>
      <c r="AI8">
        <f>'Inventory CRP'!AI8*0.5</f>
        <v>6</v>
      </c>
      <c r="AK8">
        <f>'Inventory CRP'!AK8*0.5</f>
        <v>6</v>
      </c>
      <c r="AL8">
        <f>'Inventory CRP'!AL8*0.5</f>
        <v>6</v>
      </c>
      <c r="AM8">
        <f>'Inventory CRP'!AM8*0.5</f>
        <v>4</v>
      </c>
      <c r="AN8">
        <f>'Inventory CRP'!AN8*0.5</f>
        <v>6</v>
      </c>
      <c r="AP8">
        <f>'Inventory CRP'!AP8*0.5</f>
        <v>6</v>
      </c>
      <c r="AQ8">
        <f>'Inventory CRP'!AQ8*0.5</f>
        <v>6</v>
      </c>
      <c r="AR8">
        <f>'Inventory CRP'!AR8*0.5</f>
        <v>4</v>
      </c>
      <c r="AS8">
        <f>'Inventory CRP'!AS8*0.5</f>
        <v>4</v>
      </c>
      <c r="AU8">
        <f>'Inventory CRP'!AU8*0.5</f>
        <v>6</v>
      </c>
      <c r="AV8">
        <f>'Inventory CRP'!AV8*0.5</f>
        <v>6</v>
      </c>
      <c r="AW8">
        <f>'Inventory CRP'!AW8*0.5</f>
        <v>4</v>
      </c>
      <c r="AX8">
        <f>'Inventory CRP'!AX8*0.5</f>
        <v>4</v>
      </c>
      <c r="AZ8">
        <f t="shared" si="1"/>
        <v>5.8</v>
      </c>
      <c r="BA8">
        <f t="shared" si="2"/>
        <v>6</v>
      </c>
      <c r="BB8">
        <f t="shared" si="2"/>
        <v>4</v>
      </c>
      <c r="BC8">
        <f t="shared" si="2"/>
        <v>5.6</v>
      </c>
    </row>
    <row r="9" spans="1:55" x14ac:dyDescent="0.35">
      <c r="A9">
        <v>7</v>
      </c>
      <c r="B9">
        <f>'Inventory CRP'!B9*0.5</f>
        <v>8</v>
      </c>
      <c r="C9">
        <f>'Inventory CRP'!C9*0.5</f>
        <v>8</v>
      </c>
      <c r="D9">
        <f>'Inventory CRP'!D9*0.5</f>
        <v>4</v>
      </c>
      <c r="E9">
        <f>'Inventory CRP'!E9*0.5</f>
        <v>4</v>
      </c>
      <c r="G9">
        <f>'Inventory CRP'!G9*0.5</f>
        <v>8</v>
      </c>
      <c r="H9">
        <f>'Inventory CRP'!H9*0.5</f>
        <v>8</v>
      </c>
      <c r="I9">
        <f>'Inventory CRP'!I9*0.5</f>
        <v>4</v>
      </c>
      <c r="J9">
        <f>'Inventory CRP'!J9*0.5</f>
        <v>4.5</v>
      </c>
      <c r="L9">
        <f>'Inventory CRP'!L9*0.5</f>
        <v>8</v>
      </c>
      <c r="M9">
        <f>'Inventory CRP'!M9*0.5</f>
        <v>8</v>
      </c>
      <c r="N9">
        <f>'Inventory CRP'!N9*0.5</f>
        <v>4</v>
      </c>
      <c r="O9">
        <f>'Inventory CRP'!O9*0.5</f>
        <v>4</v>
      </c>
      <c r="Q9">
        <f>'Inventory CRP'!Q9*0.5</f>
        <v>8</v>
      </c>
      <c r="R9">
        <f>'Inventory CRP'!R9*0.5</f>
        <v>8</v>
      </c>
      <c r="S9">
        <f>'Inventory CRP'!S9*0.5</f>
        <v>4</v>
      </c>
      <c r="T9">
        <f>'Inventory CRP'!T9*0.5</f>
        <v>4</v>
      </c>
      <c r="V9">
        <f>'Inventory CRP'!V9*0.5</f>
        <v>8</v>
      </c>
      <c r="W9">
        <f>'Inventory CRP'!W9*0.5</f>
        <v>8</v>
      </c>
      <c r="X9">
        <f>'Inventory CRP'!X9*0.5</f>
        <v>4</v>
      </c>
      <c r="Y9">
        <f>'Inventory CRP'!Y9*0.5</f>
        <v>5</v>
      </c>
      <c r="AA9">
        <f>'Inventory CRP'!AA9*0.5</f>
        <v>8</v>
      </c>
      <c r="AB9">
        <f>'Inventory CRP'!AB9*0.5</f>
        <v>8</v>
      </c>
      <c r="AC9">
        <f>'Inventory CRP'!AC9*0.5</f>
        <v>4</v>
      </c>
      <c r="AD9">
        <f>'Inventory CRP'!AD9*0.5</f>
        <v>5</v>
      </c>
      <c r="AF9">
        <f>'Inventory CRP'!AF9*0.5</f>
        <v>6</v>
      </c>
      <c r="AG9">
        <f>'Inventory CRP'!AG9*0.5</f>
        <v>5</v>
      </c>
      <c r="AH9">
        <f>'Inventory CRP'!AH9*0.5</f>
        <v>4</v>
      </c>
      <c r="AI9">
        <f>'Inventory CRP'!AI9*0.5</f>
        <v>4.5</v>
      </c>
      <c r="AK9">
        <f>'Inventory CRP'!AK9*0.5</f>
        <v>8</v>
      </c>
      <c r="AL9">
        <f>'Inventory CRP'!AL9*0.5</f>
        <v>8</v>
      </c>
      <c r="AM9">
        <f>'Inventory CRP'!AM9*0.5</f>
        <v>4</v>
      </c>
      <c r="AN9">
        <f>'Inventory CRP'!AN9*0.5</f>
        <v>4.5</v>
      </c>
      <c r="AP9">
        <f>'Inventory CRP'!AP9*0.5</f>
        <v>8</v>
      </c>
      <c r="AQ9">
        <f>'Inventory CRP'!AQ9*0.5</f>
        <v>8</v>
      </c>
      <c r="AR9">
        <f>'Inventory CRP'!AR9*0.5</f>
        <v>4</v>
      </c>
      <c r="AS9">
        <f>'Inventory CRP'!AS9*0.5</f>
        <v>4</v>
      </c>
      <c r="AU9">
        <f>'Inventory CRP'!AU9*0.5</f>
        <v>8</v>
      </c>
      <c r="AV9">
        <f>'Inventory CRP'!AV9*0.5</f>
        <v>8</v>
      </c>
      <c r="AW9">
        <f>'Inventory CRP'!AW9*0.5</f>
        <v>4</v>
      </c>
      <c r="AX9">
        <f>'Inventory CRP'!AX9*0.5</f>
        <v>4</v>
      </c>
      <c r="AZ9">
        <f t="shared" si="1"/>
        <v>7.8</v>
      </c>
      <c r="BA9">
        <f t="shared" si="2"/>
        <v>7.7</v>
      </c>
      <c r="BB9">
        <f t="shared" si="2"/>
        <v>4</v>
      </c>
      <c r="BC9">
        <f t="shared" si="2"/>
        <v>4.3499999999999996</v>
      </c>
    </row>
    <row r="10" spans="1:55" x14ac:dyDescent="0.35">
      <c r="A10">
        <v>8</v>
      </c>
      <c r="B10">
        <f>'Inventory CRP'!B10*0.5</f>
        <v>8</v>
      </c>
      <c r="C10">
        <f>'Inventory CRP'!C10*0.5</f>
        <v>6</v>
      </c>
      <c r="D10">
        <f>'Inventory CRP'!D10*0.5</f>
        <v>4</v>
      </c>
      <c r="E10">
        <f>'Inventory CRP'!E10*0.5</f>
        <v>3</v>
      </c>
      <c r="G10">
        <f>'Inventory CRP'!G10*0.5</f>
        <v>8</v>
      </c>
      <c r="H10">
        <f>'Inventory CRP'!H10*0.5</f>
        <v>5.5</v>
      </c>
      <c r="I10">
        <f>'Inventory CRP'!I10*0.5</f>
        <v>4</v>
      </c>
      <c r="J10">
        <f>'Inventory CRP'!J10*0.5</f>
        <v>3.5</v>
      </c>
      <c r="L10">
        <f>'Inventory CRP'!L10*0.5</f>
        <v>8</v>
      </c>
      <c r="M10">
        <f>'Inventory CRP'!M10*0.5</f>
        <v>6</v>
      </c>
      <c r="N10">
        <f>'Inventory CRP'!N10*0.5</f>
        <v>4</v>
      </c>
      <c r="O10">
        <f>'Inventory CRP'!O10*0.5</f>
        <v>3</v>
      </c>
      <c r="Q10">
        <f>'Inventory CRP'!Q10*0.5</f>
        <v>8</v>
      </c>
      <c r="R10">
        <f>'Inventory CRP'!R10*0.5</f>
        <v>6</v>
      </c>
      <c r="S10">
        <f>'Inventory CRP'!S10*0.5</f>
        <v>4</v>
      </c>
      <c r="T10">
        <f>'Inventory CRP'!T10*0.5</f>
        <v>3</v>
      </c>
      <c r="V10">
        <f>'Inventory CRP'!V10*0.5</f>
        <v>8</v>
      </c>
      <c r="W10">
        <f>'Inventory CRP'!W10*0.5</f>
        <v>5.5</v>
      </c>
      <c r="X10">
        <f>'Inventory CRP'!X10*0.5</f>
        <v>4</v>
      </c>
      <c r="Y10">
        <f>'Inventory CRP'!Y10*0.5</f>
        <v>3.5</v>
      </c>
      <c r="AA10">
        <f>'Inventory CRP'!AA10*0.5</f>
        <v>8</v>
      </c>
      <c r="AB10">
        <f>'Inventory CRP'!AB10*0.5</f>
        <v>5.5</v>
      </c>
      <c r="AC10">
        <f>'Inventory CRP'!AC10*0.5</f>
        <v>4</v>
      </c>
      <c r="AD10">
        <f>'Inventory CRP'!AD10*0.5</f>
        <v>3.5</v>
      </c>
      <c r="AF10">
        <f>'Inventory CRP'!AF10*0.5</f>
        <v>8</v>
      </c>
      <c r="AG10">
        <f>'Inventory CRP'!AG10*0.5</f>
        <v>6</v>
      </c>
      <c r="AH10">
        <f>'Inventory CRP'!AH10*0.5</f>
        <v>4</v>
      </c>
      <c r="AI10">
        <f>'Inventory CRP'!AI10*0.5</f>
        <v>3.5</v>
      </c>
      <c r="AK10">
        <f>'Inventory CRP'!AK10*0.5</f>
        <v>8</v>
      </c>
      <c r="AL10">
        <f>'Inventory CRP'!AL10*0.5</f>
        <v>6</v>
      </c>
      <c r="AM10">
        <f>'Inventory CRP'!AM10*0.5</f>
        <v>4</v>
      </c>
      <c r="AN10">
        <f>'Inventory CRP'!AN10*0.5</f>
        <v>3.5</v>
      </c>
      <c r="AP10">
        <f>'Inventory CRP'!AP10*0.5</f>
        <v>7.5</v>
      </c>
      <c r="AQ10">
        <f>'Inventory CRP'!AQ10*0.5</f>
        <v>6</v>
      </c>
      <c r="AR10">
        <f>'Inventory CRP'!AR10*0.5</f>
        <v>4</v>
      </c>
      <c r="AS10">
        <f>'Inventory CRP'!AS10*0.5</f>
        <v>5</v>
      </c>
      <c r="AU10">
        <f>'Inventory CRP'!AU10*0.5</f>
        <v>7.5</v>
      </c>
      <c r="AV10">
        <f>'Inventory CRP'!AV10*0.5</f>
        <v>6</v>
      </c>
      <c r="AW10">
        <f>'Inventory CRP'!AW10*0.5</f>
        <v>4</v>
      </c>
      <c r="AX10">
        <f>'Inventory CRP'!AX10*0.5</f>
        <v>5</v>
      </c>
      <c r="AZ10">
        <f t="shared" si="1"/>
        <v>7.9</v>
      </c>
      <c r="BA10">
        <f t="shared" si="2"/>
        <v>5.85</v>
      </c>
      <c r="BB10">
        <f t="shared" si="2"/>
        <v>4</v>
      </c>
      <c r="BC10">
        <f t="shared" si="2"/>
        <v>3.65</v>
      </c>
    </row>
    <row r="11" spans="1:55" x14ac:dyDescent="0.35">
      <c r="A11">
        <v>9</v>
      </c>
      <c r="B11">
        <f>'Inventory CRP'!B11*0.5</f>
        <v>0.5</v>
      </c>
      <c r="C11">
        <f>'Inventory CRP'!C11*0.5</f>
        <v>6</v>
      </c>
      <c r="D11">
        <f>'Inventory CRP'!D11*0.5</f>
        <v>6</v>
      </c>
      <c r="E11">
        <f>'Inventory CRP'!E11*0.5</f>
        <v>1</v>
      </c>
      <c r="G11">
        <f>'Inventory CRP'!G11*0.5</f>
        <v>1</v>
      </c>
      <c r="H11">
        <f>'Inventory CRP'!H11*0.5</f>
        <v>6</v>
      </c>
      <c r="I11">
        <f>'Inventory CRP'!I11*0.5</f>
        <v>5.5</v>
      </c>
      <c r="J11">
        <f>'Inventory CRP'!J11*0.5</f>
        <v>1</v>
      </c>
      <c r="L11">
        <f>'Inventory CRP'!L11*0.5</f>
        <v>1.5</v>
      </c>
      <c r="M11">
        <f>'Inventory CRP'!M11*0.5</f>
        <v>6</v>
      </c>
      <c r="N11">
        <f>'Inventory CRP'!N11*0.5</f>
        <v>6</v>
      </c>
      <c r="O11">
        <f>'Inventory CRP'!O11*0.5</f>
        <v>1</v>
      </c>
      <c r="Q11">
        <f>'Inventory CRP'!Q11*0.5</f>
        <v>1.5</v>
      </c>
      <c r="R11">
        <f>'Inventory CRP'!R11*0.5</f>
        <v>6</v>
      </c>
      <c r="S11">
        <f>'Inventory CRP'!S11*0.5</f>
        <v>6</v>
      </c>
      <c r="T11">
        <f>'Inventory CRP'!T11*0.5</f>
        <v>1</v>
      </c>
      <c r="V11">
        <f>'Inventory CRP'!V11*0.5</f>
        <v>2.5</v>
      </c>
      <c r="W11">
        <f>'Inventory CRP'!W11*0.5</f>
        <v>6</v>
      </c>
      <c r="X11">
        <f>'Inventory CRP'!X11*0.5</f>
        <v>5</v>
      </c>
      <c r="Y11">
        <f>'Inventory CRP'!Y11*0.5</f>
        <v>1</v>
      </c>
      <c r="AA11">
        <f>'Inventory CRP'!AA11*0.5</f>
        <v>2.5</v>
      </c>
      <c r="AB11">
        <f>'Inventory CRP'!AB11*0.5</f>
        <v>6</v>
      </c>
      <c r="AC11">
        <f>'Inventory CRP'!AC11*0.5</f>
        <v>5</v>
      </c>
      <c r="AD11">
        <f>'Inventory CRP'!AD11*0.5</f>
        <v>1</v>
      </c>
      <c r="AF11">
        <f>'Inventory CRP'!AF11*0.5</f>
        <v>5.5</v>
      </c>
      <c r="AG11">
        <f>'Inventory CRP'!AG11*0.5</f>
        <v>6.5</v>
      </c>
      <c r="AH11">
        <f>'Inventory CRP'!AH11*0.5</f>
        <v>5.5</v>
      </c>
      <c r="AI11">
        <f>'Inventory CRP'!AI11*0.5</f>
        <v>1.5</v>
      </c>
      <c r="AK11">
        <f>'Inventory CRP'!AK11*0.5</f>
        <v>2.5</v>
      </c>
      <c r="AL11">
        <f>'Inventory CRP'!AL11*0.5</f>
        <v>6.5</v>
      </c>
      <c r="AM11">
        <f>'Inventory CRP'!AM11*0.5</f>
        <v>5.5</v>
      </c>
      <c r="AN11">
        <f>'Inventory CRP'!AN11*0.5</f>
        <v>1.5</v>
      </c>
      <c r="AP11">
        <f>'Inventory CRP'!AP11*0.5</f>
        <v>4.5</v>
      </c>
      <c r="AQ11">
        <f>'Inventory CRP'!AQ11*0.5</f>
        <v>6</v>
      </c>
      <c r="AR11">
        <f>'Inventory CRP'!AR11*0.5</f>
        <v>4</v>
      </c>
      <c r="AS11">
        <f>'Inventory CRP'!AS11*0.5</f>
        <v>3</v>
      </c>
      <c r="AU11">
        <f>'Inventory CRP'!AU11*0.5</f>
        <v>4.5</v>
      </c>
      <c r="AV11">
        <f>'Inventory CRP'!AV11*0.5</f>
        <v>6</v>
      </c>
      <c r="AW11">
        <f>'Inventory CRP'!AW11*0.5</f>
        <v>4</v>
      </c>
      <c r="AX11">
        <f>'Inventory CRP'!AX11*0.5</f>
        <v>3</v>
      </c>
      <c r="AZ11">
        <f t="shared" si="1"/>
        <v>2.65</v>
      </c>
      <c r="BA11">
        <f t="shared" si="2"/>
        <v>6.1</v>
      </c>
      <c r="BB11">
        <f t="shared" si="2"/>
        <v>5.25</v>
      </c>
      <c r="BC11">
        <f t="shared" si="2"/>
        <v>1.5</v>
      </c>
    </row>
    <row r="12" spans="1:55" x14ac:dyDescent="0.35">
      <c r="A12">
        <v>10</v>
      </c>
      <c r="B12">
        <f>'Inventory CRP'!B12*0.5</f>
        <v>0</v>
      </c>
      <c r="C12">
        <f>'Inventory CRP'!C12*0.5</f>
        <v>6</v>
      </c>
      <c r="D12">
        <f>'Inventory CRP'!D12*0.5</f>
        <v>7</v>
      </c>
      <c r="E12">
        <f>'Inventory CRP'!E12*0.5</f>
        <v>1.5</v>
      </c>
      <c r="G12">
        <f>'Inventory CRP'!G12*0.5</f>
        <v>0</v>
      </c>
      <c r="H12">
        <f>'Inventory CRP'!H12*0.5</f>
        <v>6</v>
      </c>
      <c r="I12">
        <f>'Inventory CRP'!I12*0.5</f>
        <v>6.5</v>
      </c>
      <c r="J12">
        <f>'Inventory CRP'!J12*0.5</f>
        <v>1</v>
      </c>
      <c r="L12">
        <f>'Inventory CRP'!L12*0.5</f>
        <v>0</v>
      </c>
      <c r="M12">
        <f>'Inventory CRP'!M12*0.5</f>
        <v>6</v>
      </c>
      <c r="N12">
        <f>'Inventory CRP'!N12*0.5</f>
        <v>7</v>
      </c>
      <c r="O12">
        <f>'Inventory CRP'!O12*0.5</f>
        <v>1.5</v>
      </c>
      <c r="Q12">
        <f>'Inventory CRP'!Q12*0.5</f>
        <v>0</v>
      </c>
      <c r="R12">
        <f>'Inventory CRP'!R12*0.5</f>
        <v>6</v>
      </c>
      <c r="S12">
        <f>'Inventory CRP'!S12*0.5</f>
        <v>7</v>
      </c>
      <c r="T12">
        <f>'Inventory CRP'!T12*0.5</f>
        <v>1.5</v>
      </c>
      <c r="V12">
        <f>'Inventory CRP'!V12*0.5</f>
        <v>0</v>
      </c>
      <c r="W12">
        <f>'Inventory CRP'!W12*0.5</f>
        <v>6</v>
      </c>
      <c r="X12">
        <f>'Inventory CRP'!X12*0.5</f>
        <v>6.5</v>
      </c>
      <c r="Y12">
        <f>'Inventory CRP'!Y12*0.5</f>
        <v>1.5</v>
      </c>
      <c r="AA12">
        <f>'Inventory CRP'!AA12*0.5</f>
        <v>0</v>
      </c>
      <c r="AB12">
        <f>'Inventory CRP'!AB12*0.5</f>
        <v>6</v>
      </c>
      <c r="AC12">
        <f>'Inventory CRP'!AC12*0.5</f>
        <v>6.5</v>
      </c>
      <c r="AD12">
        <f>'Inventory CRP'!AD12*0.5</f>
        <v>1.5</v>
      </c>
      <c r="AF12">
        <f>'Inventory CRP'!AF12*0.5</f>
        <v>0</v>
      </c>
      <c r="AG12">
        <f>'Inventory CRP'!AG12*0.5</f>
        <v>8.5</v>
      </c>
      <c r="AH12">
        <f>'Inventory CRP'!AH12*0.5</f>
        <v>6.5</v>
      </c>
      <c r="AI12">
        <f>'Inventory CRP'!AI12*0.5</f>
        <v>1.5</v>
      </c>
      <c r="AK12">
        <f>'Inventory CRP'!AK12*0.5</f>
        <v>0</v>
      </c>
      <c r="AL12">
        <f>'Inventory CRP'!AL12*0.5</f>
        <v>6</v>
      </c>
      <c r="AM12">
        <f>'Inventory CRP'!AM12*0.5</f>
        <v>6.5</v>
      </c>
      <c r="AN12">
        <f>'Inventory CRP'!AN12*0.5</f>
        <v>1.5</v>
      </c>
      <c r="AP12">
        <f>'Inventory CRP'!AP12*0.5</f>
        <v>3.5</v>
      </c>
      <c r="AQ12">
        <f>'Inventory CRP'!AQ12*0.5</f>
        <v>6</v>
      </c>
      <c r="AR12">
        <f>'Inventory CRP'!AR12*0.5</f>
        <v>5</v>
      </c>
      <c r="AS12">
        <f>'Inventory CRP'!AS12*0.5</f>
        <v>3.5</v>
      </c>
      <c r="AU12">
        <f>'Inventory CRP'!AU12*0.5</f>
        <v>3.5</v>
      </c>
      <c r="AV12">
        <f>'Inventory CRP'!AV12*0.5</f>
        <v>6</v>
      </c>
      <c r="AW12">
        <f>'Inventory CRP'!AW12*0.5</f>
        <v>5</v>
      </c>
      <c r="AX12">
        <f>'Inventory CRP'!AX12*0.5</f>
        <v>3.5</v>
      </c>
      <c r="AZ12">
        <f t="shared" si="1"/>
        <v>0.7</v>
      </c>
      <c r="BA12">
        <f t="shared" si="2"/>
        <v>6.25</v>
      </c>
      <c r="BB12">
        <f t="shared" si="2"/>
        <v>6.35</v>
      </c>
      <c r="BC12">
        <f t="shared" si="2"/>
        <v>1.85</v>
      </c>
    </row>
    <row r="13" spans="1:55" x14ac:dyDescent="0.35">
      <c r="A13">
        <v>11</v>
      </c>
      <c r="B13">
        <f>'Inventory CRP'!B13*0.5</f>
        <v>0</v>
      </c>
      <c r="C13">
        <f>'Inventory CRP'!C13*0.5</f>
        <v>0</v>
      </c>
      <c r="D13">
        <f>'Inventory CRP'!D13*0.5</f>
        <v>7</v>
      </c>
      <c r="E13">
        <f>'Inventory CRP'!E13*0.5</f>
        <v>7.5</v>
      </c>
      <c r="G13">
        <f>'Inventory CRP'!G13*0.5</f>
        <v>0</v>
      </c>
      <c r="H13">
        <f>'Inventory CRP'!H13*0.5</f>
        <v>0.5</v>
      </c>
      <c r="I13">
        <f>'Inventory CRP'!I13*0.5</f>
        <v>7</v>
      </c>
      <c r="J13">
        <f>'Inventory CRP'!J13*0.5</f>
        <v>7</v>
      </c>
      <c r="L13">
        <f>'Inventory CRP'!L13*0.5</f>
        <v>0</v>
      </c>
      <c r="M13">
        <f>'Inventory CRP'!M13*0.5</f>
        <v>2</v>
      </c>
      <c r="N13">
        <f>'Inventory CRP'!N13*0.5</f>
        <v>7</v>
      </c>
      <c r="O13">
        <f>'Inventory CRP'!O13*0.5</f>
        <v>6.5</v>
      </c>
      <c r="Q13">
        <f>'Inventory CRP'!Q13*0.5</f>
        <v>0</v>
      </c>
      <c r="R13">
        <f>'Inventory CRP'!R13*0.5</f>
        <v>0</v>
      </c>
      <c r="S13">
        <f>'Inventory CRP'!S13*0.5</f>
        <v>7</v>
      </c>
      <c r="T13">
        <f>'Inventory CRP'!T13*0.5</f>
        <v>6.5</v>
      </c>
      <c r="V13">
        <f>'Inventory CRP'!V13*0.5</f>
        <v>0</v>
      </c>
      <c r="W13">
        <f>'Inventory CRP'!W13*0.5</f>
        <v>2.5</v>
      </c>
      <c r="X13">
        <f>'Inventory CRP'!X13*0.5</f>
        <v>7</v>
      </c>
      <c r="Y13">
        <f>'Inventory CRP'!Y13*0.5</f>
        <v>5.5</v>
      </c>
      <c r="AA13">
        <f>'Inventory CRP'!AA13*0.5</f>
        <v>0</v>
      </c>
      <c r="AB13">
        <f>'Inventory CRP'!AB13*0.5</f>
        <v>2.5</v>
      </c>
      <c r="AC13">
        <f>'Inventory CRP'!AC13*0.5</f>
        <v>7</v>
      </c>
      <c r="AD13">
        <f>'Inventory CRP'!AD13*0.5</f>
        <v>5.5</v>
      </c>
      <c r="AF13">
        <f>'Inventory CRP'!AF13*0.5</f>
        <v>0.5</v>
      </c>
      <c r="AG13">
        <f>'Inventory CRP'!AG13*0.5</f>
        <v>3.5</v>
      </c>
      <c r="AH13">
        <f>'Inventory CRP'!AH13*0.5</f>
        <v>6.5</v>
      </c>
      <c r="AI13">
        <f>'Inventory CRP'!AI13*0.5</f>
        <v>5.5</v>
      </c>
      <c r="AK13">
        <f>'Inventory CRP'!AK13*0.5</f>
        <v>0.5</v>
      </c>
      <c r="AL13">
        <f>'Inventory CRP'!AL13*0.5</f>
        <v>3</v>
      </c>
      <c r="AM13">
        <f>'Inventory CRP'!AM13*0.5</f>
        <v>6.5</v>
      </c>
      <c r="AN13">
        <f>'Inventory CRP'!AN13*0.5</f>
        <v>5.5</v>
      </c>
      <c r="AP13">
        <f>'Inventory CRP'!AP13*0.5</f>
        <v>2.5</v>
      </c>
      <c r="AQ13">
        <f>'Inventory CRP'!AQ13*0.5</f>
        <v>5.5</v>
      </c>
      <c r="AR13">
        <f>'Inventory CRP'!AR13*0.5</f>
        <v>5</v>
      </c>
      <c r="AS13">
        <f>'Inventory CRP'!AS13*0.5</f>
        <v>4.5</v>
      </c>
      <c r="AU13">
        <f>'Inventory CRP'!AU13*0.5</f>
        <v>2.5</v>
      </c>
      <c r="AV13">
        <f>'Inventory CRP'!AV13*0.5</f>
        <v>5.5</v>
      </c>
      <c r="AW13">
        <f>'Inventory CRP'!AW13*0.5</f>
        <v>5</v>
      </c>
      <c r="AX13">
        <f>'Inventory CRP'!AX13*0.5</f>
        <v>4.5</v>
      </c>
      <c r="AZ13">
        <f t="shared" si="1"/>
        <v>0.6</v>
      </c>
      <c r="BA13">
        <f t="shared" si="2"/>
        <v>2.5</v>
      </c>
      <c r="BB13">
        <f t="shared" si="2"/>
        <v>6.5</v>
      </c>
      <c r="BC13">
        <f t="shared" si="2"/>
        <v>5.85</v>
      </c>
    </row>
    <row r="14" spans="1:55" x14ac:dyDescent="0.35">
      <c r="A14">
        <v>12</v>
      </c>
      <c r="B14">
        <f>'Inventory CRP'!B14*0.5</f>
        <v>3.5</v>
      </c>
      <c r="C14">
        <f>'Inventory CRP'!C14*0.5</f>
        <v>0</v>
      </c>
      <c r="D14">
        <f>'Inventory CRP'!D14*0.5</f>
        <v>6.5</v>
      </c>
      <c r="E14">
        <f>'Inventory CRP'!E14*0.5</f>
        <v>8</v>
      </c>
      <c r="G14">
        <f>'Inventory CRP'!G14*0.5</f>
        <v>3</v>
      </c>
      <c r="H14">
        <f>'Inventory CRP'!H14*0.5</f>
        <v>0</v>
      </c>
      <c r="I14">
        <f>'Inventory CRP'!I14*0.5</f>
        <v>7</v>
      </c>
      <c r="J14">
        <f>'Inventory CRP'!J14*0.5</f>
        <v>8.5</v>
      </c>
      <c r="L14">
        <f>'Inventory CRP'!L14*0.5</f>
        <v>3</v>
      </c>
      <c r="M14">
        <f>'Inventory CRP'!M14*0.5</f>
        <v>0</v>
      </c>
      <c r="N14">
        <f>'Inventory CRP'!N14*0.5</f>
        <v>6.5</v>
      </c>
      <c r="O14">
        <f>'Inventory CRP'!O14*0.5</f>
        <v>8</v>
      </c>
      <c r="Q14">
        <f>'Inventory CRP'!Q14*0.5</f>
        <v>3</v>
      </c>
      <c r="R14">
        <f>'Inventory CRP'!R14*0.5</f>
        <v>0</v>
      </c>
      <c r="S14">
        <f>'Inventory CRP'!S14*0.5</f>
        <v>6.5</v>
      </c>
      <c r="T14">
        <f>'Inventory CRP'!T14*0.5</f>
        <v>8</v>
      </c>
      <c r="V14">
        <f>'Inventory CRP'!V14*0.5</f>
        <v>3</v>
      </c>
      <c r="W14">
        <f>'Inventory CRP'!W14*0.5</f>
        <v>0</v>
      </c>
      <c r="X14">
        <f>'Inventory CRP'!X14*0.5</f>
        <v>6.5</v>
      </c>
      <c r="Y14">
        <f>'Inventory CRP'!Y14*0.5</f>
        <v>9</v>
      </c>
      <c r="AA14">
        <f>'Inventory CRP'!AA14*0.5</f>
        <v>3</v>
      </c>
      <c r="AB14">
        <f>'Inventory CRP'!AB14*0.5</f>
        <v>0</v>
      </c>
      <c r="AC14">
        <f>'Inventory CRP'!AC14*0.5</f>
        <v>6.5</v>
      </c>
      <c r="AD14">
        <f>'Inventory CRP'!AD14*0.5</f>
        <v>9</v>
      </c>
      <c r="AF14">
        <f>'Inventory CRP'!AF14*0.5</f>
        <v>3</v>
      </c>
      <c r="AG14">
        <f>'Inventory CRP'!AG14*0.5</f>
        <v>0</v>
      </c>
      <c r="AH14">
        <f>'Inventory CRP'!AH14*0.5</f>
        <v>6.5</v>
      </c>
      <c r="AI14">
        <f>'Inventory CRP'!AI14*0.5</f>
        <v>8</v>
      </c>
      <c r="AK14">
        <f>'Inventory CRP'!AK14*0.5</f>
        <v>3</v>
      </c>
      <c r="AL14">
        <f>'Inventory CRP'!AL14*0.5</f>
        <v>0</v>
      </c>
      <c r="AM14">
        <f>'Inventory CRP'!AM14*0.5</f>
        <v>6.5</v>
      </c>
      <c r="AN14">
        <f>'Inventory CRP'!AN14*0.5</f>
        <v>8</v>
      </c>
      <c r="AP14">
        <f>'Inventory CRP'!AP14*0.5</f>
        <v>4.5</v>
      </c>
      <c r="AQ14">
        <f>'Inventory CRP'!AQ14*0.5</f>
        <v>4</v>
      </c>
      <c r="AR14">
        <f>'Inventory CRP'!AR14*0.5</f>
        <v>5</v>
      </c>
      <c r="AS14">
        <f>'Inventory CRP'!AS14*0.5</f>
        <v>6</v>
      </c>
      <c r="AU14">
        <f>'Inventory CRP'!AU14*0.5</f>
        <v>4.5</v>
      </c>
      <c r="AV14">
        <f>'Inventory CRP'!AV14*0.5</f>
        <v>4</v>
      </c>
      <c r="AW14">
        <f>'Inventory CRP'!AW14*0.5</f>
        <v>5</v>
      </c>
      <c r="AX14">
        <f>'Inventory CRP'!AX14*0.5</f>
        <v>6</v>
      </c>
      <c r="AZ14">
        <f t="shared" si="1"/>
        <v>3.35</v>
      </c>
      <c r="BA14">
        <f t="shared" si="2"/>
        <v>0.8</v>
      </c>
      <c r="BB14">
        <f t="shared" si="2"/>
        <v>6.25</v>
      </c>
      <c r="BC14">
        <f t="shared" si="2"/>
        <v>7.85</v>
      </c>
    </row>
    <row r="15" spans="1:55" x14ac:dyDescent="0.35">
      <c r="A15">
        <v>13</v>
      </c>
      <c r="B15">
        <f>'Inventory CRP'!B15*0.5</f>
        <v>12</v>
      </c>
      <c r="C15">
        <f>'Inventory CRP'!C15*0.5</f>
        <v>5</v>
      </c>
      <c r="D15">
        <f>'Inventory CRP'!D15*0.5</f>
        <v>6</v>
      </c>
      <c r="E15">
        <f>'Inventory CRP'!E15*0.5</f>
        <v>7.5</v>
      </c>
      <c r="G15">
        <f>'Inventory CRP'!G15*0.5</f>
        <v>11.5</v>
      </c>
      <c r="H15">
        <f>'Inventory CRP'!H15*0.5</f>
        <v>0</v>
      </c>
      <c r="I15">
        <f>'Inventory CRP'!I15*0.5</f>
        <v>6</v>
      </c>
      <c r="J15">
        <f>'Inventory CRP'!J15*0.5</f>
        <v>7.5</v>
      </c>
      <c r="L15">
        <f>'Inventory CRP'!L15*0.5</f>
        <v>10</v>
      </c>
      <c r="M15">
        <f>'Inventory CRP'!M15*0.5</f>
        <v>0</v>
      </c>
      <c r="N15">
        <f>'Inventory CRP'!N15*0.5</f>
        <v>6</v>
      </c>
      <c r="O15">
        <f>'Inventory CRP'!O15*0.5</f>
        <v>7.5</v>
      </c>
      <c r="Q15">
        <f>'Inventory CRP'!Q15*0.5</f>
        <v>12</v>
      </c>
      <c r="R15">
        <f>'Inventory CRP'!R15*0.5</f>
        <v>2</v>
      </c>
      <c r="S15">
        <f>'Inventory CRP'!S15*0.5</f>
        <v>6</v>
      </c>
      <c r="T15">
        <f>'Inventory CRP'!T15*0.5</f>
        <v>7.5</v>
      </c>
      <c r="V15">
        <f>'Inventory CRP'!V15*0.5</f>
        <v>9.5</v>
      </c>
      <c r="W15">
        <f>'Inventory CRP'!W15*0.5</f>
        <v>0</v>
      </c>
      <c r="X15">
        <f>'Inventory CRP'!X15*0.5</f>
        <v>6</v>
      </c>
      <c r="Y15">
        <f>'Inventory CRP'!Y15*0.5</f>
        <v>8</v>
      </c>
      <c r="AA15">
        <f>'Inventory CRP'!AA15*0.5</f>
        <v>9.5</v>
      </c>
      <c r="AB15">
        <f>'Inventory CRP'!AB15*0.5</f>
        <v>0</v>
      </c>
      <c r="AC15">
        <f>'Inventory CRP'!AC15*0.5</f>
        <v>6</v>
      </c>
      <c r="AD15">
        <f>'Inventory CRP'!AD15*0.5</f>
        <v>8</v>
      </c>
      <c r="AF15">
        <f>'Inventory CRP'!AF15*0.5</f>
        <v>8.5</v>
      </c>
      <c r="AG15">
        <f>'Inventory CRP'!AG15*0.5</f>
        <v>3.5</v>
      </c>
      <c r="AH15">
        <f>'Inventory CRP'!AH15*0.5</f>
        <v>6</v>
      </c>
      <c r="AI15">
        <f>'Inventory CRP'!AI15*0.5</f>
        <v>7.5</v>
      </c>
      <c r="AK15">
        <f>'Inventory CRP'!AK15*0.5</f>
        <v>9</v>
      </c>
      <c r="AL15">
        <f>'Inventory CRP'!AL15*0.5</f>
        <v>0.5</v>
      </c>
      <c r="AM15">
        <f>'Inventory CRP'!AM15*0.5</f>
        <v>6</v>
      </c>
      <c r="AN15">
        <f>'Inventory CRP'!AN15*0.5</f>
        <v>7.5</v>
      </c>
      <c r="AP15">
        <f>'Inventory CRP'!AP15*0.5</f>
        <v>5.5</v>
      </c>
      <c r="AQ15">
        <f>'Inventory CRP'!AQ15*0.5</f>
        <v>3</v>
      </c>
      <c r="AR15">
        <f>'Inventory CRP'!AR15*0.5</f>
        <v>5</v>
      </c>
      <c r="AS15">
        <f>'Inventory CRP'!AS15*0.5</f>
        <v>6.5</v>
      </c>
      <c r="AU15">
        <f>'Inventory CRP'!AU15*0.5</f>
        <v>5.5</v>
      </c>
      <c r="AV15">
        <f>'Inventory CRP'!AV15*0.5</f>
        <v>3</v>
      </c>
      <c r="AW15">
        <f>'Inventory CRP'!AW15*0.5</f>
        <v>5</v>
      </c>
      <c r="AX15">
        <f>'Inventory CRP'!AX15*0.5</f>
        <v>6.5</v>
      </c>
      <c r="AZ15">
        <f t="shared" si="1"/>
        <v>9.3000000000000007</v>
      </c>
      <c r="BA15">
        <f t="shared" si="2"/>
        <v>1.7</v>
      </c>
      <c r="BB15">
        <f t="shared" si="2"/>
        <v>5.8</v>
      </c>
      <c r="BC15">
        <f t="shared" si="2"/>
        <v>7.4</v>
      </c>
    </row>
    <row r="16" spans="1:55" x14ac:dyDescent="0.35">
      <c r="A16">
        <v>14</v>
      </c>
      <c r="B16">
        <f>'Inventory CRP'!B16*0.5</f>
        <v>9</v>
      </c>
      <c r="C16">
        <f>'Inventory CRP'!C16*0.5</f>
        <v>16</v>
      </c>
      <c r="D16">
        <f>'Inventory CRP'!D16*0.5</f>
        <v>6</v>
      </c>
      <c r="E16">
        <f>'Inventory CRP'!E16*0.5</f>
        <v>3.5</v>
      </c>
      <c r="G16">
        <f>'Inventory CRP'!G16*0.5</f>
        <v>5</v>
      </c>
      <c r="H16">
        <f>'Inventory CRP'!H16*0.5</f>
        <v>7</v>
      </c>
      <c r="I16">
        <f>'Inventory CRP'!I16*0.5</f>
        <v>6</v>
      </c>
      <c r="J16">
        <f>'Inventory CRP'!J16*0.5</f>
        <v>4.5</v>
      </c>
      <c r="L16">
        <f>'Inventory CRP'!L16*0.5</f>
        <v>10.5</v>
      </c>
      <c r="M16">
        <f>'Inventory CRP'!M16*0.5</f>
        <v>6.5</v>
      </c>
      <c r="N16">
        <f>'Inventory CRP'!N16*0.5</f>
        <v>6</v>
      </c>
      <c r="O16">
        <f>'Inventory CRP'!O16*0.5</f>
        <v>4</v>
      </c>
      <c r="Q16">
        <f>'Inventory CRP'!Q16*0.5</f>
        <v>10.5</v>
      </c>
      <c r="R16">
        <f>'Inventory CRP'!R16*0.5</f>
        <v>13</v>
      </c>
      <c r="S16">
        <f>'Inventory CRP'!S16*0.5</f>
        <v>6</v>
      </c>
      <c r="T16">
        <f>'Inventory CRP'!T16*0.5</f>
        <v>4</v>
      </c>
      <c r="V16">
        <f>'Inventory CRP'!V16*0.5</f>
        <v>11</v>
      </c>
      <c r="W16">
        <f>'Inventory CRP'!W16*0.5</f>
        <v>6</v>
      </c>
      <c r="X16">
        <f>'Inventory CRP'!X16*0.5</f>
        <v>5.5</v>
      </c>
      <c r="Y16">
        <f>'Inventory CRP'!Y16*0.5</f>
        <v>4.5</v>
      </c>
      <c r="AA16">
        <f>'Inventory CRP'!AA16*0.5</f>
        <v>11</v>
      </c>
      <c r="AB16">
        <f>'Inventory CRP'!AB16*0.5</f>
        <v>6</v>
      </c>
      <c r="AC16">
        <f>'Inventory CRP'!AC16*0.5</f>
        <v>5.5</v>
      </c>
      <c r="AD16">
        <f>'Inventory CRP'!AD16*0.5</f>
        <v>4.5</v>
      </c>
      <c r="AF16">
        <f>'Inventory CRP'!AF16*0.5</f>
        <v>11</v>
      </c>
      <c r="AG16">
        <f>'Inventory CRP'!AG16*0.5</f>
        <v>7</v>
      </c>
      <c r="AH16">
        <f>'Inventory CRP'!AH16*0.5</f>
        <v>6</v>
      </c>
      <c r="AI16">
        <f>'Inventory CRP'!AI16*0.5</f>
        <v>4.5</v>
      </c>
      <c r="AK16">
        <f>'Inventory CRP'!AK16*0.5</f>
        <v>11</v>
      </c>
      <c r="AL16">
        <f>'Inventory CRP'!AL16*0.5</f>
        <v>5</v>
      </c>
      <c r="AM16">
        <f>'Inventory CRP'!AM16*0.5</f>
        <v>6</v>
      </c>
      <c r="AN16">
        <f>'Inventory CRP'!AN16*0.5</f>
        <v>4.5</v>
      </c>
      <c r="AP16">
        <f>'Inventory CRP'!AP16*0.5</f>
        <v>8</v>
      </c>
      <c r="AQ16">
        <f>'Inventory CRP'!AQ16*0.5</f>
        <v>6</v>
      </c>
      <c r="AR16">
        <f>'Inventory CRP'!AR16*0.5</f>
        <v>4.5</v>
      </c>
      <c r="AS16">
        <f>'Inventory CRP'!AS16*0.5</f>
        <v>4.5</v>
      </c>
      <c r="AU16">
        <f>'Inventory CRP'!AU16*0.5</f>
        <v>8</v>
      </c>
      <c r="AV16">
        <f>'Inventory CRP'!AV16*0.5</f>
        <v>6</v>
      </c>
      <c r="AW16">
        <f>'Inventory CRP'!AW16*0.5</f>
        <v>4.5</v>
      </c>
      <c r="AX16">
        <f>'Inventory CRP'!AX16*0.5</f>
        <v>4.5</v>
      </c>
      <c r="AZ16">
        <f t="shared" si="1"/>
        <v>9.5</v>
      </c>
      <c r="BA16">
        <f t="shared" si="2"/>
        <v>7.85</v>
      </c>
      <c r="BB16">
        <f t="shared" si="2"/>
        <v>5.6</v>
      </c>
      <c r="BC16">
        <f t="shared" si="2"/>
        <v>4.3</v>
      </c>
    </row>
    <row r="17" spans="1:55" x14ac:dyDescent="0.35">
      <c r="A17">
        <v>15</v>
      </c>
      <c r="B17">
        <f>'Inventory CRP'!B17*0.5</f>
        <v>1.5</v>
      </c>
      <c r="C17">
        <f>'Inventory CRP'!C17*0.5</f>
        <v>10.5</v>
      </c>
      <c r="D17">
        <f>'Inventory CRP'!D17*0.5</f>
        <v>6.5</v>
      </c>
      <c r="E17">
        <f>'Inventory CRP'!E17*0.5</f>
        <v>1</v>
      </c>
      <c r="G17">
        <f>'Inventory CRP'!G17*0.5</f>
        <v>5</v>
      </c>
      <c r="H17">
        <f>'Inventory CRP'!H17*0.5</f>
        <v>14</v>
      </c>
      <c r="I17">
        <f>'Inventory CRP'!I17*0.5</f>
        <v>6.5</v>
      </c>
      <c r="J17">
        <f>'Inventory CRP'!J17*0.5</f>
        <v>1</v>
      </c>
      <c r="L17">
        <f>'Inventory CRP'!L17*0.5</f>
        <v>7</v>
      </c>
      <c r="M17">
        <f>'Inventory CRP'!M17*0.5</f>
        <v>10.5</v>
      </c>
      <c r="N17">
        <f>'Inventory CRP'!N17*0.5</f>
        <v>6.5</v>
      </c>
      <c r="O17">
        <f>'Inventory CRP'!O17*0.5</f>
        <v>1</v>
      </c>
      <c r="Q17">
        <f>'Inventory CRP'!Q17*0.5</f>
        <v>5</v>
      </c>
      <c r="R17">
        <f>'Inventory CRP'!R17*0.5</f>
        <v>12</v>
      </c>
      <c r="S17">
        <f>'Inventory CRP'!S17*0.5</f>
        <v>6.5</v>
      </c>
      <c r="T17">
        <f>'Inventory CRP'!T17*0.5</f>
        <v>1</v>
      </c>
      <c r="V17">
        <f>'Inventory CRP'!V17*0.5</f>
        <v>7</v>
      </c>
      <c r="W17">
        <f>'Inventory CRP'!W17*0.5</f>
        <v>13.5</v>
      </c>
      <c r="X17">
        <f>'Inventory CRP'!X17*0.5</f>
        <v>6</v>
      </c>
      <c r="Y17">
        <f>'Inventory CRP'!Y17*0.5</f>
        <v>1.5</v>
      </c>
      <c r="AA17">
        <f>'Inventory CRP'!AA17*0.5</f>
        <v>7</v>
      </c>
      <c r="AB17">
        <f>'Inventory CRP'!AB17*0.5</f>
        <v>13.5</v>
      </c>
      <c r="AC17">
        <f>'Inventory CRP'!AC17*0.5</f>
        <v>6</v>
      </c>
      <c r="AD17">
        <f>'Inventory CRP'!AD17*0.5</f>
        <v>1.5</v>
      </c>
      <c r="AF17">
        <f>'Inventory CRP'!AF17*0.5</f>
        <v>4</v>
      </c>
      <c r="AG17">
        <f>'Inventory CRP'!AG17*0.5</f>
        <v>27</v>
      </c>
      <c r="AH17">
        <f>'Inventory CRP'!AH17*0.5</f>
        <v>6</v>
      </c>
      <c r="AI17">
        <f>'Inventory CRP'!AI17*0.5</f>
        <v>1.5</v>
      </c>
      <c r="AK17">
        <f>'Inventory CRP'!AK17*0.5</f>
        <v>7</v>
      </c>
      <c r="AL17">
        <f>'Inventory CRP'!AL17*0.5</f>
        <v>10</v>
      </c>
      <c r="AM17">
        <f>'Inventory CRP'!AM17*0.5</f>
        <v>6</v>
      </c>
      <c r="AN17">
        <f>'Inventory CRP'!AN17*0.5</f>
        <v>1.5</v>
      </c>
      <c r="AP17">
        <f>'Inventory CRP'!AP17*0.5</f>
        <v>7</v>
      </c>
      <c r="AQ17">
        <f>'Inventory CRP'!AQ17*0.5</f>
        <v>6</v>
      </c>
      <c r="AR17">
        <f>'Inventory CRP'!AR17*0.5</f>
        <v>5</v>
      </c>
      <c r="AS17">
        <f>'Inventory CRP'!AS17*0.5</f>
        <v>4</v>
      </c>
      <c r="AU17">
        <f>'Inventory CRP'!AU17*0.5</f>
        <v>7</v>
      </c>
      <c r="AV17">
        <f>'Inventory CRP'!AV17*0.5</f>
        <v>6</v>
      </c>
      <c r="AW17">
        <f>'Inventory CRP'!AW17*0.5</f>
        <v>5</v>
      </c>
      <c r="AX17">
        <f>'Inventory CRP'!AX17*0.5</f>
        <v>4</v>
      </c>
      <c r="AZ17">
        <f t="shared" si="1"/>
        <v>5.75</v>
      </c>
      <c r="BA17">
        <f t="shared" si="2"/>
        <v>12.3</v>
      </c>
      <c r="BB17">
        <f t="shared" si="2"/>
        <v>6</v>
      </c>
      <c r="BC17">
        <f t="shared" si="2"/>
        <v>1.8</v>
      </c>
    </row>
    <row r="18" spans="1:55" x14ac:dyDescent="0.35">
      <c r="A18">
        <v>16</v>
      </c>
      <c r="B18">
        <f>'Inventory CRP'!B18*0.5</f>
        <v>0</v>
      </c>
      <c r="C18">
        <f>'Inventory CRP'!C18*0.5</f>
        <v>3</v>
      </c>
      <c r="D18">
        <f>'Inventory CRP'!D18*0.5</f>
        <v>7</v>
      </c>
      <c r="E18">
        <f>'Inventory CRP'!E18*0.5</f>
        <v>4.5</v>
      </c>
      <c r="G18">
        <f>'Inventory CRP'!G18*0.5</f>
        <v>0</v>
      </c>
      <c r="H18">
        <f>'Inventory CRP'!H18*0.5</f>
        <v>8.5</v>
      </c>
      <c r="I18">
        <f>'Inventory CRP'!I18*0.5</f>
        <v>6.5</v>
      </c>
      <c r="J18">
        <f>'Inventory CRP'!J18*0.5</f>
        <v>3</v>
      </c>
      <c r="L18">
        <f>'Inventory CRP'!L18*0.5</f>
        <v>0</v>
      </c>
      <c r="M18">
        <f>'Inventory CRP'!M18*0.5</f>
        <v>10</v>
      </c>
      <c r="N18">
        <f>'Inventory CRP'!N18*0.5</f>
        <v>7</v>
      </c>
      <c r="O18">
        <f>'Inventory CRP'!O18*0.5</f>
        <v>3</v>
      </c>
      <c r="Q18">
        <f>'Inventory CRP'!Q18*0.5</f>
        <v>0</v>
      </c>
      <c r="R18">
        <f>'Inventory CRP'!R18*0.5</f>
        <v>6</v>
      </c>
      <c r="S18">
        <f>'Inventory CRP'!S18*0.5</f>
        <v>7</v>
      </c>
      <c r="T18">
        <f>'Inventory CRP'!T18*0.5</f>
        <v>3</v>
      </c>
      <c r="V18">
        <f>'Inventory CRP'!V18*0.5</f>
        <v>0</v>
      </c>
      <c r="W18">
        <f>'Inventory CRP'!W18*0.5</f>
        <v>15.5</v>
      </c>
      <c r="X18">
        <f>'Inventory CRP'!X18*0.5</f>
        <v>6.5</v>
      </c>
      <c r="Y18">
        <f>'Inventory CRP'!Y18*0.5</f>
        <v>2.5</v>
      </c>
      <c r="AA18">
        <f>'Inventory CRP'!AA18*0.5</f>
        <v>0</v>
      </c>
      <c r="AB18">
        <f>'Inventory CRP'!AB18*0.5</f>
        <v>15.5</v>
      </c>
      <c r="AC18">
        <f>'Inventory CRP'!AC18*0.5</f>
        <v>6.5</v>
      </c>
      <c r="AD18">
        <f>'Inventory CRP'!AD18*0.5</f>
        <v>2.5</v>
      </c>
      <c r="AF18">
        <f>'Inventory CRP'!AF18*0.5</f>
        <v>0</v>
      </c>
      <c r="AG18">
        <f>'Inventory CRP'!AG18*0.5</f>
        <v>7.5</v>
      </c>
      <c r="AH18">
        <f>'Inventory CRP'!AH18*0.5</f>
        <v>6.5</v>
      </c>
      <c r="AI18">
        <f>'Inventory CRP'!AI18*0.5</f>
        <v>2.5</v>
      </c>
      <c r="AK18">
        <f>'Inventory CRP'!AK18*0.5</f>
        <v>0</v>
      </c>
      <c r="AL18">
        <f>'Inventory CRP'!AL18*0.5</f>
        <v>8.5</v>
      </c>
      <c r="AM18">
        <f>'Inventory CRP'!AM18*0.5</f>
        <v>6.5</v>
      </c>
      <c r="AN18">
        <f>'Inventory CRP'!AN18*0.5</f>
        <v>2.5</v>
      </c>
      <c r="AP18">
        <f>'Inventory CRP'!AP18*0.5</f>
        <v>2</v>
      </c>
      <c r="AQ18">
        <f>'Inventory CRP'!AQ18*0.5</f>
        <v>6.5</v>
      </c>
      <c r="AR18">
        <f>'Inventory CRP'!AR18*0.5</f>
        <v>5</v>
      </c>
      <c r="AS18">
        <f>'Inventory CRP'!AS18*0.5</f>
        <v>3</v>
      </c>
      <c r="AU18">
        <f>'Inventory CRP'!AU18*0.5</f>
        <v>2</v>
      </c>
      <c r="AV18">
        <f>'Inventory CRP'!AV18*0.5</f>
        <v>6.5</v>
      </c>
      <c r="AW18">
        <f>'Inventory CRP'!AW18*0.5</f>
        <v>5</v>
      </c>
      <c r="AX18">
        <f>'Inventory CRP'!AX18*0.5</f>
        <v>3</v>
      </c>
      <c r="AZ18">
        <f t="shared" si="1"/>
        <v>0.4</v>
      </c>
      <c r="BA18">
        <f t="shared" si="1"/>
        <v>8.75</v>
      </c>
      <c r="BB18">
        <f t="shared" si="1"/>
        <v>6.35</v>
      </c>
      <c r="BC18">
        <f t="shared" si="1"/>
        <v>2.95</v>
      </c>
    </row>
    <row r="19" spans="1:55" x14ac:dyDescent="0.35">
      <c r="A19">
        <v>17</v>
      </c>
      <c r="B19">
        <f>'Inventory CRP'!B19*0.5</f>
        <v>0.5</v>
      </c>
      <c r="C19">
        <f>'Inventory CRP'!C19*0.5</f>
        <v>0</v>
      </c>
      <c r="D19">
        <f>'Inventory CRP'!D19*0.5</f>
        <v>7</v>
      </c>
      <c r="E19">
        <f>'Inventory CRP'!E19*0.5</f>
        <v>7</v>
      </c>
      <c r="G19">
        <f>'Inventory CRP'!G19*0.5</f>
        <v>0</v>
      </c>
      <c r="H19">
        <f>'Inventory CRP'!H19*0.5</f>
        <v>0</v>
      </c>
      <c r="I19">
        <f>'Inventory CRP'!I19*0.5</f>
        <v>7</v>
      </c>
      <c r="J19">
        <f>'Inventory CRP'!J19*0.5</f>
        <v>8.5</v>
      </c>
      <c r="L19">
        <f>'Inventory CRP'!L19*0.5</f>
        <v>0</v>
      </c>
      <c r="M19">
        <f>'Inventory CRP'!M19*0.5</f>
        <v>2.5</v>
      </c>
      <c r="N19">
        <f>'Inventory CRP'!N19*0.5</f>
        <v>7</v>
      </c>
      <c r="O19">
        <f>'Inventory CRP'!O19*0.5</f>
        <v>6.5</v>
      </c>
      <c r="Q19">
        <f>'Inventory CRP'!Q19*0.5</f>
        <v>0</v>
      </c>
      <c r="R19">
        <f>'Inventory CRP'!R19*0.5</f>
        <v>0</v>
      </c>
      <c r="S19">
        <f>'Inventory CRP'!S19*0.5</f>
        <v>8</v>
      </c>
      <c r="T19">
        <f>'Inventory CRP'!T19*0.5</f>
        <v>6.5</v>
      </c>
      <c r="V19">
        <f>'Inventory CRP'!V19*0.5</f>
        <v>0.5</v>
      </c>
      <c r="W19">
        <f>'Inventory CRP'!W19*0.5</f>
        <v>2.5</v>
      </c>
      <c r="X19">
        <f>'Inventory CRP'!X19*0.5</f>
        <v>6.5</v>
      </c>
      <c r="Y19">
        <f>'Inventory CRP'!Y19*0.5</f>
        <v>6.5</v>
      </c>
      <c r="AA19">
        <f>'Inventory CRP'!AA19*0.5</f>
        <v>0.5</v>
      </c>
      <c r="AB19">
        <f>'Inventory CRP'!AB19*0.5</f>
        <v>2.5</v>
      </c>
      <c r="AC19">
        <f>'Inventory CRP'!AC19*0.5</f>
        <v>6.5</v>
      </c>
      <c r="AD19">
        <f>'Inventory CRP'!AD19*0.5</f>
        <v>6.5</v>
      </c>
      <c r="AF19">
        <f>'Inventory CRP'!AF19*0.5</f>
        <v>0</v>
      </c>
      <c r="AG19">
        <f>'Inventory CRP'!AG19*0.5</f>
        <v>0</v>
      </c>
      <c r="AH19">
        <f>'Inventory CRP'!AH19*0.5</f>
        <v>6.5</v>
      </c>
      <c r="AI19">
        <f>'Inventory CRP'!AI19*0.5</f>
        <v>6.5</v>
      </c>
      <c r="AK19">
        <f>'Inventory CRP'!AK19*0.5</f>
        <v>0</v>
      </c>
      <c r="AL19">
        <f>'Inventory CRP'!AL19*0.5</f>
        <v>3.5</v>
      </c>
      <c r="AM19">
        <f>'Inventory CRP'!AM19*0.5</f>
        <v>6.5</v>
      </c>
      <c r="AN19">
        <f>'Inventory CRP'!AN19*0.5</f>
        <v>6.5</v>
      </c>
      <c r="AP19">
        <f>'Inventory CRP'!AP19*0.5</f>
        <v>3.5</v>
      </c>
      <c r="AQ19">
        <f>'Inventory CRP'!AQ19*0.5</f>
        <v>6</v>
      </c>
      <c r="AR19">
        <f>'Inventory CRP'!AR19*0.5</f>
        <v>5</v>
      </c>
      <c r="AS19">
        <f>'Inventory CRP'!AS19*0.5</f>
        <v>5.5</v>
      </c>
      <c r="AU19">
        <f>'Inventory CRP'!AU19*0.5</f>
        <v>3.5</v>
      </c>
      <c r="AV19">
        <f>'Inventory CRP'!AV19*0.5</f>
        <v>6</v>
      </c>
      <c r="AW19">
        <f>'Inventory CRP'!AW19*0.5</f>
        <v>5</v>
      </c>
      <c r="AX19">
        <f>'Inventory CRP'!AX19*0.5</f>
        <v>5.5</v>
      </c>
      <c r="AZ19">
        <f t="shared" si="1"/>
        <v>0.85</v>
      </c>
      <c r="BA19">
        <f t="shared" si="1"/>
        <v>2.2999999999999998</v>
      </c>
      <c r="BB19">
        <f t="shared" si="1"/>
        <v>6.5</v>
      </c>
      <c r="BC19">
        <f t="shared" si="1"/>
        <v>6.55</v>
      </c>
    </row>
    <row r="20" spans="1:55" x14ac:dyDescent="0.35">
      <c r="A20">
        <v>18</v>
      </c>
      <c r="B20">
        <f>'Inventory CRP'!B20*0.5</f>
        <v>8</v>
      </c>
      <c r="C20">
        <f>'Inventory CRP'!C20*0.5</f>
        <v>0</v>
      </c>
      <c r="D20">
        <f>'Inventory CRP'!D20*0.5</f>
        <v>6.5</v>
      </c>
      <c r="E20">
        <f>'Inventory CRP'!E20*0.5</f>
        <v>7.5</v>
      </c>
      <c r="G20">
        <f>'Inventory CRP'!G20*0.5</f>
        <v>6</v>
      </c>
      <c r="H20">
        <f>'Inventory CRP'!H20*0.5</f>
        <v>0</v>
      </c>
      <c r="I20">
        <f>'Inventory CRP'!I20*0.5</f>
        <v>6.5</v>
      </c>
      <c r="J20">
        <f>'Inventory CRP'!J20*0.5</f>
        <v>8.5</v>
      </c>
      <c r="L20">
        <f>'Inventory CRP'!L20*0.5</f>
        <v>4</v>
      </c>
      <c r="M20">
        <f>'Inventory CRP'!M20*0.5</f>
        <v>0</v>
      </c>
      <c r="N20">
        <f>'Inventory CRP'!N20*0.5</f>
        <v>6.5</v>
      </c>
      <c r="O20">
        <f>'Inventory CRP'!O20*0.5</f>
        <v>8</v>
      </c>
      <c r="Q20">
        <f>'Inventory CRP'!Q20*0.5</f>
        <v>4</v>
      </c>
      <c r="R20">
        <f>'Inventory CRP'!R20*0.5</f>
        <v>0</v>
      </c>
      <c r="S20">
        <f>'Inventory CRP'!S20*0.5</f>
        <v>8.5</v>
      </c>
      <c r="T20">
        <f>'Inventory CRP'!T20*0.5</f>
        <v>7.5</v>
      </c>
      <c r="V20">
        <f>'Inventory CRP'!V20*0.5</f>
        <v>4</v>
      </c>
      <c r="W20">
        <f>'Inventory CRP'!W20*0.5</f>
        <v>0</v>
      </c>
      <c r="X20">
        <f>'Inventory CRP'!X20*0.5</f>
        <v>6.5</v>
      </c>
      <c r="Y20">
        <f>'Inventory CRP'!Y20*0.5</f>
        <v>9.5</v>
      </c>
      <c r="AA20">
        <f>'Inventory CRP'!AA20*0.5</f>
        <v>4</v>
      </c>
      <c r="AB20">
        <f>'Inventory CRP'!AB20*0.5</f>
        <v>0</v>
      </c>
      <c r="AC20">
        <f>'Inventory CRP'!AC20*0.5</f>
        <v>6.5</v>
      </c>
      <c r="AD20">
        <f>'Inventory CRP'!AD20*0.5</f>
        <v>9.5</v>
      </c>
      <c r="AF20">
        <f>'Inventory CRP'!AF20*0.5</f>
        <v>4</v>
      </c>
      <c r="AG20">
        <f>'Inventory CRP'!AG20*0.5</f>
        <v>0</v>
      </c>
      <c r="AH20">
        <f>'Inventory CRP'!AH20*0.5</f>
        <v>6.5</v>
      </c>
      <c r="AI20">
        <f>'Inventory CRP'!AI20*0.5</f>
        <v>8</v>
      </c>
      <c r="AK20">
        <f>'Inventory CRP'!AK20*0.5</f>
        <v>4</v>
      </c>
      <c r="AL20">
        <f>'Inventory CRP'!AL20*0.5</f>
        <v>0</v>
      </c>
      <c r="AM20">
        <f>'Inventory CRP'!AM20*0.5</f>
        <v>6.5</v>
      </c>
      <c r="AN20">
        <f>'Inventory CRP'!AN20*0.5</f>
        <v>9</v>
      </c>
      <c r="AP20">
        <f>'Inventory CRP'!AP20*0.5</f>
        <v>4</v>
      </c>
      <c r="AQ20">
        <f>'Inventory CRP'!AQ20*0.5</f>
        <v>1.5</v>
      </c>
      <c r="AR20">
        <f>'Inventory CRP'!AR20*0.5</f>
        <v>5</v>
      </c>
      <c r="AS20">
        <f>'Inventory CRP'!AS20*0.5</f>
        <v>7</v>
      </c>
      <c r="AU20">
        <f>'Inventory CRP'!AU20*0.5</f>
        <v>4</v>
      </c>
      <c r="AV20">
        <f>'Inventory CRP'!AV20*0.5</f>
        <v>1.5</v>
      </c>
      <c r="AW20">
        <f>'Inventory CRP'!AW20*0.5</f>
        <v>5</v>
      </c>
      <c r="AX20">
        <f>'Inventory CRP'!AX20*0.5</f>
        <v>7</v>
      </c>
      <c r="AZ20">
        <f t="shared" si="1"/>
        <v>4.5999999999999996</v>
      </c>
      <c r="BA20">
        <f t="shared" si="1"/>
        <v>0.3</v>
      </c>
      <c r="BB20">
        <f t="shared" si="1"/>
        <v>6.4</v>
      </c>
      <c r="BC20">
        <f t="shared" si="1"/>
        <v>8.15</v>
      </c>
    </row>
    <row r="21" spans="1:55" x14ac:dyDescent="0.35">
      <c r="A21">
        <v>19</v>
      </c>
      <c r="B21">
        <f>'Inventory CRP'!B21*0.5</f>
        <v>9.5</v>
      </c>
      <c r="C21">
        <f>'Inventory CRP'!C21*0.5</f>
        <v>0</v>
      </c>
      <c r="D21">
        <f>'Inventory CRP'!D21*0.5</f>
        <v>6.5</v>
      </c>
      <c r="E21">
        <f>'Inventory CRP'!E21*0.5</f>
        <v>7</v>
      </c>
      <c r="G21">
        <f>'Inventory CRP'!G21*0.5</f>
        <v>12</v>
      </c>
      <c r="H21">
        <f>'Inventory CRP'!H21*0.5</f>
        <v>0</v>
      </c>
      <c r="I21">
        <f>'Inventory CRP'!I21*0.5</f>
        <v>6.5</v>
      </c>
      <c r="J21">
        <f>'Inventory CRP'!J21*0.5</f>
        <v>7.5</v>
      </c>
      <c r="L21">
        <f>'Inventory CRP'!L21*0.5</f>
        <v>8.5</v>
      </c>
      <c r="M21">
        <f>'Inventory CRP'!M21*0.5</f>
        <v>0</v>
      </c>
      <c r="N21">
        <f>'Inventory CRP'!N21*0.5</f>
        <v>6.5</v>
      </c>
      <c r="O21">
        <f>'Inventory CRP'!O21*0.5</f>
        <v>7.5</v>
      </c>
      <c r="Q21">
        <f>'Inventory CRP'!Q21*0.5</f>
        <v>10.5</v>
      </c>
      <c r="R21">
        <f>'Inventory CRP'!R21*0.5</f>
        <v>6</v>
      </c>
      <c r="S21">
        <f>'Inventory CRP'!S21*0.5</f>
        <v>6.5</v>
      </c>
      <c r="T21">
        <f>'Inventory CRP'!T21*0.5</f>
        <v>8</v>
      </c>
      <c r="V21">
        <f>'Inventory CRP'!V21*0.5</f>
        <v>9</v>
      </c>
      <c r="W21">
        <f>'Inventory CRP'!W21*0.5</f>
        <v>0</v>
      </c>
      <c r="X21">
        <f>'Inventory CRP'!X21*0.5</f>
        <v>6.5</v>
      </c>
      <c r="Y21">
        <f>'Inventory CRP'!Y21*0.5</f>
        <v>7.5</v>
      </c>
      <c r="AA21">
        <f>'Inventory CRP'!AA21*0.5</f>
        <v>9</v>
      </c>
      <c r="AB21">
        <f>'Inventory CRP'!AB21*0.5</f>
        <v>0</v>
      </c>
      <c r="AC21">
        <f>'Inventory CRP'!AC21*0.5</f>
        <v>6.5</v>
      </c>
      <c r="AD21">
        <f>'Inventory CRP'!AD21*0.5</f>
        <v>7.5</v>
      </c>
      <c r="AF21">
        <f>'Inventory CRP'!AF21*0.5</f>
        <v>12</v>
      </c>
      <c r="AG21">
        <f>'Inventory CRP'!AG21*0.5</f>
        <v>4.5</v>
      </c>
      <c r="AH21">
        <f>'Inventory CRP'!AH21*0.5</f>
        <v>6</v>
      </c>
      <c r="AI21">
        <f>'Inventory CRP'!AI21*0.5</f>
        <v>7.5</v>
      </c>
      <c r="AK21">
        <f>'Inventory CRP'!AK21*0.5</f>
        <v>8.5</v>
      </c>
      <c r="AL21">
        <f>'Inventory CRP'!AL21*0.5</f>
        <v>0</v>
      </c>
      <c r="AM21">
        <f>'Inventory CRP'!AM21*0.5</f>
        <v>6</v>
      </c>
      <c r="AN21">
        <f>'Inventory CRP'!AN21*0.5</f>
        <v>7.5</v>
      </c>
      <c r="AP21">
        <f>'Inventory CRP'!AP21*0.5</f>
        <v>6</v>
      </c>
      <c r="AQ21">
        <f>'Inventory CRP'!AQ21*0.5</f>
        <v>4</v>
      </c>
      <c r="AR21">
        <f>'Inventory CRP'!AR21*0.5</f>
        <v>4.5</v>
      </c>
      <c r="AS21">
        <f>'Inventory CRP'!AS21*0.5</f>
        <v>5.5</v>
      </c>
      <c r="AU21">
        <f>'Inventory CRP'!AU21*0.5</f>
        <v>6</v>
      </c>
      <c r="AV21">
        <f>'Inventory CRP'!AV21*0.5</f>
        <v>4</v>
      </c>
      <c r="AW21">
        <f>'Inventory CRP'!AW21*0.5</f>
        <v>4.5</v>
      </c>
      <c r="AX21">
        <f>'Inventory CRP'!AX21*0.5</f>
        <v>5.5</v>
      </c>
      <c r="AZ21">
        <f t="shared" si="1"/>
        <v>9.1</v>
      </c>
      <c r="BA21">
        <f t="shared" si="1"/>
        <v>1.85</v>
      </c>
      <c r="BB21">
        <f t="shared" si="1"/>
        <v>6</v>
      </c>
      <c r="BC21">
        <f t="shared" si="1"/>
        <v>7.1</v>
      </c>
    </row>
    <row r="22" spans="1:55" x14ac:dyDescent="0.35">
      <c r="A22">
        <v>20</v>
      </c>
      <c r="B22">
        <f>'Inventory CRP'!B22*0.5</f>
        <v>7.5</v>
      </c>
      <c r="C22">
        <f>'Inventory CRP'!C22*0.5</f>
        <v>19</v>
      </c>
      <c r="D22">
        <f>'Inventory CRP'!D22*0.5</f>
        <v>6.5</v>
      </c>
      <c r="E22">
        <f>'Inventory CRP'!E22*0.5</f>
        <v>2.5</v>
      </c>
      <c r="G22">
        <f>'Inventory CRP'!G22*0.5</f>
        <v>6.5</v>
      </c>
      <c r="H22">
        <f>'Inventory CRP'!H22*0.5</f>
        <v>10.5</v>
      </c>
      <c r="I22">
        <f>'Inventory CRP'!I22*0.5</f>
        <v>6.5</v>
      </c>
      <c r="J22">
        <f>'Inventory CRP'!J22*0.5</f>
        <v>1.5</v>
      </c>
      <c r="L22">
        <f>'Inventory CRP'!L22*0.5</f>
        <v>9</v>
      </c>
      <c r="M22">
        <f>'Inventory CRP'!M22*0.5</f>
        <v>7</v>
      </c>
      <c r="N22">
        <f>'Inventory CRP'!N22*0.5</f>
        <v>6.5</v>
      </c>
      <c r="O22">
        <f>'Inventory CRP'!O22*0.5</f>
        <v>3.5</v>
      </c>
      <c r="Q22">
        <f>'Inventory CRP'!Q22*0.5</f>
        <v>9</v>
      </c>
      <c r="R22">
        <f>'Inventory CRP'!R22*0.5</f>
        <v>15</v>
      </c>
      <c r="S22">
        <f>'Inventory CRP'!S22*0.5</f>
        <v>6.5</v>
      </c>
      <c r="T22">
        <f>'Inventory CRP'!T22*0.5</f>
        <v>4</v>
      </c>
      <c r="V22">
        <f>'Inventory CRP'!V22*0.5</f>
        <v>10</v>
      </c>
      <c r="W22">
        <f>'Inventory CRP'!W22*0.5</f>
        <v>9</v>
      </c>
      <c r="X22">
        <f>'Inventory CRP'!X22*0.5</f>
        <v>6</v>
      </c>
      <c r="Y22">
        <f>'Inventory CRP'!Y22*0.5</f>
        <v>3.5</v>
      </c>
      <c r="AA22">
        <f>'Inventory CRP'!AA22*0.5</f>
        <v>10</v>
      </c>
      <c r="AB22">
        <f>'Inventory CRP'!AB22*0.5</f>
        <v>9</v>
      </c>
      <c r="AC22">
        <f>'Inventory CRP'!AC22*0.5</f>
        <v>6</v>
      </c>
      <c r="AD22">
        <f>'Inventory CRP'!AD22*0.5</f>
        <v>3.5</v>
      </c>
      <c r="AF22">
        <f>'Inventory CRP'!AF22*0.5</f>
        <v>10.5</v>
      </c>
      <c r="AG22">
        <f>'Inventory CRP'!AG22*0.5</f>
        <v>17.5</v>
      </c>
      <c r="AH22">
        <f>'Inventory CRP'!AH22*0.5</f>
        <v>6</v>
      </c>
      <c r="AI22">
        <f>'Inventory CRP'!AI22*0.5</f>
        <v>3.5</v>
      </c>
      <c r="AK22">
        <f>'Inventory CRP'!AK22*0.5</f>
        <v>11.5</v>
      </c>
      <c r="AL22">
        <f>'Inventory CRP'!AL22*0.5</f>
        <v>6</v>
      </c>
      <c r="AM22">
        <f>'Inventory CRP'!AM22*0.5</f>
        <v>6</v>
      </c>
      <c r="AN22">
        <f>'Inventory CRP'!AN22*0.5</f>
        <v>3.5</v>
      </c>
      <c r="AP22">
        <f>'Inventory CRP'!AP22*0.5</f>
        <v>10</v>
      </c>
      <c r="AQ22">
        <f>'Inventory CRP'!AQ22*0.5</f>
        <v>5.5</v>
      </c>
      <c r="AR22">
        <f>'Inventory CRP'!AR22*0.5</f>
        <v>5</v>
      </c>
      <c r="AS22">
        <f>'Inventory CRP'!AS22*0.5</f>
        <v>5</v>
      </c>
      <c r="AU22">
        <f>'Inventory CRP'!AU22*0.5</f>
        <v>10</v>
      </c>
      <c r="AV22">
        <f>'Inventory CRP'!AV22*0.5</f>
        <v>5.5</v>
      </c>
      <c r="AW22">
        <f>'Inventory CRP'!AW22*0.5</f>
        <v>5</v>
      </c>
      <c r="AX22">
        <f>'Inventory CRP'!AX22*0.5</f>
        <v>5</v>
      </c>
      <c r="AZ22">
        <f t="shared" si="1"/>
        <v>9.4</v>
      </c>
      <c r="BA22">
        <f t="shared" si="1"/>
        <v>10.4</v>
      </c>
      <c r="BB22">
        <f t="shared" si="1"/>
        <v>6</v>
      </c>
      <c r="BC22">
        <f t="shared" si="1"/>
        <v>3.55</v>
      </c>
    </row>
    <row r="23" spans="1:55" x14ac:dyDescent="0.35">
      <c r="A23">
        <v>21</v>
      </c>
      <c r="B23">
        <f>'Inventory CRP'!B23*0.5</f>
        <v>1</v>
      </c>
      <c r="C23">
        <f>'Inventory CRP'!C23*0.5</f>
        <v>12.5</v>
      </c>
      <c r="D23">
        <f>'Inventory CRP'!D23*0.5</f>
        <v>6.5</v>
      </c>
      <c r="E23">
        <f>'Inventory CRP'!E23*0.5</f>
        <v>4</v>
      </c>
      <c r="G23">
        <f>'Inventory CRP'!G23*0.5</f>
        <v>5</v>
      </c>
      <c r="H23">
        <f>'Inventory CRP'!H23*0.5</f>
        <v>13</v>
      </c>
      <c r="I23">
        <f>'Inventory CRP'!I23*0.5</f>
        <v>6.5</v>
      </c>
      <c r="J23">
        <f>'Inventory CRP'!J23*0.5</f>
        <v>1.5</v>
      </c>
      <c r="L23">
        <f>'Inventory CRP'!L23*0.5</f>
        <v>7</v>
      </c>
      <c r="M23">
        <f>'Inventory CRP'!M23*0.5</f>
        <v>13</v>
      </c>
      <c r="N23">
        <f>'Inventory CRP'!N23*0.5</f>
        <v>6.5</v>
      </c>
      <c r="O23">
        <f>'Inventory CRP'!O23*0.5</f>
        <v>2.5</v>
      </c>
      <c r="Q23">
        <f>'Inventory CRP'!Q23*0.5</f>
        <v>2.5</v>
      </c>
      <c r="R23">
        <f>'Inventory CRP'!R23*0.5</f>
        <v>17</v>
      </c>
      <c r="S23">
        <f>'Inventory CRP'!S23*0.5</f>
        <v>6</v>
      </c>
      <c r="T23">
        <f>'Inventory CRP'!T23*0.5</f>
        <v>2.5</v>
      </c>
      <c r="V23">
        <f>'Inventory CRP'!V23*0.5</f>
        <v>6.5</v>
      </c>
      <c r="W23">
        <f>'Inventory CRP'!W23*0.5</f>
        <v>17.5</v>
      </c>
      <c r="X23">
        <f>'Inventory CRP'!X23*0.5</f>
        <v>6</v>
      </c>
      <c r="Y23">
        <f>'Inventory CRP'!Y23*0.5</f>
        <v>2.5</v>
      </c>
      <c r="AA23">
        <f>'Inventory CRP'!AA23*0.5</f>
        <v>6.5</v>
      </c>
      <c r="AB23">
        <f>'Inventory CRP'!AB23*0.5</f>
        <v>17.5</v>
      </c>
      <c r="AC23">
        <f>'Inventory CRP'!AC23*0.5</f>
        <v>6</v>
      </c>
      <c r="AD23">
        <f>'Inventory CRP'!AD23*0.5</f>
        <v>2.5</v>
      </c>
      <c r="AF23">
        <f>'Inventory CRP'!AF23*0.5</f>
        <v>2</v>
      </c>
      <c r="AG23">
        <f>'Inventory CRP'!AG23*0.5</f>
        <v>24.5</v>
      </c>
      <c r="AH23">
        <f>'Inventory CRP'!AH23*0.5</f>
        <v>6.5</v>
      </c>
      <c r="AI23">
        <f>'Inventory CRP'!AI23*0.5</f>
        <v>1.5</v>
      </c>
      <c r="AK23">
        <f>'Inventory CRP'!AK23*0.5</f>
        <v>5.5</v>
      </c>
      <c r="AL23">
        <f>'Inventory CRP'!AL23*0.5</f>
        <v>12</v>
      </c>
      <c r="AM23">
        <f>'Inventory CRP'!AM23*0.5</f>
        <v>6.5</v>
      </c>
      <c r="AN23">
        <f>'Inventory CRP'!AN23*0.5</f>
        <v>1.5</v>
      </c>
      <c r="AP23">
        <f>'Inventory CRP'!AP23*0.5</f>
        <v>4.5</v>
      </c>
      <c r="AQ23">
        <f>'Inventory CRP'!AQ23*0.5</f>
        <v>7</v>
      </c>
      <c r="AR23">
        <f>'Inventory CRP'!AR23*0.5</f>
        <v>5</v>
      </c>
      <c r="AS23">
        <f>'Inventory CRP'!AS23*0.5</f>
        <v>3</v>
      </c>
      <c r="AU23">
        <f>'Inventory CRP'!AU23*0.5</f>
        <v>4.5</v>
      </c>
      <c r="AV23">
        <f>'Inventory CRP'!AV23*0.5</f>
        <v>7</v>
      </c>
      <c r="AW23">
        <f>'Inventory CRP'!AW23*0.5</f>
        <v>5</v>
      </c>
      <c r="AX23">
        <f>'Inventory CRP'!AX23*0.5</f>
        <v>3</v>
      </c>
      <c r="AZ23">
        <f t="shared" si="1"/>
        <v>4.5</v>
      </c>
      <c r="BA23">
        <f t="shared" si="1"/>
        <v>14.1</v>
      </c>
      <c r="BB23">
        <f t="shared" si="1"/>
        <v>6.05</v>
      </c>
      <c r="BC23">
        <f t="shared" si="1"/>
        <v>2.4500000000000002</v>
      </c>
    </row>
    <row r="24" spans="1:55" x14ac:dyDescent="0.35">
      <c r="A24">
        <v>22</v>
      </c>
      <c r="B24">
        <f>'Inventory CRP'!B24*0.5</f>
        <v>0</v>
      </c>
      <c r="C24">
        <f>'Inventory CRP'!C24*0.5</f>
        <v>0</v>
      </c>
      <c r="D24">
        <f>'Inventory CRP'!D24*0.5</f>
        <v>6.5</v>
      </c>
      <c r="E24">
        <f>'Inventory CRP'!E24*0.5</f>
        <v>6</v>
      </c>
      <c r="G24">
        <f>'Inventory CRP'!G24*0.5</f>
        <v>0</v>
      </c>
      <c r="H24">
        <f>'Inventory CRP'!H24*0.5</f>
        <v>5.5</v>
      </c>
      <c r="I24">
        <f>'Inventory CRP'!I24*0.5</f>
        <v>6.5</v>
      </c>
      <c r="J24">
        <f>'Inventory CRP'!J24*0.5</f>
        <v>7</v>
      </c>
      <c r="L24">
        <f>'Inventory CRP'!L24*0.5</f>
        <v>0</v>
      </c>
      <c r="M24">
        <f>'Inventory CRP'!M24*0.5</f>
        <v>10.5</v>
      </c>
      <c r="N24">
        <f>'Inventory CRP'!N24*0.5</f>
        <v>6.5</v>
      </c>
      <c r="O24">
        <f>'Inventory CRP'!O24*0.5</f>
        <v>4.5</v>
      </c>
      <c r="Q24">
        <f>'Inventory CRP'!Q24*0.5</f>
        <v>0.5</v>
      </c>
      <c r="R24">
        <f>'Inventory CRP'!R24*0.5</f>
        <v>0</v>
      </c>
      <c r="S24">
        <f>'Inventory CRP'!S24*0.5</f>
        <v>6</v>
      </c>
      <c r="T24">
        <f>'Inventory CRP'!T24*0.5</f>
        <v>4</v>
      </c>
      <c r="V24">
        <f>'Inventory CRP'!V24*0.5</f>
        <v>0</v>
      </c>
      <c r="W24">
        <f>'Inventory CRP'!W24*0.5</f>
        <v>14</v>
      </c>
      <c r="X24">
        <f>'Inventory CRP'!X24*0.5</f>
        <v>6.5</v>
      </c>
      <c r="Y24">
        <f>'Inventory CRP'!Y24*0.5</f>
        <v>3.5</v>
      </c>
      <c r="AA24">
        <f>'Inventory CRP'!AA24*0.5</f>
        <v>0</v>
      </c>
      <c r="AB24">
        <f>'Inventory CRP'!AB24*0.5</f>
        <v>14</v>
      </c>
      <c r="AC24">
        <f>'Inventory CRP'!AC24*0.5</f>
        <v>6.5</v>
      </c>
      <c r="AD24">
        <f>'Inventory CRP'!AD24*0.5</f>
        <v>3.5</v>
      </c>
      <c r="AF24">
        <f>'Inventory CRP'!AF24*0.5</f>
        <v>0</v>
      </c>
      <c r="AG24">
        <f>'Inventory CRP'!AG24*0.5</f>
        <v>6</v>
      </c>
      <c r="AH24">
        <f>'Inventory CRP'!AH24*0.5</f>
        <v>6.5</v>
      </c>
      <c r="AI24">
        <f>'Inventory CRP'!AI24*0.5</f>
        <v>3</v>
      </c>
      <c r="AK24">
        <f>'Inventory CRP'!AK24*0.5</f>
        <v>0</v>
      </c>
      <c r="AL24">
        <f>'Inventory CRP'!AL24*0.5</f>
        <v>9</v>
      </c>
      <c r="AM24">
        <f>'Inventory CRP'!AM24*0.5</f>
        <v>6.5</v>
      </c>
      <c r="AN24">
        <f>'Inventory CRP'!AN24*0.5</f>
        <v>2</v>
      </c>
      <c r="AP24">
        <f>'Inventory CRP'!AP24*0.5</f>
        <v>3.5</v>
      </c>
      <c r="AQ24">
        <f>'Inventory CRP'!AQ24*0.5</f>
        <v>6</v>
      </c>
      <c r="AR24">
        <f>'Inventory CRP'!AR24*0.5</f>
        <v>5</v>
      </c>
      <c r="AS24">
        <f>'Inventory CRP'!AS24*0.5</f>
        <v>4</v>
      </c>
      <c r="AU24">
        <f>'Inventory CRP'!AU24*0.5</f>
        <v>3.5</v>
      </c>
      <c r="AV24">
        <f>'Inventory CRP'!AV24*0.5</f>
        <v>6</v>
      </c>
      <c r="AW24">
        <f>'Inventory CRP'!AW24*0.5</f>
        <v>5</v>
      </c>
      <c r="AX24">
        <f>'Inventory CRP'!AX24*0.5</f>
        <v>4</v>
      </c>
      <c r="AZ24">
        <f t="shared" si="1"/>
        <v>0.75</v>
      </c>
      <c r="BA24">
        <f t="shared" si="1"/>
        <v>7.1</v>
      </c>
      <c r="BB24">
        <f t="shared" si="1"/>
        <v>6.15</v>
      </c>
      <c r="BC24">
        <f t="shared" si="1"/>
        <v>4.1500000000000004</v>
      </c>
    </row>
    <row r="25" spans="1:55" x14ac:dyDescent="0.35">
      <c r="A25">
        <v>23</v>
      </c>
      <c r="B25">
        <f>'Inventory CRP'!B25*0.5</f>
        <v>3.5</v>
      </c>
      <c r="C25">
        <f>'Inventory CRP'!C25*0.5</f>
        <v>0</v>
      </c>
      <c r="D25">
        <f>'Inventory CRP'!D25*0.5</f>
        <v>6.5</v>
      </c>
      <c r="E25">
        <f>'Inventory CRP'!E25*0.5</f>
        <v>7</v>
      </c>
      <c r="G25">
        <f>'Inventory CRP'!G25*0.5</f>
        <v>4.5</v>
      </c>
      <c r="H25">
        <f>'Inventory CRP'!H25*0.5</f>
        <v>0</v>
      </c>
      <c r="I25">
        <f>'Inventory CRP'!I25*0.5</f>
        <v>6.5</v>
      </c>
      <c r="J25">
        <f>'Inventory CRP'!J25*0.5</f>
        <v>8.5</v>
      </c>
      <c r="L25">
        <f>'Inventory CRP'!L25*0.5</f>
        <v>1.5</v>
      </c>
      <c r="M25">
        <f>'Inventory CRP'!M25*0.5</f>
        <v>5.5</v>
      </c>
      <c r="N25">
        <f>'Inventory CRP'!N25*0.5</f>
        <v>6.5</v>
      </c>
      <c r="O25">
        <f>'Inventory CRP'!O25*0.5</f>
        <v>6.5</v>
      </c>
      <c r="Q25">
        <f>'Inventory CRP'!Q25*0.5</f>
        <v>0.5</v>
      </c>
      <c r="R25">
        <f>'Inventory CRP'!R25*0.5</f>
        <v>0</v>
      </c>
      <c r="S25">
        <f>'Inventory CRP'!S25*0.5</f>
        <v>7</v>
      </c>
      <c r="T25">
        <f>'Inventory CRP'!T25*0.5</f>
        <v>4.5</v>
      </c>
      <c r="V25">
        <f>'Inventory CRP'!V25*0.5</f>
        <v>1.5</v>
      </c>
      <c r="W25">
        <f>'Inventory CRP'!W25*0.5</f>
        <v>0</v>
      </c>
      <c r="X25">
        <f>'Inventory CRP'!X25*0.5</f>
        <v>6.5</v>
      </c>
      <c r="Y25">
        <f>'Inventory CRP'!Y25*0.5</f>
        <v>7</v>
      </c>
      <c r="AA25">
        <f>'Inventory CRP'!AA25*0.5</f>
        <v>1.5</v>
      </c>
      <c r="AB25">
        <f>'Inventory CRP'!AB25*0.5</f>
        <v>0</v>
      </c>
      <c r="AC25">
        <f>'Inventory CRP'!AC25*0.5</f>
        <v>6.5</v>
      </c>
      <c r="AD25">
        <f>'Inventory CRP'!AD25*0.5</f>
        <v>7</v>
      </c>
      <c r="AF25">
        <f>'Inventory CRP'!AF25*0.5</f>
        <v>1</v>
      </c>
      <c r="AG25">
        <f>'Inventory CRP'!AG25*0.5</f>
        <v>0</v>
      </c>
      <c r="AH25">
        <f>'Inventory CRP'!AH25*0.5</f>
        <v>6.5</v>
      </c>
      <c r="AI25">
        <f>'Inventory CRP'!AI25*0.5</f>
        <v>7.5</v>
      </c>
      <c r="AK25">
        <f>'Inventory CRP'!AK25*0.5</f>
        <v>1</v>
      </c>
      <c r="AL25">
        <f>'Inventory CRP'!AL25*0.5</f>
        <v>1</v>
      </c>
      <c r="AM25">
        <f>'Inventory CRP'!AM25*0.5</f>
        <v>6.5</v>
      </c>
      <c r="AN25">
        <f>'Inventory CRP'!AN25*0.5</f>
        <v>8.5</v>
      </c>
      <c r="AP25">
        <f>'Inventory CRP'!AP25*0.5</f>
        <v>3</v>
      </c>
      <c r="AQ25">
        <f>'Inventory CRP'!AQ25*0.5</f>
        <v>4</v>
      </c>
      <c r="AR25">
        <f>'Inventory CRP'!AR25*0.5</f>
        <v>5</v>
      </c>
      <c r="AS25">
        <f>'Inventory CRP'!AS25*0.5</f>
        <v>6.5</v>
      </c>
      <c r="AU25">
        <f>'Inventory CRP'!AU25*0.5</f>
        <v>3</v>
      </c>
      <c r="AV25">
        <f>'Inventory CRP'!AV25*0.5</f>
        <v>4</v>
      </c>
      <c r="AW25">
        <f>'Inventory CRP'!AW25*0.5</f>
        <v>5</v>
      </c>
      <c r="AX25">
        <f>'Inventory CRP'!AX25*0.5</f>
        <v>6.5</v>
      </c>
      <c r="AZ25">
        <f t="shared" si="1"/>
        <v>2.1</v>
      </c>
      <c r="BA25">
        <f t="shared" si="1"/>
        <v>1.45</v>
      </c>
      <c r="BB25">
        <f t="shared" si="1"/>
        <v>6.25</v>
      </c>
      <c r="BC25">
        <f t="shared" si="1"/>
        <v>6.95</v>
      </c>
    </row>
    <row r="26" spans="1:55" x14ac:dyDescent="0.35">
      <c r="A26">
        <v>24</v>
      </c>
      <c r="B26">
        <f>'Inventory CRP'!B26*0.5</f>
        <v>9.5</v>
      </c>
      <c r="C26">
        <f>'Inventory CRP'!C26*0.5</f>
        <v>3</v>
      </c>
      <c r="D26">
        <f>'Inventory CRP'!D26*0.5</f>
        <v>6.5</v>
      </c>
      <c r="E26">
        <f>'Inventory CRP'!E26*0.5</f>
        <v>7.5</v>
      </c>
      <c r="G26">
        <f>'Inventory CRP'!G26*0.5</f>
        <v>9</v>
      </c>
      <c r="H26">
        <f>'Inventory CRP'!H26*0.5</f>
        <v>0</v>
      </c>
      <c r="I26">
        <f>'Inventory CRP'!I26*0.5</f>
        <v>6.5</v>
      </c>
      <c r="J26">
        <f>'Inventory CRP'!J26*0.5</f>
        <v>7.5</v>
      </c>
      <c r="L26">
        <f>'Inventory CRP'!L26*0.5</f>
        <v>4</v>
      </c>
      <c r="M26">
        <f>'Inventory CRP'!M26*0.5</f>
        <v>0</v>
      </c>
      <c r="N26">
        <f>'Inventory CRP'!N26*0.5</f>
        <v>6.5</v>
      </c>
      <c r="O26">
        <f>'Inventory CRP'!O26*0.5</f>
        <v>7.5</v>
      </c>
      <c r="Q26">
        <f>'Inventory CRP'!Q26*0.5</f>
        <v>8</v>
      </c>
      <c r="R26">
        <f>'Inventory CRP'!R26*0.5</f>
        <v>0</v>
      </c>
      <c r="S26">
        <f>'Inventory CRP'!S26*0.5</f>
        <v>7</v>
      </c>
      <c r="T26">
        <f>'Inventory CRP'!T26*0.5</f>
        <v>7</v>
      </c>
      <c r="V26">
        <f>'Inventory CRP'!V26*0.5</f>
        <v>4</v>
      </c>
      <c r="W26">
        <f>'Inventory CRP'!W26*0.5</f>
        <v>0</v>
      </c>
      <c r="X26">
        <f>'Inventory CRP'!X26*0.5</f>
        <v>6.5</v>
      </c>
      <c r="Y26">
        <f>'Inventory CRP'!Y26*0.5</f>
        <v>8</v>
      </c>
      <c r="AA26">
        <f>'Inventory CRP'!AA26*0.5</f>
        <v>4</v>
      </c>
      <c r="AB26">
        <f>'Inventory CRP'!AB26*0.5</f>
        <v>0</v>
      </c>
      <c r="AC26">
        <f>'Inventory CRP'!AC26*0.5</f>
        <v>6.5</v>
      </c>
      <c r="AD26">
        <f>'Inventory CRP'!AD26*0.5</f>
        <v>8</v>
      </c>
      <c r="AF26">
        <f>'Inventory CRP'!AF26*0.5</f>
        <v>4.5</v>
      </c>
      <c r="AG26">
        <f>'Inventory CRP'!AG26*0.5</f>
        <v>0</v>
      </c>
      <c r="AH26">
        <f>'Inventory CRP'!AH26*0.5</f>
        <v>6.5</v>
      </c>
      <c r="AI26">
        <f>'Inventory CRP'!AI26*0.5</f>
        <v>8</v>
      </c>
      <c r="AK26">
        <f>'Inventory CRP'!AK26*0.5</f>
        <v>4.5</v>
      </c>
      <c r="AL26">
        <f>'Inventory CRP'!AL26*0.5</f>
        <v>0</v>
      </c>
      <c r="AM26">
        <f>'Inventory CRP'!AM26*0.5</f>
        <v>6.5</v>
      </c>
      <c r="AN26">
        <f>'Inventory CRP'!AN26*0.5</f>
        <v>8</v>
      </c>
      <c r="AP26">
        <f>'Inventory CRP'!AP26*0.5</f>
        <v>6</v>
      </c>
      <c r="AQ26">
        <f>'Inventory CRP'!AQ26*0.5</f>
        <v>3.5</v>
      </c>
      <c r="AR26">
        <f>'Inventory CRP'!AR26*0.5</f>
        <v>4.5</v>
      </c>
      <c r="AS26">
        <f>'Inventory CRP'!AS26*0.5</f>
        <v>6</v>
      </c>
      <c r="AU26">
        <f>'Inventory CRP'!AU26*0.5</f>
        <v>6</v>
      </c>
      <c r="AV26">
        <f>'Inventory CRP'!AV26*0.5</f>
        <v>3.5</v>
      </c>
      <c r="AW26">
        <f>'Inventory CRP'!AW26*0.5</f>
        <v>4.5</v>
      </c>
      <c r="AX26">
        <f>'Inventory CRP'!AX26*0.5</f>
        <v>6</v>
      </c>
      <c r="AZ26">
        <f t="shared" si="1"/>
        <v>5.95</v>
      </c>
      <c r="BA26">
        <f t="shared" si="1"/>
        <v>1</v>
      </c>
      <c r="BB26">
        <f t="shared" si="1"/>
        <v>6.15</v>
      </c>
      <c r="BC26">
        <f t="shared" si="1"/>
        <v>7.35</v>
      </c>
    </row>
    <row r="27" spans="1:55" x14ac:dyDescent="0.35">
      <c r="A27">
        <v>25</v>
      </c>
      <c r="B27">
        <f>'Inventory CRP'!B27*0.5</f>
        <v>8.5</v>
      </c>
      <c r="C27">
        <f>'Inventory CRP'!C27*0.5</f>
        <v>11.5</v>
      </c>
      <c r="D27">
        <f>'Inventory CRP'!D27*0.5</f>
        <v>6.5</v>
      </c>
      <c r="E27">
        <f>'Inventory CRP'!E27*0.5</f>
        <v>4</v>
      </c>
      <c r="G27">
        <f>'Inventory CRP'!G27*0.5</f>
        <v>7.5</v>
      </c>
      <c r="H27">
        <f>'Inventory CRP'!H27*0.5</f>
        <v>6</v>
      </c>
      <c r="I27">
        <f>'Inventory CRP'!I27*0.5</f>
        <v>6.5</v>
      </c>
      <c r="J27">
        <f>'Inventory CRP'!J27*0.5</f>
        <v>3</v>
      </c>
      <c r="L27">
        <f>'Inventory CRP'!L27*0.5</f>
        <v>9</v>
      </c>
      <c r="M27">
        <f>'Inventory CRP'!M27*0.5</f>
        <v>2</v>
      </c>
      <c r="N27">
        <f>'Inventory CRP'!N27*0.5</f>
        <v>6.5</v>
      </c>
      <c r="O27">
        <f>'Inventory CRP'!O27*0.5</f>
        <v>6</v>
      </c>
      <c r="Q27">
        <f>'Inventory CRP'!Q27*0.5</f>
        <v>8.5</v>
      </c>
      <c r="R27">
        <f>'Inventory CRP'!R27*0.5</f>
        <v>7.5</v>
      </c>
      <c r="S27">
        <f>'Inventory CRP'!S27*0.5</f>
        <v>7</v>
      </c>
      <c r="T27">
        <f>'Inventory CRP'!T27*0.5</f>
        <v>7.5</v>
      </c>
      <c r="V27">
        <f>'Inventory CRP'!V27*0.5</f>
        <v>9.5</v>
      </c>
      <c r="W27">
        <f>'Inventory CRP'!W27*0.5</f>
        <v>1.5</v>
      </c>
      <c r="X27">
        <f>'Inventory CRP'!X27*0.5</f>
        <v>6.5</v>
      </c>
      <c r="Y27">
        <f>'Inventory CRP'!Y27*0.5</f>
        <v>6.5</v>
      </c>
      <c r="AA27">
        <f>'Inventory CRP'!AA27*0.5</f>
        <v>9.5</v>
      </c>
      <c r="AB27">
        <f>'Inventory CRP'!AB27*0.5</f>
        <v>1.5</v>
      </c>
      <c r="AC27">
        <f>'Inventory CRP'!AC27*0.5</f>
        <v>6.5</v>
      </c>
      <c r="AD27">
        <f>'Inventory CRP'!AD27*0.5</f>
        <v>6.5</v>
      </c>
      <c r="AF27">
        <f>'Inventory CRP'!AF27*0.5</f>
        <v>12</v>
      </c>
      <c r="AG27">
        <f>'Inventory CRP'!AG27*0.5</f>
        <v>6</v>
      </c>
      <c r="AH27">
        <f>'Inventory CRP'!AH27*0.5</f>
        <v>6</v>
      </c>
      <c r="AI27">
        <f>'Inventory CRP'!AI27*0.5</f>
        <v>6.5</v>
      </c>
      <c r="AK27">
        <f>'Inventory CRP'!AK27*0.5</f>
        <v>11</v>
      </c>
      <c r="AL27">
        <f>'Inventory CRP'!AL27*0.5</f>
        <v>1.5</v>
      </c>
      <c r="AM27">
        <f>'Inventory CRP'!AM27*0.5</f>
        <v>6</v>
      </c>
      <c r="AN27">
        <f>'Inventory CRP'!AN27*0.5</f>
        <v>6.5</v>
      </c>
      <c r="AP27">
        <f>'Inventory CRP'!AP27*0.5</f>
        <v>8</v>
      </c>
      <c r="AQ27">
        <f>'Inventory CRP'!AQ27*0.5</f>
        <v>3.5</v>
      </c>
      <c r="AR27">
        <f>'Inventory CRP'!AR27*0.5</f>
        <v>5</v>
      </c>
      <c r="AS27">
        <f>'Inventory CRP'!AS27*0.5</f>
        <v>6</v>
      </c>
      <c r="AU27">
        <f>'Inventory CRP'!AU27*0.5</f>
        <v>8</v>
      </c>
      <c r="AV27">
        <f>'Inventory CRP'!AV27*0.5</f>
        <v>3.5</v>
      </c>
      <c r="AW27">
        <f>'Inventory CRP'!AW27*0.5</f>
        <v>5</v>
      </c>
      <c r="AX27">
        <f>'Inventory CRP'!AX27*0.5</f>
        <v>6</v>
      </c>
      <c r="AZ27">
        <f t="shared" si="1"/>
        <v>9.15</v>
      </c>
      <c r="BA27">
        <f t="shared" si="1"/>
        <v>4.45</v>
      </c>
      <c r="BB27">
        <f t="shared" si="1"/>
        <v>6.15</v>
      </c>
      <c r="BC27">
        <f t="shared" si="1"/>
        <v>5.85</v>
      </c>
    </row>
    <row r="28" spans="1:55" x14ac:dyDescent="0.35">
      <c r="A28">
        <v>26</v>
      </c>
      <c r="B28">
        <f>'Inventory CRP'!B28*0.5</f>
        <v>4.5</v>
      </c>
      <c r="C28">
        <f>'Inventory CRP'!C28*0.5</f>
        <v>12.5</v>
      </c>
      <c r="D28">
        <f>'Inventory CRP'!D28*0.5</f>
        <v>6.5</v>
      </c>
      <c r="E28">
        <f>'Inventory CRP'!E28*0.5</f>
        <v>4</v>
      </c>
      <c r="G28">
        <f>'Inventory CRP'!G28*0.5</f>
        <v>5.5</v>
      </c>
      <c r="H28">
        <f>'Inventory CRP'!H28*0.5</f>
        <v>12.5</v>
      </c>
      <c r="I28">
        <f>'Inventory CRP'!I28*0.5</f>
        <v>6.5</v>
      </c>
      <c r="J28">
        <f>'Inventory CRP'!J28*0.5</f>
        <v>1.5</v>
      </c>
      <c r="L28">
        <f>'Inventory CRP'!L28*0.5</f>
        <v>8.5</v>
      </c>
      <c r="M28">
        <f>'Inventory CRP'!M28*0.5</f>
        <v>6</v>
      </c>
      <c r="N28">
        <f>'Inventory CRP'!N28*0.5</f>
        <v>6.5</v>
      </c>
      <c r="O28">
        <f>'Inventory CRP'!O28*0.5</f>
        <v>3.5</v>
      </c>
      <c r="Q28">
        <f>'Inventory CRP'!Q28*0.5</f>
        <v>10</v>
      </c>
      <c r="R28">
        <f>'Inventory CRP'!R28*0.5</f>
        <v>10.5</v>
      </c>
      <c r="S28">
        <f>'Inventory CRP'!S28*0.5</f>
        <v>6.5</v>
      </c>
      <c r="T28">
        <f>'Inventory CRP'!T28*0.5</f>
        <v>5.5</v>
      </c>
      <c r="V28">
        <f>'Inventory CRP'!V28*0.5</f>
        <v>9</v>
      </c>
      <c r="W28">
        <f>'Inventory CRP'!W28*0.5</f>
        <v>12</v>
      </c>
      <c r="X28">
        <f>'Inventory CRP'!X28*0.5</f>
        <v>6</v>
      </c>
      <c r="Y28">
        <f>'Inventory CRP'!Y28*0.5</f>
        <v>3.5</v>
      </c>
      <c r="AA28">
        <f>'Inventory CRP'!AA28*0.5</f>
        <v>9</v>
      </c>
      <c r="AB28">
        <f>'Inventory CRP'!AB28*0.5</f>
        <v>12</v>
      </c>
      <c r="AC28">
        <f>'Inventory CRP'!AC28*0.5</f>
        <v>6</v>
      </c>
      <c r="AD28">
        <f>'Inventory CRP'!AD28*0.5</f>
        <v>3.5</v>
      </c>
      <c r="AF28">
        <f>'Inventory CRP'!AF28*0.5</f>
        <v>9</v>
      </c>
      <c r="AG28">
        <f>'Inventory CRP'!AG28*0.5</f>
        <v>24.5</v>
      </c>
      <c r="AH28">
        <f>'Inventory CRP'!AH28*0.5</f>
        <v>6</v>
      </c>
      <c r="AI28">
        <f>'Inventory CRP'!AI28*0.5</f>
        <v>3</v>
      </c>
      <c r="AK28">
        <f>'Inventory CRP'!AK28*0.5</f>
        <v>9</v>
      </c>
      <c r="AL28">
        <f>'Inventory CRP'!AL28*0.5</f>
        <v>8</v>
      </c>
      <c r="AM28">
        <f>'Inventory CRP'!AM28*0.5</f>
        <v>6</v>
      </c>
      <c r="AN28">
        <f>'Inventory CRP'!AN28*0.5</f>
        <v>3</v>
      </c>
      <c r="AP28">
        <f>'Inventory CRP'!AP28*0.5</f>
        <v>6</v>
      </c>
      <c r="AQ28">
        <f>'Inventory CRP'!AQ28*0.5</f>
        <v>6</v>
      </c>
      <c r="AR28">
        <f>'Inventory CRP'!AR28*0.5</f>
        <v>5</v>
      </c>
      <c r="AS28">
        <f>'Inventory CRP'!AS28*0.5</f>
        <v>3</v>
      </c>
      <c r="AU28">
        <f>'Inventory CRP'!AU28*0.5</f>
        <v>6</v>
      </c>
      <c r="AV28">
        <f>'Inventory CRP'!AV28*0.5</f>
        <v>6</v>
      </c>
      <c r="AW28">
        <f>'Inventory CRP'!AW28*0.5</f>
        <v>5</v>
      </c>
      <c r="AX28">
        <f>'Inventory CRP'!AX28*0.5</f>
        <v>3</v>
      </c>
      <c r="AZ28">
        <f t="shared" si="1"/>
        <v>7.65</v>
      </c>
      <c r="BA28">
        <f t="shared" si="1"/>
        <v>11</v>
      </c>
      <c r="BB28">
        <f t="shared" si="1"/>
        <v>6</v>
      </c>
      <c r="BC28">
        <f t="shared" si="1"/>
        <v>3.35</v>
      </c>
    </row>
    <row r="29" spans="1:55" x14ac:dyDescent="0.35">
      <c r="A29">
        <v>27</v>
      </c>
      <c r="B29">
        <f>'Inventory CRP'!B29*0.5</f>
        <v>0</v>
      </c>
      <c r="C29">
        <f>'Inventory CRP'!C29*0.5</f>
        <v>0.5</v>
      </c>
      <c r="D29">
        <f>'Inventory CRP'!D29*0.5</f>
        <v>6.5</v>
      </c>
      <c r="E29">
        <f>'Inventory CRP'!E29*0.5</f>
        <v>5</v>
      </c>
      <c r="G29">
        <f>'Inventory CRP'!G29*0.5</f>
        <v>0</v>
      </c>
      <c r="H29">
        <f>'Inventory CRP'!H29*0.5</f>
        <v>11.5</v>
      </c>
      <c r="I29">
        <f>'Inventory CRP'!I29*0.5</f>
        <v>6.5</v>
      </c>
      <c r="J29">
        <f>'Inventory CRP'!J29*0.5</f>
        <v>6</v>
      </c>
      <c r="L29">
        <f>'Inventory CRP'!L29*0.5</f>
        <v>5</v>
      </c>
      <c r="M29">
        <f>'Inventory CRP'!M29*0.5</f>
        <v>13</v>
      </c>
      <c r="N29">
        <f>'Inventory CRP'!N29*0.5</f>
        <v>6.5</v>
      </c>
      <c r="O29">
        <f>'Inventory CRP'!O29*0.5</f>
        <v>3.5</v>
      </c>
      <c r="Q29">
        <f>'Inventory CRP'!Q29*0.5</f>
        <v>6</v>
      </c>
      <c r="R29">
        <f>'Inventory CRP'!R29*0.5</f>
        <v>6</v>
      </c>
      <c r="S29">
        <f>'Inventory CRP'!S29*0.5</f>
        <v>6</v>
      </c>
      <c r="T29">
        <f>'Inventory CRP'!T29*0.5</f>
        <v>5</v>
      </c>
      <c r="V29">
        <f>'Inventory CRP'!V29*0.5</f>
        <v>5.5</v>
      </c>
      <c r="W29">
        <f>'Inventory CRP'!W29*0.5</f>
        <v>18</v>
      </c>
      <c r="X29">
        <f>'Inventory CRP'!X29*0.5</f>
        <v>6</v>
      </c>
      <c r="Y29">
        <f>'Inventory CRP'!Y29*0.5</f>
        <v>4</v>
      </c>
      <c r="AA29">
        <f>'Inventory CRP'!AA29*0.5</f>
        <v>5.5</v>
      </c>
      <c r="AB29">
        <f>'Inventory CRP'!AB29*0.5</f>
        <v>18</v>
      </c>
      <c r="AC29">
        <f>'Inventory CRP'!AC29*0.5</f>
        <v>6</v>
      </c>
      <c r="AD29">
        <f>'Inventory CRP'!AD29*0.5</f>
        <v>4</v>
      </c>
      <c r="AF29">
        <f>'Inventory CRP'!AF29*0.5</f>
        <v>0</v>
      </c>
      <c r="AG29">
        <f>'Inventory CRP'!AG29*0.5</f>
        <v>21.5</v>
      </c>
      <c r="AH29">
        <f>'Inventory CRP'!AH29*0.5</f>
        <v>6.5</v>
      </c>
      <c r="AI29">
        <f>'Inventory CRP'!AI29*0.5</f>
        <v>1.5</v>
      </c>
      <c r="AK29">
        <f>'Inventory CRP'!AK29*0.5</f>
        <v>4.5</v>
      </c>
      <c r="AL29">
        <f>'Inventory CRP'!AL29*0.5</f>
        <v>13</v>
      </c>
      <c r="AM29">
        <f>'Inventory CRP'!AM29*0.5</f>
        <v>6.5</v>
      </c>
      <c r="AN29">
        <f>'Inventory CRP'!AN29*0.5</f>
        <v>1.5</v>
      </c>
      <c r="AP29">
        <f>'Inventory CRP'!AP29*0.5</f>
        <v>5.5</v>
      </c>
      <c r="AQ29">
        <f>'Inventory CRP'!AQ29*0.5</f>
        <v>6</v>
      </c>
      <c r="AR29">
        <f>'Inventory CRP'!AR29*0.5</f>
        <v>5</v>
      </c>
      <c r="AS29">
        <f>'Inventory CRP'!AS29*0.5</f>
        <v>3.5</v>
      </c>
      <c r="AU29">
        <f>'Inventory CRP'!AU29*0.5</f>
        <v>5.5</v>
      </c>
      <c r="AV29">
        <f>'Inventory CRP'!AV29*0.5</f>
        <v>6</v>
      </c>
      <c r="AW29">
        <f>'Inventory CRP'!AW29*0.5</f>
        <v>5</v>
      </c>
      <c r="AX29">
        <f>'Inventory CRP'!AX29*0.5</f>
        <v>3.5</v>
      </c>
      <c r="AZ29">
        <f t="shared" si="1"/>
        <v>3.75</v>
      </c>
      <c r="BA29">
        <f t="shared" si="1"/>
        <v>11.35</v>
      </c>
      <c r="BB29">
        <f t="shared" si="1"/>
        <v>6.05</v>
      </c>
      <c r="BC29">
        <f t="shared" si="1"/>
        <v>3.75</v>
      </c>
    </row>
    <row r="30" spans="1:55" x14ac:dyDescent="0.35">
      <c r="A30">
        <v>28</v>
      </c>
      <c r="B30">
        <f>'Inventory CRP'!B30*0.5</f>
        <v>2</v>
      </c>
      <c r="C30">
        <f>'Inventory CRP'!C30*0.5</f>
        <v>0</v>
      </c>
      <c r="D30">
        <f>'Inventory CRP'!D30*0.5</f>
        <v>6.5</v>
      </c>
      <c r="E30">
        <f>'Inventory CRP'!E30*0.5</f>
        <v>6</v>
      </c>
      <c r="G30">
        <f>'Inventory CRP'!G30*0.5</f>
        <v>3</v>
      </c>
      <c r="H30">
        <f>'Inventory CRP'!H30*0.5</f>
        <v>0</v>
      </c>
      <c r="I30">
        <f>'Inventory CRP'!I30*0.5</f>
        <v>6.5</v>
      </c>
      <c r="J30">
        <f>'Inventory CRP'!J30*0.5</f>
        <v>8</v>
      </c>
      <c r="L30">
        <f>'Inventory CRP'!L30*0.5</f>
        <v>0.5</v>
      </c>
      <c r="M30">
        <f>'Inventory CRP'!M30*0.5</f>
        <v>7</v>
      </c>
      <c r="N30">
        <f>'Inventory CRP'!N30*0.5</f>
        <v>6.5</v>
      </c>
      <c r="O30">
        <f>'Inventory CRP'!O30*0.5</f>
        <v>5</v>
      </c>
      <c r="Q30">
        <f>'Inventory CRP'!Q30*0.5</f>
        <v>1</v>
      </c>
      <c r="R30">
        <f>'Inventory CRP'!R30*0.5</f>
        <v>6</v>
      </c>
      <c r="S30">
        <f>'Inventory CRP'!S30*0.5</f>
        <v>6.5</v>
      </c>
      <c r="T30">
        <f>'Inventory CRP'!T30*0.5</f>
        <v>3</v>
      </c>
      <c r="V30">
        <f>'Inventory CRP'!V30*0.5</f>
        <v>0</v>
      </c>
      <c r="W30">
        <f>'Inventory CRP'!W30*0.5</f>
        <v>8.5</v>
      </c>
      <c r="X30">
        <f>'Inventory CRP'!X30*0.5</f>
        <v>6.5</v>
      </c>
      <c r="Y30">
        <f>'Inventory CRP'!Y30*0.5</f>
        <v>4.5</v>
      </c>
      <c r="AA30">
        <f>'Inventory CRP'!AA30*0.5</f>
        <v>0</v>
      </c>
      <c r="AB30">
        <f>'Inventory CRP'!AB30*0.5</f>
        <v>8.5</v>
      </c>
      <c r="AC30">
        <f>'Inventory CRP'!AC30*0.5</f>
        <v>6.5</v>
      </c>
      <c r="AD30">
        <f>'Inventory CRP'!AD30*0.5</f>
        <v>4.5</v>
      </c>
      <c r="AF30">
        <f>'Inventory CRP'!AF30*0.5</f>
        <v>0</v>
      </c>
      <c r="AG30">
        <f>'Inventory CRP'!AG30*0.5</f>
        <v>4.5</v>
      </c>
      <c r="AH30">
        <f>'Inventory CRP'!AH30*0.5</f>
        <v>6.5</v>
      </c>
      <c r="AI30">
        <f>'Inventory CRP'!AI30*0.5</f>
        <v>4.5</v>
      </c>
      <c r="AK30">
        <f>'Inventory CRP'!AK30*0.5</f>
        <v>0</v>
      </c>
      <c r="AL30">
        <f>'Inventory CRP'!AL30*0.5</f>
        <v>7</v>
      </c>
      <c r="AM30">
        <f>'Inventory CRP'!AM30*0.5</f>
        <v>6.5</v>
      </c>
      <c r="AN30">
        <f>'Inventory CRP'!AN30*0.5</f>
        <v>4.5</v>
      </c>
      <c r="AP30">
        <f>'Inventory CRP'!AP30*0.5</f>
        <v>2</v>
      </c>
      <c r="AQ30">
        <f>'Inventory CRP'!AQ30*0.5</f>
        <v>6</v>
      </c>
      <c r="AR30">
        <f>'Inventory CRP'!AR30*0.5</f>
        <v>5</v>
      </c>
      <c r="AS30">
        <f>'Inventory CRP'!AS30*0.5</f>
        <v>5.5</v>
      </c>
      <c r="AU30">
        <f>'Inventory CRP'!AU30*0.5</f>
        <v>2</v>
      </c>
      <c r="AV30">
        <f>'Inventory CRP'!AV30*0.5</f>
        <v>6</v>
      </c>
      <c r="AW30">
        <f>'Inventory CRP'!AW30*0.5</f>
        <v>5</v>
      </c>
      <c r="AX30">
        <f>'Inventory CRP'!AX30*0.5</f>
        <v>5.5</v>
      </c>
      <c r="AZ30">
        <f t="shared" si="1"/>
        <v>1.05</v>
      </c>
      <c r="BA30">
        <f t="shared" si="1"/>
        <v>5.35</v>
      </c>
      <c r="BB30">
        <f t="shared" si="1"/>
        <v>6.2</v>
      </c>
      <c r="BC30">
        <f t="shared" si="1"/>
        <v>5.0999999999999996</v>
      </c>
    </row>
    <row r="31" spans="1:55" x14ac:dyDescent="0.35">
      <c r="A31">
        <v>29</v>
      </c>
      <c r="B31">
        <f>'Inventory CRP'!B31*0.5</f>
        <v>9</v>
      </c>
      <c r="C31">
        <f>'Inventory CRP'!C31*0.5</f>
        <v>0</v>
      </c>
      <c r="D31">
        <f>'Inventory CRP'!D31*0.5</f>
        <v>6.5</v>
      </c>
      <c r="E31">
        <f>'Inventory CRP'!E31*0.5</f>
        <v>7.5</v>
      </c>
      <c r="G31">
        <f>'Inventory CRP'!G31*0.5</f>
        <v>8.5</v>
      </c>
      <c r="H31">
        <f>'Inventory CRP'!H31*0.5</f>
        <v>0</v>
      </c>
      <c r="I31">
        <f>'Inventory CRP'!I31*0.5</f>
        <v>6.5</v>
      </c>
      <c r="J31">
        <f>'Inventory CRP'!J31*0.5</f>
        <v>7.5</v>
      </c>
      <c r="L31">
        <f>'Inventory CRP'!L31*0.5</f>
        <v>2</v>
      </c>
      <c r="M31">
        <f>'Inventory CRP'!M31*0.5</f>
        <v>0.5</v>
      </c>
      <c r="N31">
        <f>'Inventory CRP'!N31*0.5</f>
        <v>6.5</v>
      </c>
      <c r="O31">
        <f>'Inventory CRP'!O31*0.5</f>
        <v>6.5</v>
      </c>
      <c r="Q31">
        <f>'Inventory CRP'!Q31*0.5</f>
        <v>3.5</v>
      </c>
      <c r="R31">
        <f>'Inventory CRP'!R31*0.5</f>
        <v>0</v>
      </c>
      <c r="S31">
        <f>'Inventory CRP'!S31*0.5</f>
        <v>6.5</v>
      </c>
      <c r="T31">
        <f>'Inventory CRP'!T31*0.5</f>
        <v>3.5</v>
      </c>
      <c r="V31">
        <f>'Inventory CRP'!V31*0.5</f>
        <v>2.5</v>
      </c>
      <c r="W31">
        <f>'Inventory CRP'!W31*0.5</f>
        <v>0</v>
      </c>
      <c r="X31">
        <f>'Inventory CRP'!X31*0.5</f>
        <v>6.5</v>
      </c>
      <c r="Y31">
        <f>'Inventory CRP'!Y31*0.5</f>
        <v>6.5</v>
      </c>
      <c r="AA31">
        <f>'Inventory CRP'!AA31*0.5</f>
        <v>2.5</v>
      </c>
      <c r="AB31">
        <f>'Inventory CRP'!AB31*0.5</f>
        <v>0</v>
      </c>
      <c r="AC31">
        <f>'Inventory CRP'!AC31*0.5</f>
        <v>6.5</v>
      </c>
      <c r="AD31">
        <f>'Inventory CRP'!AD31*0.5</f>
        <v>6.5</v>
      </c>
      <c r="AF31">
        <f>'Inventory CRP'!AF31*0.5</f>
        <v>2</v>
      </c>
      <c r="AG31">
        <f>'Inventory CRP'!AG31*0.5</f>
        <v>0</v>
      </c>
      <c r="AH31">
        <f>'Inventory CRP'!AH31*0.5</f>
        <v>6.5</v>
      </c>
      <c r="AI31">
        <f>'Inventory CRP'!AI31*0.5</f>
        <v>8</v>
      </c>
      <c r="AK31">
        <f>'Inventory CRP'!AK31*0.5</f>
        <v>2</v>
      </c>
      <c r="AL31">
        <f>'Inventory CRP'!AL31*0.5</f>
        <v>0</v>
      </c>
      <c r="AM31">
        <f>'Inventory CRP'!AM31*0.5</f>
        <v>6.5</v>
      </c>
      <c r="AN31">
        <f>'Inventory CRP'!AN31*0.5</f>
        <v>8</v>
      </c>
      <c r="AP31">
        <f>'Inventory CRP'!AP31*0.5</f>
        <v>5.5</v>
      </c>
      <c r="AQ31">
        <f>'Inventory CRP'!AQ31*0.5</f>
        <v>4</v>
      </c>
      <c r="AR31">
        <f>'Inventory CRP'!AR31*0.5</f>
        <v>4.5</v>
      </c>
      <c r="AS31">
        <f>'Inventory CRP'!AS31*0.5</f>
        <v>6</v>
      </c>
      <c r="AU31">
        <f>'Inventory CRP'!AU31*0.5</f>
        <v>5.5</v>
      </c>
      <c r="AV31">
        <f>'Inventory CRP'!AV31*0.5</f>
        <v>4</v>
      </c>
      <c r="AW31">
        <f>'Inventory CRP'!AW31*0.5</f>
        <v>4.5</v>
      </c>
      <c r="AX31">
        <f>'Inventory CRP'!AX31*0.5</f>
        <v>6</v>
      </c>
      <c r="AZ31">
        <f t="shared" si="1"/>
        <v>4.3</v>
      </c>
      <c r="BA31">
        <f t="shared" si="1"/>
        <v>0.85</v>
      </c>
      <c r="BB31">
        <f t="shared" si="1"/>
        <v>6.1</v>
      </c>
      <c r="BC31">
        <f t="shared" si="1"/>
        <v>6.6</v>
      </c>
    </row>
    <row r="32" spans="1:55" x14ac:dyDescent="0.35">
      <c r="A32">
        <v>30</v>
      </c>
      <c r="B32">
        <f>'Inventory CRP'!B32*0.5</f>
        <v>9</v>
      </c>
      <c r="C32">
        <f>'Inventory CRP'!C32*0.5</f>
        <v>9</v>
      </c>
      <c r="D32">
        <f>'Inventory CRP'!D32*0.5</f>
        <v>6.5</v>
      </c>
      <c r="E32">
        <f>'Inventory CRP'!E32*0.5</f>
        <v>5.5</v>
      </c>
      <c r="G32">
        <f>'Inventory CRP'!G32*0.5</f>
        <v>8.5</v>
      </c>
      <c r="H32">
        <f>'Inventory CRP'!H32*0.5</f>
        <v>4</v>
      </c>
      <c r="I32">
        <f>'Inventory CRP'!I32*0.5</f>
        <v>6.5</v>
      </c>
      <c r="J32">
        <f>'Inventory CRP'!J32*0.5</f>
        <v>4.5</v>
      </c>
      <c r="L32">
        <f>'Inventory CRP'!L32*0.5</f>
        <v>4.5</v>
      </c>
      <c r="M32">
        <f>'Inventory CRP'!M32*0.5</f>
        <v>0</v>
      </c>
      <c r="N32">
        <f>'Inventory CRP'!N32*0.5</f>
        <v>6.5</v>
      </c>
      <c r="O32">
        <f>'Inventory CRP'!O32*0.5</f>
        <v>7</v>
      </c>
      <c r="Q32">
        <f>'Inventory CRP'!Q32*0.5</f>
        <v>0.5</v>
      </c>
      <c r="R32">
        <f>'Inventory CRP'!R32*0.5</f>
        <v>0</v>
      </c>
      <c r="S32">
        <f>'Inventory CRP'!S32*0.5</f>
        <v>7</v>
      </c>
      <c r="T32">
        <f>'Inventory CRP'!T32*0.5</f>
        <v>6.5</v>
      </c>
      <c r="V32">
        <f>'Inventory CRP'!V32*0.5</f>
        <v>5</v>
      </c>
      <c r="W32">
        <f>'Inventory CRP'!W32*0.5</f>
        <v>0</v>
      </c>
      <c r="X32">
        <f>'Inventory CRP'!X32*0.5</f>
        <v>6.5</v>
      </c>
      <c r="Y32">
        <f>'Inventory CRP'!Y32*0.5</f>
        <v>8</v>
      </c>
      <c r="AA32">
        <f>'Inventory CRP'!AA32*0.5</f>
        <v>5</v>
      </c>
      <c r="AB32">
        <f>'Inventory CRP'!AB32*0.5</f>
        <v>0</v>
      </c>
      <c r="AC32">
        <f>'Inventory CRP'!AC32*0.5</f>
        <v>6.5</v>
      </c>
      <c r="AD32">
        <f>'Inventory CRP'!AD32*0.5</f>
        <v>8</v>
      </c>
      <c r="AF32">
        <f>'Inventory CRP'!AF32*0.5</f>
        <v>7</v>
      </c>
      <c r="AG32">
        <f>'Inventory CRP'!AG32*0.5</f>
        <v>0</v>
      </c>
      <c r="AH32">
        <f>'Inventory CRP'!AH32*0.5</f>
        <v>6.5</v>
      </c>
      <c r="AI32">
        <f>'Inventory CRP'!AI32*0.5</f>
        <v>8</v>
      </c>
      <c r="AK32">
        <f>'Inventory CRP'!AK32*0.5</f>
        <v>5.5</v>
      </c>
      <c r="AL32">
        <f>'Inventory CRP'!AL32*0.5</f>
        <v>0</v>
      </c>
      <c r="AM32">
        <f>'Inventory CRP'!AM32*0.5</f>
        <v>6.5</v>
      </c>
      <c r="AN32">
        <f>'Inventory CRP'!AN32*0.5</f>
        <v>8</v>
      </c>
      <c r="AP32">
        <f>'Inventory CRP'!AP32*0.5</f>
        <v>6</v>
      </c>
      <c r="AQ32">
        <f>'Inventory CRP'!AQ32*0.5</f>
        <v>1.5</v>
      </c>
      <c r="AR32">
        <f>'Inventory CRP'!AR32*0.5</f>
        <v>3.5</v>
      </c>
      <c r="AS32">
        <f>'Inventory CRP'!AS32*0.5</f>
        <v>7</v>
      </c>
      <c r="AU32">
        <f>'Inventory CRP'!AU32*0.5</f>
        <v>6</v>
      </c>
      <c r="AV32">
        <f>'Inventory CRP'!AV32*0.5</f>
        <v>1.5</v>
      </c>
      <c r="AW32">
        <f>'Inventory CRP'!AW32*0.5</f>
        <v>3.5</v>
      </c>
      <c r="AX32">
        <f>'Inventory CRP'!AX32*0.5</f>
        <v>7</v>
      </c>
      <c r="AZ32">
        <f t="shared" si="1"/>
        <v>5.7</v>
      </c>
      <c r="BA32">
        <f t="shared" si="1"/>
        <v>1.6</v>
      </c>
      <c r="BB32">
        <f t="shared" si="1"/>
        <v>5.95</v>
      </c>
      <c r="BC32">
        <f t="shared" si="1"/>
        <v>6.95</v>
      </c>
    </row>
    <row r="33" spans="1:55" x14ac:dyDescent="0.35">
      <c r="A33">
        <v>31</v>
      </c>
      <c r="B33">
        <f>'Inventory CRP'!B33*0.5</f>
        <v>8</v>
      </c>
      <c r="C33">
        <f>'Inventory CRP'!C33*0.5</f>
        <v>13</v>
      </c>
      <c r="D33">
        <f>'Inventory CRP'!D33*0.5</f>
        <v>6.5</v>
      </c>
      <c r="E33">
        <f>'Inventory CRP'!E33*0.5</f>
        <v>4</v>
      </c>
      <c r="G33">
        <f>'Inventory CRP'!G33*0.5</f>
        <v>6</v>
      </c>
      <c r="H33">
        <f>'Inventory CRP'!H33*0.5</f>
        <v>12</v>
      </c>
      <c r="I33">
        <f>'Inventory CRP'!I33*0.5</f>
        <v>6.5</v>
      </c>
      <c r="J33">
        <f>'Inventory CRP'!J33*0.5</f>
        <v>1.5</v>
      </c>
      <c r="L33">
        <f>'Inventory CRP'!L33*0.5</f>
        <v>9</v>
      </c>
      <c r="M33">
        <f>'Inventory CRP'!M33*0.5</f>
        <v>3</v>
      </c>
      <c r="N33">
        <f>'Inventory CRP'!N33*0.5</f>
        <v>6.5</v>
      </c>
      <c r="O33">
        <f>'Inventory CRP'!O33*0.5</f>
        <v>5.5</v>
      </c>
      <c r="Q33">
        <f>'Inventory CRP'!Q33*0.5</f>
        <v>8</v>
      </c>
      <c r="R33">
        <f>'Inventory CRP'!R33*0.5</f>
        <v>5</v>
      </c>
      <c r="S33">
        <f>'Inventory CRP'!S33*0.5</f>
        <v>7</v>
      </c>
      <c r="T33">
        <f>'Inventory CRP'!T33*0.5</f>
        <v>6.5</v>
      </c>
      <c r="V33">
        <f>'Inventory CRP'!V33*0.5</f>
        <v>9.5</v>
      </c>
      <c r="W33">
        <f>'Inventory CRP'!W33*0.5</f>
        <v>3</v>
      </c>
      <c r="X33">
        <f>'Inventory CRP'!X33*0.5</f>
        <v>6.5</v>
      </c>
      <c r="Y33">
        <f>'Inventory CRP'!Y33*0.5</f>
        <v>5.5</v>
      </c>
      <c r="AA33">
        <f>'Inventory CRP'!AA33*0.5</f>
        <v>9.5</v>
      </c>
      <c r="AB33">
        <f>'Inventory CRP'!AB33*0.5</f>
        <v>3</v>
      </c>
      <c r="AC33">
        <f>'Inventory CRP'!AC33*0.5</f>
        <v>6.5</v>
      </c>
      <c r="AD33">
        <f>'Inventory CRP'!AD33*0.5</f>
        <v>5.5</v>
      </c>
      <c r="AF33">
        <f>'Inventory CRP'!AF33*0.5</f>
        <v>11.5</v>
      </c>
      <c r="AG33">
        <f>'Inventory CRP'!AG33*0.5</f>
        <v>7.5</v>
      </c>
      <c r="AH33">
        <f>'Inventory CRP'!AH33*0.5</f>
        <v>6</v>
      </c>
      <c r="AI33">
        <f>'Inventory CRP'!AI33*0.5</f>
        <v>5.5</v>
      </c>
      <c r="AK33">
        <f>'Inventory CRP'!AK33*0.5</f>
        <v>11.5</v>
      </c>
      <c r="AL33">
        <f>'Inventory CRP'!AL33*0.5</f>
        <v>3</v>
      </c>
      <c r="AM33">
        <f>'Inventory CRP'!AM33*0.5</f>
        <v>6</v>
      </c>
      <c r="AN33">
        <f>'Inventory CRP'!AN33*0.5</f>
        <v>5.5</v>
      </c>
      <c r="AP33">
        <f>'Inventory CRP'!AP33*0.5</f>
        <v>6.5</v>
      </c>
      <c r="AQ33">
        <f>'Inventory CRP'!AQ33*0.5</f>
        <v>6</v>
      </c>
      <c r="AR33">
        <f>'Inventory CRP'!AR33*0.5</f>
        <v>5</v>
      </c>
      <c r="AS33">
        <f>'Inventory CRP'!AS33*0.5</f>
        <v>3.5</v>
      </c>
      <c r="AU33">
        <f>'Inventory CRP'!AU33*0.5</f>
        <v>6.5</v>
      </c>
      <c r="AV33">
        <f>'Inventory CRP'!AV33*0.5</f>
        <v>6</v>
      </c>
      <c r="AW33">
        <f>'Inventory CRP'!AW33*0.5</f>
        <v>5</v>
      </c>
      <c r="AX33">
        <f>'Inventory CRP'!AX33*0.5</f>
        <v>3.5</v>
      </c>
      <c r="AZ33">
        <f t="shared" si="1"/>
        <v>8.6</v>
      </c>
      <c r="BA33">
        <f t="shared" si="1"/>
        <v>6.15</v>
      </c>
      <c r="BB33">
        <f t="shared" si="1"/>
        <v>6.15</v>
      </c>
      <c r="BC33">
        <f t="shared" si="1"/>
        <v>4.6500000000000004</v>
      </c>
    </row>
    <row r="34" spans="1:55" x14ac:dyDescent="0.35">
      <c r="A34">
        <v>32</v>
      </c>
      <c r="B34">
        <f>'Inventory CRP'!B34*0.5</f>
        <v>0.5</v>
      </c>
      <c r="C34">
        <f>'Inventory CRP'!C34*0.5</f>
        <v>9.5</v>
      </c>
      <c r="D34">
        <f>'Inventory CRP'!D34*0.5</f>
        <v>6.5</v>
      </c>
      <c r="E34">
        <f>'Inventory CRP'!E34*0.5</f>
        <v>4.5</v>
      </c>
      <c r="G34">
        <f>'Inventory CRP'!G34*0.5</f>
        <v>1</v>
      </c>
      <c r="H34">
        <f>'Inventory CRP'!H34*0.5</f>
        <v>12.5</v>
      </c>
      <c r="I34">
        <f>'Inventory CRP'!I34*0.5</f>
        <v>6.5</v>
      </c>
      <c r="J34">
        <f>'Inventory CRP'!J34*0.5</f>
        <v>5</v>
      </c>
      <c r="L34">
        <f>'Inventory CRP'!L34*0.5</f>
        <v>8.5</v>
      </c>
      <c r="M34">
        <f>'Inventory CRP'!M34*0.5</f>
        <v>6</v>
      </c>
      <c r="N34">
        <f>'Inventory CRP'!N34*0.5</f>
        <v>6.5</v>
      </c>
      <c r="O34">
        <f>'Inventory CRP'!O34*0.5</f>
        <v>4</v>
      </c>
      <c r="Q34">
        <f>'Inventory CRP'!Q34*0.5</f>
        <v>10.5</v>
      </c>
      <c r="R34">
        <f>'Inventory CRP'!R34*0.5</f>
        <v>3</v>
      </c>
      <c r="S34">
        <f>'Inventory CRP'!S34*0.5</f>
        <v>6.5</v>
      </c>
      <c r="T34">
        <f>'Inventory CRP'!T34*0.5</f>
        <v>7</v>
      </c>
      <c r="V34">
        <f>'Inventory CRP'!V34*0.5</f>
        <v>9</v>
      </c>
      <c r="W34">
        <f>'Inventory CRP'!W34*0.5</f>
        <v>12.5</v>
      </c>
      <c r="X34">
        <f>'Inventory CRP'!X34*0.5</f>
        <v>6</v>
      </c>
      <c r="Y34">
        <f>'Inventory CRP'!Y34*0.5</f>
        <v>4.5</v>
      </c>
      <c r="AA34">
        <f>'Inventory CRP'!AA34*0.5</f>
        <v>9</v>
      </c>
      <c r="AB34">
        <f>'Inventory CRP'!AB34*0.5</f>
        <v>12.5</v>
      </c>
      <c r="AC34">
        <f>'Inventory CRP'!AC34*0.5</f>
        <v>6</v>
      </c>
      <c r="AD34">
        <f>'Inventory CRP'!AD34*0.5</f>
        <v>4.5</v>
      </c>
      <c r="AF34">
        <f>'Inventory CRP'!AF34*0.5</f>
        <v>8.5</v>
      </c>
      <c r="AG34">
        <f>'Inventory CRP'!AG34*0.5</f>
        <v>29.5</v>
      </c>
      <c r="AH34">
        <f>'Inventory CRP'!AH34*0.5</f>
        <v>6</v>
      </c>
      <c r="AI34">
        <f>'Inventory CRP'!AI34*0.5</f>
        <v>2</v>
      </c>
      <c r="AK34">
        <f>'Inventory CRP'!AK34*0.5</f>
        <v>8.5</v>
      </c>
      <c r="AL34">
        <f>'Inventory CRP'!AL34*0.5</f>
        <v>9.5</v>
      </c>
      <c r="AM34">
        <f>'Inventory CRP'!AM34*0.5</f>
        <v>6</v>
      </c>
      <c r="AN34">
        <f>'Inventory CRP'!AN34*0.5</f>
        <v>2</v>
      </c>
      <c r="AP34">
        <f>'Inventory CRP'!AP34*0.5</f>
        <v>8</v>
      </c>
      <c r="AQ34">
        <f>'Inventory CRP'!AQ34*0.5</f>
        <v>6</v>
      </c>
      <c r="AR34">
        <f>'Inventory CRP'!AR34*0.5</f>
        <v>5</v>
      </c>
      <c r="AS34">
        <f>'Inventory CRP'!AS34*0.5</f>
        <v>2.5</v>
      </c>
      <c r="AU34">
        <f>'Inventory CRP'!AU34*0.5</f>
        <v>8</v>
      </c>
      <c r="AV34">
        <f>'Inventory CRP'!AV34*0.5</f>
        <v>6</v>
      </c>
      <c r="AW34">
        <f>'Inventory CRP'!AW34*0.5</f>
        <v>5</v>
      </c>
      <c r="AX34">
        <f>'Inventory CRP'!AX34*0.5</f>
        <v>2.5</v>
      </c>
      <c r="AZ34">
        <f t="shared" si="1"/>
        <v>7.15</v>
      </c>
      <c r="BA34">
        <f t="shared" si="1"/>
        <v>10.7</v>
      </c>
      <c r="BB34">
        <f t="shared" si="1"/>
        <v>6</v>
      </c>
      <c r="BC34">
        <f t="shared" si="1"/>
        <v>3.85</v>
      </c>
    </row>
    <row r="35" spans="1:55" x14ac:dyDescent="0.35">
      <c r="A35">
        <v>33</v>
      </c>
      <c r="B35">
        <f>'Inventory CRP'!B35*0.5</f>
        <v>1</v>
      </c>
      <c r="C35">
        <f>'Inventory CRP'!C35*0.5</f>
        <v>0</v>
      </c>
      <c r="D35">
        <f>'Inventory CRP'!D35*0.5</f>
        <v>6.5</v>
      </c>
      <c r="E35">
        <f>'Inventory CRP'!E35*0.5</f>
        <v>5.5</v>
      </c>
      <c r="G35">
        <f>'Inventory CRP'!G35*0.5</f>
        <v>2</v>
      </c>
      <c r="H35">
        <f>'Inventory CRP'!H35*0.5</f>
        <v>0</v>
      </c>
      <c r="I35">
        <f>'Inventory CRP'!I35*0.5</f>
        <v>6.5</v>
      </c>
      <c r="J35">
        <f>'Inventory CRP'!J35*0.5</f>
        <v>7.5</v>
      </c>
      <c r="L35">
        <f>'Inventory CRP'!L35*0.5</f>
        <v>4</v>
      </c>
      <c r="M35">
        <f>'Inventory CRP'!M35*0.5</f>
        <v>10.5</v>
      </c>
      <c r="N35">
        <f>'Inventory CRP'!N35*0.5</f>
        <v>6.5</v>
      </c>
      <c r="O35">
        <f>'Inventory CRP'!O35*0.5</f>
        <v>4</v>
      </c>
      <c r="Q35">
        <f>'Inventory CRP'!Q35*0.5</f>
        <v>3.5</v>
      </c>
      <c r="R35">
        <f>'Inventory CRP'!R35*0.5</f>
        <v>12</v>
      </c>
      <c r="S35">
        <f>'Inventory CRP'!S35*0.5</f>
        <v>6.5</v>
      </c>
      <c r="T35">
        <f>'Inventory CRP'!T35*0.5</f>
        <v>5.5</v>
      </c>
      <c r="V35">
        <f>'Inventory CRP'!V35*0.5</f>
        <v>4</v>
      </c>
      <c r="W35">
        <f>'Inventory CRP'!W35*0.5</f>
        <v>16</v>
      </c>
      <c r="X35">
        <f>'Inventory CRP'!X35*0.5</f>
        <v>6</v>
      </c>
      <c r="Y35">
        <f>'Inventory CRP'!Y35*0.5</f>
        <v>4</v>
      </c>
      <c r="AA35">
        <f>'Inventory CRP'!AA35*0.5</f>
        <v>4</v>
      </c>
      <c r="AB35">
        <f>'Inventory CRP'!AB35*0.5</f>
        <v>16</v>
      </c>
      <c r="AC35">
        <f>'Inventory CRP'!AC35*0.5</f>
        <v>6</v>
      </c>
      <c r="AD35">
        <f>'Inventory CRP'!AD35*0.5</f>
        <v>4</v>
      </c>
      <c r="AF35">
        <f>'Inventory CRP'!AF35*0.5</f>
        <v>0</v>
      </c>
      <c r="AG35">
        <f>'Inventory CRP'!AG35*0.5</f>
        <v>14</v>
      </c>
      <c r="AH35">
        <f>'Inventory CRP'!AH35*0.5</f>
        <v>6.5</v>
      </c>
      <c r="AI35">
        <f>'Inventory CRP'!AI35*0.5</f>
        <v>2</v>
      </c>
      <c r="AK35">
        <f>'Inventory CRP'!AK35*0.5</f>
        <v>2</v>
      </c>
      <c r="AL35">
        <f>'Inventory CRP'!AL35*0.5</f>
        <v>11.5</v>
      </c>
      <c r="AM35">
        <f>'Inventory CRP'!AM35*0.5</f>
        <v>6.5</v>
      </c>
      <c r="AN35">
        <f>'Inventory CRP'!AN35*0.5</f>
        <v>2</v>
      </c>
      <c r="AP35">
        <f>'Inventory CRP'!AP35*0.5</f>
        <v>1.5</v>
      </c>
      <c r="AQ35">
        <f>'Inventory CRP'!AQ35*0.5</f>
        <v>7.5</v>
      </c>
      <c r="AR35">
        <f>'Inventory CRP'!AR35*0.5</f>
        <v>5</v>
      </c>
      <c r="AS35">
        <f>'Inventory CRP'!AS35*0.5</f>
        <v>5</v>
      </c>
      <c r="AU35">
        <f>'Inventory CRP'!AU35*0.5</f>
        <v>1.5</v>
      </c>
      <c r="AV35">
        <f>'Inventory CRP'!AV35*0.5</f>
        <v>7.5</v>
      </c>
      <c r="AW35">
        <f>'Inventory CRP'!AW35*0.5</f>
        <v>5</v>
      </c>
      <c r="AX35">
        <f>'Inventory CRP'!AX35*0.5</f>
        <v>5</v>
      </c>
      <c r="AZ35">
        <f t="shared" si="1"/>
        <v>2.35</v>
      </c>
      <c r="BA35">
        <f t="shared" si="1"/>
        <v>9.5</v>
      </c>
      <c r="BB35">
        <f t="shared" si="1"/>
        <v>6.1</v>
      </c>
      <c r="BC35">
        <f t="shared" si="1"/>
        <v>4.45</v>
      </c>
    </row>
    <row r="36" spans="1:55" x14ac:dyDescent="0.35">
      <c r="A36">
        <v>34</v>
      </c>
      <c r="B36">
        <f>'Inventory CRP'!B36*0.5</f>
        <v>4</v>
      </c>
      <c r="C36">
        <f>'Inventory CRP'!C36*0.5</f>
        <v>0</v>
      </c>
      <c r="D36">
        <f>'Inventory CRP'!D36*0.5</f>
        <v>6.5</v>
      </c>
      <c r="E36">
        <f>'Inventory CRP'!E36*0.5</f>
        <v>7</v>
      </c>
      <c r="G36">
        <f>'Inventory CRP'!G36*0.5</f>
        <v>6</v>
      </c>
      <c r="H36">
        <f>'Inventory CRP'!H36*0.5</f>
        <v>0</v>
      </c>
      <c r="I36">
        <f>'Inventory CRP'!I36*0.5</f>
        <v>6.5</v>
      </c>
      <c r="J36">
        <f>'Inventory CRP'!J36*0.5</f>
        <v>8.5</v>
      </c>
      <c r="L36">
        <f>'Inventory CRP'!L36*0.5</f>
        <v>1</v>
      </c>
      <c r="M36">
        <f>'Inventory CRP'!M36*0.5</f>
        <v>5</v>
      </c>
      <c r="N36">
        <f>'Inventory CRP'!N36*0.5</f>
        <v>6.5</v>
      </c>
      <c r="O36">
        <f>'Inventory CRP'!O36*0.5</f>
        <v>5</v>
      </c>
      <c r="Q36">
        <f>'Inventory CRP'!Q36*0.5</f>
        <v>9</v>
      </c>
      <c r="R36">
        <f>'Inventory CRP'!R36*0.5</f>
        <v>6</v>
      </c>
      <c r="S36">
        <f>'Inventory CRP'!S36*0.5</f>
        <v>6.5</v>
      </c>
      <c r="T36">
        <f>'Inventory CRP'!T36*0.5</f>
        <v>2.5</v>
      </c>
      <c r="V36">
        <f>'Inventory CRP'!V36*0.5</f>
        <v>1</v>
      </c>
      <c r="W36">
        <f>'Inventory CRP'!W36*0.5</f>
        <v>6</v>
      </c>
      <c r="X36">
        <f>'Inventory CRP'!X36*0.5</f>
        <v>6.5</v>
      </c>
      <c r="Y36">
        <f>'Inventory CRP'!Y36*0.5</f>
        <v>4.5</v>
      </c>
      <c r="AA36">
        <f>'Inventory CRP'!AA36*0.5</f>
        <v>1</v>
      </c>
      <c r="AB36">
        <f>'Inventory CRP'!AB36*0.5</f>
        <v>6</v>
      </c>
      <c r="AC36">
        <f>'Inventory CRP'!AC36*0.5</f>
        <v>6.5</v>
      </c>
      <c r="AD36">
        <f>'Inventory CRP'!AD36*0.5</f>
        <v>4.5</v>
      </c>
      <c r="AF36">
        <f>'Inventory CRP'!AF36*0.5</f>
        <v>0</v>
      </c>
      <c r="AG36">
        <f>'Inventory CRP'!AG36*0.5</f>
        <v>3.5</v>
      </c>
      <c r="AH36">
        <f>'Inventory CRP'!AH36*0.5</f>
        <v>6.5</v>
      </c>
      <c r="AI36">
        <f>'Inventory CRP'!AI36*0.5</f>
        <v>5</v>
      </c>
      <c r="AK36">
        <f>'Inventory CRP'!AK36*0.5</f>
        <v>0</v>
      </c>
      <c r="AL36">
        <f>'Inventory CRP'!AL36*0.5</f>
        <v>5.5</v>
      </c>
      <c r="AM36">
        <f>'Inventory CRP'!AM36*0.5</f>
        <v>6.5</v>
      </c>
      <c r="AN36">
        <f>'Inventory CRP'!AN36*0.5</f>
        <v>5</v>
      </c>
      <c r="AP36">
        <f>'Inventory CRP'!AP36*0.5</f>
        <v>2.5</v>
      </c>
      <c r="AQ36">
        <f>'Inventory CRP'!AQ36*0.5</f>
        <v>6</v>
      </c>
      <c r="AR36">
        <f>'Inventory CRP'!AR36*0.5</f>
        <v>5.5</v>
      </c>
      <c r="AS36">
        <f>'Inventory CRP'!AS36*0.5</f>
        <v>5</v>
      </c>
      <c r="AU36">
        <f>'Inventory CRP'!AU36*0.5</f>
        <v>2.5</v>
      </c>
      <c r="AV36">
        <f>'Inventory CRP'!AV36*0.5</f>
        <v>6</v>
      </c>
      <c r="AW36">
        <f>'Inventory CRP'!AW36*0.5</f>
        <v>5.5</v>
      </c>
      <c r="AX36">
        <f>'Inventory CRP'!AX36*0.5</f>
        <v>5</v>
      </c>
      <c r="AZ36">
        <f t="shared" si="1"/>
        <v>2.7</v>
      </c>
      <c r="BA36">
        <f t="shared" si="1"/>
        <v>4.4000000000000004</v>
      </c>
      <c r="BB36">
        <f t="shared" si="1"/>
        <v>6.3</v>
      </c>
      <c r="BC36">
        <f t="shared" si="1"/>
        <v>5.2</v>
      </c>
    </row>
    <row r="37" spans="1:55" x14ac:dyDescent="0.35">
      <c r="A37">
        <v>35</v>
      </c>
      <c r="B37">
        <f>'Inventory CRP'!B37*0.5</f>
        <v>9</v>
      </c>
      <c r="C37">
        <f>'Inventory CRP'!C37*0.5</f>
        <v>6</v>
      </c>
      <c r="D37">
        <f>'Inventory CRP'!D37*0.5</f>
        <v>6.5</v>
      </c>
      <c r="E37">
        <f>'Inventory CRP'!E37*0.5</f>
        <v>6.5</v>
      </c>
      <c r="G37">
        <f>'Inventory CRP'!G37*0.5</f>
        <v>10</v>
      </c>
      <c r="H37">
        <f>'Inventory CRP'!H37*0.5</f>
        <v>1.5</v>
      </c>
      <c r="I37">
        <f>'Inventory CRP'!I37*0.5</f>
        <v>6.5</v>
      </c>
      <c r="J37">
        <f>'Inventory CRP'!J37*0.5</f>
        <v>5.5</v>
      </c>
      <c r="L37">
        <f>'Inventory CRP'!L37*0.5</f>
        <v>2.5</v>
      </c>
      <c r="M37">
        <f>'Inventory CRP'!M37*0.5</f>
        <v>0</v>
      </c>
      <c r="N37">
        <f>'Inventory CRP'!N37*0.5</f>
        <v>6.5</v>
      </c>
      <c r="O37">
        <f>'Inventory CRP'!O37*0.5</f>
        <v>6.5</v>
      </c>
      <c r="Q37">
        <f>'Inventory CRP'!Q37*0.5</f>
        <v>1</v>
      </c>
      <c r="R37">
        <f>'Inventory CRP'!R37*0.5</f>
        <v>1</v>
      </c>
      <c r="S37">
        <f>'Inventory CRP'!S37*0.5</f>
        <v>6.5</v>
      </c>
      <c r="T37">
        <f>'Inventory CRP'!T37*0.5</f>
        <v>5</v>
      </c>
      <c r="V37">
        <f>'Inventory CRP'!V37*0.5</f>
        <v>2</v>
      </c>
      <c r="W37">
        <f>'Inventory CRP'!W37*0.5</f>
        <v>0</v>
      </c>
      <c r="X37">
        <f>'Inventory CRP'!X37*0.5</f>
        <v>6.5</v>
      </c>
      <c r="Y37">
        <f>'Inventory CRP'!Y37*0.5</f>
        <v>6.5</v>
      </c>
      <c r="AA37">
        <f>'Inventory CRP'!AA37*0.5</f>
        <v>2</v>
      </c>
      <c r="AB37">
        <f>'Inventory CRP'!AB37*0.5</f>
        <v>0</v>
      </c>
      <c r="AC37">
        <f>'Inventory CRP'!AC37*0.5</f>
        <v>6.5</v>
      </c>
      <c r="AD37">
        <f>'Inventory CRP'!AD37*0.5</f>
        <v>6.5</v>
      </c>
      <c r="AF37">
        <f>'Inventory CRP'!AF37*0.5</f>
        <v>3</v>
      </c>
      <c r="AG37">
        <f>'Inventory CRP'!AG37*0.5</f>
        <v>0</v>
      </c>
      <c r="AH37">
        <f>'Inventory CRP'!AH37*0.5</f>
        <v>6.5</v>
      </c>
      <c r="AI37">
        <f>'Inventory CRP'!AI37*0.5</f>
        <v>8</v>
      </c>
      <c r="AK37">
        <f>'Inventory CRP'!AK37*0.5</f>
        <v>3</v>
      </c>
      <c r="AL37">
        <f>'Inventory CRP'!AL37*0.5</f>
        <v>0</v>
      </c>
      <c r="AM37">
        <f>'Inventory CRP'!AM37*0.5</f>
        <v>6.5</v>
      </c>
      <c r="AN37">
        <f>'Inventory CRP'!AN37*0.5</f>
        <v>9</v>
      </c>
      <c r="AP37">
        <f>'Inventory CRP'!AP37*0.5</f>
        <v>6</v>
      </c>
      <c r="AQ37">
        <f>'Inventory CRP'!AQ37*0.5</f>
        <v>0.5</v>
      </c>
      <c r="AR37">
        <f>'Inventory CRP'!AR37*0.5</f>
        <v>4.5</v>
      </c>
      <c r="AS37">
        <f>'Inventory CRP'!AS37*0.5</f>
        <v>7.5</v>
      </c>
      <c r="AU37">
        <f>'Inventory CRP'!AU37*0.5</f>
        <v>6</v>
      </c>
      <c r="AV37">
        <f>'Inventory CRP'!AV37*0.5</f>
        <v>0.5</v>
      </c>
      <c r="AW37">
        <f>'Inventory CRP'!AW37*0.5</f>
        <v>4.5</v>
      </c>
      <c r="AX37">
        <f>'Inventory CRP'!AX37*0.5</f>
        <v>7.5</v>
      </c>
      <c r="AZ37">
        <f t="shared" si="1"/>
        <v>4.45</v>
      </c>
      <c r="BA37">
        <f t="shared" si="1"/>
        <v>0.95</v>
      </c>
      <c r="BB37">
        <f t="shared" si="1"/>
        <v>6.1</v>
      </c>
      <c r="BC37">
        <f t="shared" si="1"/>
        <v>6.85</v>
      </c>
    </row>
    <row r="38" spans="1:55" x14ac:dyDescent="0.35">
      <c r="A38">
        <v>36</v>
      </c>
      <c r="B38">
        <f>'Inventory CRP'!B38*0.5</f>
        <v>8.5</v>
      </c>
      <c r="C38">
        <f>'Inventory CRP'!C38*0.5</f>
        <v>12.5</v>
      </c>
      <c r="D38">
        <f>'Inventory CRP'!D38*0.5</f>
        <v>6.5</v>
      </c>
      <c r="E38">
        <f>'Inventory CRP'!E38*0.5</f>
        <v>4.5</v>
      </c>
      <c r="G38">
        <f>'Inventory CRP'!G38*0.5</f>
        <v>7</v>
      </c>
      <c r="H38">
        <f>'Inventory CRP'!H38*0.5</f>
        <v>10.5</v>
      </c>
      <c r="I38">
        <f>'Inventory CRP'!I38*0.5</f>
        <v>6.5</v>
      </c>
      <c r="J38">
        <f>'Inventory CRP'!J38*0.5</f>
        <v>2</v>
      </c>
      <c r="L38">
        <f>'Inventory CRP'!L38*0.5</f>
        <v>5</v>
      </c>
      <c r="M38">
        <f>'Inventory CRP'!M38*0.5</f>
        <v>0</v>
      </c>
      <c r="N38">
        <f>'Inventory CRP'!N38*0.5</f>
        <v>6.5</v>
      </c>
      <c r="O38">
        <f>'Inventory CRP'!O38*0.5</f>
        <v>6.5</v>
      </c>
      <c r="Q38">
        <f>'Inventory CRP'!Q38*0.5</f>
        <v>0.5</v>
      </c>
      <c r="R38">
        <f>'Inventory CRP'!R38*0.5</f>
        <v>4</v>
      </c>
      <c r="S38">
        <f>'Inventory CRP'!S38*0.5</f>
        <v>6.5</v>
      </c>
      <c r="T38">
        <f>'Inventory CRP'!T38*0.5</f>
        <v>5.5</v>
      </c>
      <c r="V38">
        <f>'Inventory CRP'!V38*0.5</f>
        <v>5.5</v>
      </c>
      <c r="W38">
        <f>'Inventory CRP'!W38*0.5</f>
        <v>0</v>
      </c>
      <c r="X38">
        <f>'Inventory CRP'!X38*0.5</f>
        <v>6.5</v>
      </c>
      <c r="Y38">
        <f>'Inventory CRP'!Y38*0.5</f>
        <v>7</v>
      </c>
      <c r="AA38">
        <f>'Inventory CRP'!AA38*0.5</f>
        <v>5.5</v>
      </c>
      <c r="AB38">
        <f>'Inventory CRP'!AB38*0.5</f>
        <v>0</v>
      </c>
      <c r="AC38">
        <f>'Inventory CRP'!AC38*0.5</f>
        <v>6.5</v>
      </c>
      <c r="AD38">
        <f>'Inventory CRP'!AD38*0.5</f>
        <v>7</v>
      </c>
      <c r="AF38">
        <f>'Inventory CRP'!AF38*0.5</f>
        <v>7.5</v>
      </c>
      <c r="AG38">
        <f>'Inventory CRP'!AG38*0.5</f>
        <v>2.5</v>
      </c>
      <c r="AH38">
        <f>'Inventory CRP'!AH38*0.5</f>
        <v>6.5</v>
      </c>
      <c r="AI38">
        <f>'Inventory CRP'!AI38*0.5</f>
        <v>8</v>
      </c>
      <c r="AK38">
        <f>'Inventory CRP'!AK38*0.5</f>
        <v>6</v>
      </c>
      <c r="AL38">
        <f>'Inventory CRP'!AL38*0.5</f>
        <v>0</v>
      </c>
      <c r="AM38">
        <f>'Inventory CRP'!AM38*0.5</f>
        <v>6.5</v>
      </c>
      <c r="AN38">
        <f>'Inventory CRP'!AN38*0.5</f>
        <v>8</v>
      </c>
      <c r="AP38">
        <f>'Inventory CRP'!AP38*0.5</f>
        <v>6</v>
      </c>
      <c r="AQ38">
        <f>'Inventory CRP'!AQ38*0.5</f>
        <v>2.5</v>
      </c>
      <c r="AR38">
        <f>'Inventory CRP'!AR38*0.5</f>
        <v>4.5</v>
      </c>
      <c r="AS38">
        <f>'Inventory CRP'!AS38*0.5</f>
        <v>6.5</v>
      </c>
      <c r="AU38">
        <f>'Inventory CRP'!AU38*0.5</f>
        <v>6</v>
      </c>
      <c r="AV38">
        <f>'Inventory CRP'!AV38*0.5</f>
        <v>2.5</v>
      </c>
      <c r="AW38">
        <f>'Inventory CRP'!AW38*0.5</f>
        <v>4.5</v>
      </c>
      <c r="AX38">
        <f>'Inventory CRP'!AX38*0.5</f>
        <v>6.5</v>
      </c>
      <c r="AZ38">
        <f t="shared" si="1"/>
        <v>5.75</v>
      </c>
      <c r="BA38">
        <f t="shared" si="1"/>
        <v>3.45</v>
      </c>
      <c r="BB38">
        <f t="shared" si="1"/>
        <v>6.1</v>
      </c>
      <c r="BC38">
        <f t="shared" si="1"/>
        <v>6.15</v>
      </c>
    </row>
    <row r="40" spans="1:55" x14ac:dyDescent="0.35">
      <c r="A40" t="s">
        <v>9</v>
      </c>
      <c r="B40">
        <f>SUM(B2:B38)</f>
        <v>182</v>
      </c>
      <c r="C40">
        <f t="shared" ref="C40:E40" si="3">SUM(C2:C38)</f>
        <v>209.5</v>
      </c>
      <c r="D40">
        <f t="shared" si="3"/>
        <v>226.5</v>
      </c>
      <c r="E40">
        <f t="shared" si="3"/>
        <v>190</v>
      </c>
      <c r="G40">
        <f>SUM(G2:G38)</f>
        <v>183.5</v>
      </c>
      <c r="H40">
        <f t="shared" ref="H40:J40" si="4">SUM(H2:H38)</f>
        <v>195</v>
      </c>
      <c r="I40">
        <f t="shared" si="4"/>
        <v>227.5</v>
      </c>
      <c r="J40">
        <f t="shared" si="4"/>
        <v>186.5</v>
      </c>
      <c r="L40">
        <f>SUM(L2:L38)</f>
        <v>175.5</v>
      </c>
      <c r="M40">
        <f t="shared" ref="M40:O40" si="5">SUM(M2:M38)</f>
        <v>186.5</v>
      </c>
      <c r="N40">
        <f t="shared" si="5"/>
        <v>226.5</v>
      </c>
      <c r="O40">
        <f t="shared" si="5"/>
        <v>185</v>
      </c>
      <c r="Q40">
        <f>SUM(Q2:Q38)</f>
        <v>177</v>
      </c>
      <c r="R40">
        <f t="shared" ref="R40:T40" si="6">SUM(R2:R38)</f>
        <v>202</v>
      </c>
      <c r="S40">
        <f t="shared" si="6"/>
        <v>232.5</v>
      </c>
      <c r="T40">
        <f t="shared" si="6"/>
        <v>182.5</v>
      </c>
      <c r="V40">
        <f>SUM(V2:V38)</f>
        <v>181</v>
      </c>
      <c r="W40">
        <f t="shared" ref="W40:Y40" si="7">SUM(W2:W38)</f>
        <v>223.5</v>
      </c>
      <c r="X40">
        <f t="shared" si="7"/>
        <v>220</v>
      </c>
      <c r="Y40">
        <f t="shared" si="7"/>
        <v>193</v>
      </c>
      <c r="AA40">
        <f>SUM(AA2:AA38)</f>
        <v>181</v>
      </c>
      <c r="AB40">
        <f t="shared" ref="AB40:AD40" si="8">SUM(AB2:AB38)</f>
        <v>223.5</v>
      </c>
      <c r="AC40">
        <f t="shared" si="8"/>
        <v>220</v>
      </c>
      <c r="AD40">
        <f t="shared" si="8"/>
        <v>193</v>
      </c>
      <c r="AF40">
        <f>SUM(AF2:AF38)</f>
        <v>173</v>
      </c>
      <c r="AG40">
        <f t="shared" ref="AG40:AI40" si="9">SUM(AG2:AG38)</f>
        <v>292.5</v>
      </c>
      <c r="AH40">
        <f t="shared" si="9"/>
        <v>220.5</v>
      </c>
      <c r="AI40">
        <f t="shared" si="9"/>
        <v>190</v>
      </c>
      <c r="AK40">
        <f>SUM(AK2:AK38)</f>
        <v>183</v>
      </c>
      <c r="AL40">
        <f t="shared" ref="AL40:AN40" si="10">SUM(AL2:AL38)</f>
        <v>180</v>
      </c>
      <c r="AM40">
        <f t="shared" si="10"/>
        <v>220.5</v>
      </c>
      <c r="AN40">
        <f t="shared" si="10"/>
        <v>184</v>
      </c>
      <c r="AP40">
        <f>SUM(AP2:AP38)</f>
        <v>191</v>
      </c>
      <c r="AQ40">
        <f t="shared" ref="AQ40:AS40" si="11">SUM(AQ2:AQ38)</f>
        <v>190</v>
      </c>
      <c r="AR40">
        <f t="shared" si="11"/>
        <v>175</v>
      </c>
      <c r="AS40">
        <f t="shared" si="11"/>
        <v>169.5</v>
      </c>
      <c r="AU40">
        <f>SUM(AU2:AU38)</f>
        <v>191</v>
      </c>
      <c r="AV40">
        <f t="shared" ref="AV40:AX40" si="12">SUM(AV2:AV38)</f>
        <v>190</v>
      </c>
      <c r="AW40">
        <f t="shared" si="12"/>
        <v>175</v>
      </c>
      <c r="AX40">
        <f t="shared" si="12"/>
        <v>169.5</v>
      </c>
      <c r="AZ40">
        <f>SUM(AZ2:AZ38)</f>
        <v>181.79999999999998</v>
      </c>
      <c r="BA40">
        <f>SUM(BA2:BA38)</f>
        <v>209.24999999999991</v>
      </c>
      <c r="BB40">
        <f t="shared" ref="BB40:BD40" si="13">SUM(BB2:BB38)</f>
        <v>214.39999999999998</v>
      </c>
      <c r="BC40">
        <f t="shared" si="13"/>
        <v>184.29999999999995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915B-724A-40D5-AF6B-C61CD70B706D}">
  <dimension ref="A1:BD40"/>
  <sheetViews>
    <sheetView topLeftCell="AF1" workbookViewId="0">
      <selection activeCell="BC1" sqref="AZ1:BC1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0" max="51" width="8.7265625" style="5"/>
  </cols>
  <sheetData>
    <row r="1" spans="1:55" x14ac:dyDescent="0.35">
      <c r="A1" t="s">
        <v>19</v>
      </c>
      <c r="B1" t="s">
        <v>47</v>
      </c>
      <c r="C1" t="s">
        <v>48</v>
      </c>
      <c r="D1" t="s">
        <v>49</v>
      </c>
      <c r="E1" t="s">
        <v>50</v>
      </c>
      <c r="F1" s="5">
        <v>1</v>
      </c>
      <c r="G1" t="s">
        <v>47</v>
      </c>
      <c r="H1" t="s">
        <v>48</v>
      </c>
      <c r="I1" t="s">
        <v>49</v>
      </c>
      <c r="J1" t="s">
        <v>50</v>
      </c>
      <c r="K1" s="5">
        <v>2</v>
      </c>
      <c r="L1" t="s">
        <v>47</v>
      </c>
      <c r="M1" t="s">
        <v>48</v>
      </c>
      <c r="N1" t="s">
        <v>49</v>
      </c>
      <c r="O1" t="s">
        <v>50</v>
      </c>
      <c r="P1" s="5">
        <v>3</v>
      </c>
      <c r="Q1" t="s">
        <v>47</v>
      </c>
      <c r="R1" t="s">
        <v>48</v>
      </c>
      <c r="S1" t="s">
        <v>49</v>
      </c>
      <c r="T1" t="s">
        <v>50</v>
      </c>
      <c r="U1" s="5">
        <v>4</v>
      </c>
      <c r="V1" t="s">
        <v>47</v>
      </c>
      <c r="W1" t="s">
        <v>48</v>
      </c>
      <c r="X1" t="s">
        <v>49</v>
      </c>
      <c r="Y1" t="s">
        <v>50</v>
      </c>
      <c r="Z1" s="5">
        <v>5</v>
      </c>
      <c r="AA1" t="s">
        <v>47</v>
      </c>
      <c r="AB1" t="s">
        <v>48</v>
      </c>
      <c r="AC1" t="s">
        <v>49</v>
      </c>
      <c r="AD1" t="s">
        <v>50</v>
      </c>
      <c r="AE1" s="5">
        <v>6</v>
      </c>
      <c r="AF1" t="s">
        <v>47</v>
      </c>
      <c r="AG1" t="s">
        <v>48</v>
      </c>
      <c r="AH1" t="s">
        <v>49</v>
      </c>
      <c r="AI1" t="s">
        <v>50</v>
      </c>
      <c r="AJ1" s="5">
        <v>7</v>
      </c>
      <c r="AK1" t="s">
        <v>47</v>
      </c>
      <c r="AL1" t="s">
        <v>48</v>
      </c>
      <c r="AM1" t="s">
        <v>49</v>
      </c>
      <c r="AN1" t="s">
        <v>50</v>
      </c>
      <c r="AO1" s="5">
        <v>8</v>
      </c>
      <c r="AP1" t="s">
        <v>47</v>
      </c>
      <c r="AQ1" t="s">
        <v>48</v>
      </c>
      <c r="AR1" t="s">
        <v>49</v>
      </c>
      <c r="AS1" t="s">
        <v>50</v>
      </c>
      <c r="AT1" s="5">
        <v>9</v>
      </c>
      <c r="AU1" t="s">
        <v>47</v>
      </c>
      <c r="AV1" t="s">
        <v>48</v>
      </c>
      <c r="AW1" t="s">
        <v>49</v>
      </c>
      <c r="AX1" t="s">
        <v>50</v>
      </c>
      <c r="AY1" s="5">
        <v>10</v>
      </c>
      <c r="AZ1" t="s">
        <v>111</v>
      </c>
      <c r="BA1" t="s">
        <v>135</v>
      </c>
      <c r="BB1" t="s">
        <v>109</v>
      </c>
      <c r="BC1" t="s">
        <v>136</v>
      </c>
    </row>
    <row r="2" spans="1:55" x14ac:dyDescent="0.35">
      <c r="A2">
        <v>0</v>
      </c>
      <c r="B2">
        <v>0</v>
      </c>
      <c r="C2">
        <v>0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L2">
        <v>0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V2">
        <v>0</v>
      </c>
      <c r="W2">
        <v>0</v>
      </c>
      <c r="X2">
        <v>0</v>
      </c>
      <c r="Y2">
        <v>0</v>
      </c>
      <c r="AA2">
        <v>0</v>
      </c>
      <c r="AB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K2">
        <v>0</v>
      </c>
      <c r="AL2">
        <v>0</v>
      </c>
      <c r="AM2">
        <v>0</v>
      </c>
      <c r="AN2">
        <v>0</v>
      </c>
      <c r="AP2">
        <v>0</v>
      </c>
      <c r="AQ2">
        <v>0</v>
      </c>
      <c r="AR2">
        <v>0</v>
      </c>
      <c r="AS2">
        <v>0</v>
      </c>
      <c r="AU2">
        <v>0</v>
      </c>
      <c r="AV2">
        <v>0</v>
      </c>
      <c r="AW2">
        <v>0</v>
      </c>
      <c r="AX2">
        <v>0</v>
      </c>
      <c r="AZ2">
        <f>AVERAGE(B2,G2,L2,Q2,V2,AA2,AF2,AK2,AP2,AU2)</f>
        <v>0</v>
      </c>
      <c r="BA2">
        <f t="shared" ref="BA2:BC2" si="0">AVERAGE(C2,H2,M2,R2,W2,AB2,AG2,AL2,AQ2,AV2)</f>
        <v>0</v>
      </c>
      <c r="BB2">
        <f t="shared" si="0"/>
        <v>0</v>
      </c>
      <c r="BC2">
        <f t="shared" si="0"/>
        <v>0</v>
      </c>
    </row>
    <row r="3" spans="1:55" x14ac:dyDescent="0.35">
      <c r="A3">
        <v>1</v>
      </c>
      <c r="B3">
        <f>'Backlog CRP'!B3*1</f>
        <v>0</v>
      </c>
      <c r="C3">
        <f>'Backlog CRP'!C3*1</f>
        <v>0</v>
      </c>
      <c r="D3">
        <f>'Backlog CRP'!D3*1</f>
        <v>0</v>
      </c>
      <c r="E3">
        <f>'Backlog CRP'!E3*1</f>
        <v>0</v>
      </c>
      <c r="G3">
        <f>'Backlog CRP'!G3*1</f>
        <v>0</v>
      </c>
      <c r="H3">
        <f>'Backlog CRP'!H3*1</f>
        <v>0</v>
      </c>
      <c r="I3">
        <f>'Backlog CRP'!I3*1</f>
        <v>0</v>
      </c>
      <c r="J3">
        <f>'Backlog CRP'!J3*1</f>
        <v>0</v>
      </c>
      <c r="L3">
        <f>'Backlog CRP'!L3*1</f>
        <v>0</v>
      </c>
      <c r="M3">
        <f>'Backlog CRP'!M3*1</f>
        <v>0</v>
      </c>
      <c r="N3">
        <f>'Backlog CRP'!N3*1</f>
        <v>0</v>
      </c>
      <c r="O3">
        <f>'Backlog CRP'!O3*1</f>
        <v>0</v>
      </c>
      <c r="Q3">
        <f>'Backlog CRP'!Q3*1</f>
        <v>0</v>
      </c>
      <c r="R3">
        <f>'Backlog CRP'!R3*1</f>
        <v>0</v>
      </c>
      <c r="S3">
        <f>'Backlog CRP'!S3*1</f>
        <v>0</v>
      </c>
      <c r="T3">
        <f>'Backlog CRP'!T3*1</f>
        <v>0</v>
      </c>
      <c r="V3">
        <f>'Backlog CRP'!V3*1</f>
        <v>0</v>
      </c>
      <c r="W3">
        <f>'Backlog CRP'!W3*1</f>
        <v>0</v>
      </c>
      <c r="X3">
        <f>'Backlog CRP'!X3*1</f>
        <v>0</v>
      </c>
      <c r="Y3">
        <f>'Backlog CRP'!Y3*1</f>
        <v>0</v>
      </c>
      <c r="AA3">
        <f>'Backlog CRP'!AA3*1</f>
        <v>0</v>
      </c>
      <c r="AB3">
        <f>'Backlog CRP'!AB3*1</f>
        <v>0</v>
      </c>
      <c r="AC3">
        <f>'Backlog CRP'!AC3*1</f>
        <v>0</v>
      </c>
      <c r="AD3">
        <f>'Backlog CRP'!AD3*1</f>
        <v>0</v>
      </c>
      <c r="AF3">
        <f>'Backlog CRP'!AF3*1</f>
        <v>0</v>
      </c>
      <c r="AG3">
        <f>'Backlog CRP'!AG3*1</f>
        <v>0</v>
      </c>
      <c r="AH3">
        <f>'Backlog CRP'!AH3*1</f>
        <v>0</v>
      </c>
      <c r="AI3">
        <f>'Backlog CRP'!AI3*1</f>
        <v>0</v>
      </c>
      <c r="AK3">
        <f>'Backlog CRP'!AK3*1</f>
        <v>0</v>
      </c>
      <c r="AL3">
        <f>'Backlog CRP'!AL3*1</f>
        <v>0</v>
      </c>
      <c r="AM3">
        <f>'Backlog CRP'!AM3*1</f>
        <v>0</v>
      </c>
      <c r="AN3">
        <f>'Backlog CRP'!AN3*1</f>
        <v>0</v>
      </c>
      <c r="AP3">
        <f>'Backlog CRP'!AP3*1</f>
        <v>0</v>
      </c>
      <c r="AQ3">
        <f>'Backlog CRP'!AQ3*1</f>
        <v>0</v>
      </c>
      <c r="AR3">
        <f>'Backlog CRP'!AR3*1</f>
        <v>0</v>
      </c>
      <c r="AS3">
        <f>'Backlog CRP'!AS3*1</f>
        <v>0</v>
      </c>
      <c r="AU3">
        <f>'Backlog CRP'!AU3*1</f>
        <v>0</v>
      </c>
      <c r="AV3">
        <f>'Backlog CRP'!AV3*1</f>
        <v>0</v>
      </c>
      <c r="AW3">
        <f>'Backlog CRP'!AW3*1</f>
        <v>0</v>
      </c>
      <c r="AX3">
        <f>'Backlog CRP'!AX3*1</f>
        <v>0</v>
      </c>
      <c r="AZ3">
        <f t="shared" ref="AZ3:BC38" si="1">AVERAGE(B3,G3,L3,Q3,V3,AA3,AF3,AK3,AP3,AU3)</f>
        <v>0</v>
      </c>
      <c r="BA3">
        <f t="shared" ref="BA3:BC17" si="2">AVERAGE(C3,H3,M3,R3,W3,AB3,AG3,AL3,AQ3,AV3)</f>
        <v>0</v>
      </c>
      <c r="BB3">
        <f t="shared" si="2"/>
        <v>0</v>
      </c>
      <c r="BC3">
        <f t="shared" si="2"/>
        <v>0</v>
      </c>
    </row>
    <row r="4" spans="1:55" x14ac:dyDescent="0.35">
      <c r="A4">
        <v>2</v>
      </c>
      <c r="B4">
        <f>'Backlog CRP'!B4*1</f>
        <v>0</v>
      </c>
      <c r="C4">
        <f>'Backlog CRP'!C4*1</f>
        <v>0</v>
      </c>
      <c r="D4">
        <f>'Backlog CRP'!D4*1</f>
        <v>0</v>
      </c>
      <c r="E4">
        <f>'Backlog CRP'!E4*1</f>
        <v>0</v>
      </c>
      <c r="G4">
        <f>'Backlog CRP'!G4*1</f>
        <v>0</v>
      </c>
      <c r="H4">
        <f>'Backlog CRP'!H4*1</f>
        <v>0</v>
      </c>
      <c r="I4">
        <f>'Backlog CRP'!I4*1</f>
        <v>0</v>
      </c>
      <c r="J4">
        <f>'Backlog CRP'!J4*1</f>
        <v>0</v>
      </c>
      <c r="L4">
        <f>'Backlog CRP'!L4*1</f>
        <v>0</v>
      </c>
      <c r="M4">
        <f>'Backlog CRP'!M4*1</f>
        <v>0</v>
      </c>
      <c r="N4">
        <f>'Backlog CRP'!N4*1</f>
        <v>0</v>
      </c>
      <c r="O4">
        <f>'Backlog CRP'!O4*1</f>
        <v>0</v>
      </c>
      <c r="Q4">
        <f>'Backlog CRP'!Q4*1</f>
        <v>0</v>
      </c>
      <c r="R4">
        <f>'Backlog CRP'!R4*1</f>
        <v>0</v>
      </c>
      <c r="S4">
        <f>'Backlog CRP'!S4*1</f>
        <v>0</v>
      </c>
      <c r="T4">
        <f>'Backlog CRP'!T4*1</f>
        <v>0</v>
      </c>
      <c r="V4">
        <f>'Backlog CRP'!V4*1</f>
        <v>0</v>
      </c>
      <c r="W4">
        <f>'Backlog CRP'!W4*1</f>
        <v>0</v>
      </c>
      <c r="X4">
        <f>'Backlog CRP'!X4*1</f>
        <v>0</v>
      </c>
      <c r="Y4">
        <f>'Backlog CRP'!Y4*1</f>
        <v>0</v>
      </c>
      <c r="AA4">
        <f>'Backlog CRP'!AA4*1</f>
        <v>0</v>
      </c>
      <c r="AB4">
        <f>'Backlog CRP'!AB4*1</f>
        <v>0</v>
      </c>
      <c r="AC4">
        <f>'Backlog CRP'!AC4*1</f>
        <v>0</v>
      </c>
      <c r="AD4">
        <f>'Backlog CRP'!AD4*1</f>
        <v>0</v>
      </c>
      <c r="AF4">
        <f>'Backlog CRP'!AF4*1</f>
        <v>0</v>
      </c>
      <c r="AG4">
        <f>'Backlog CRP'!AG4*1</f>
        <v>0</v>
      </c>
      <c r="AH4">
        <f>'Backlog CRP'!AH4*1</f>
        <v>0</v>
      </c>
      <c r="AI4">
        <f>'Backlog CRP'!AI4*1</f>
        <v>0</v>
      </c>
      <c r="AK4">
        <f>'Backlog CRP'!AK4*1</f>
        <v>0</v>
      </c>
      <c r="AL4">
        <f>'Backlog CRP'!AL4*1</f>
        <v>0</v>
      </c>
      <c r="AM4">
        <f>'Backlog CRP'!AM4*1</f>
        <v>0</v>
      </c>
      <c r="AN4">
        <f>'Backlog CRP'!AN4*1</f>
        <v>0</v>
      </c>
      <c r="AP4">
        <f>'Backlog CRP'!AP4*1</f>
        <v>0</v>
      </c>
      <c r="AQ4">
        <f>'Backlog CRP'!AQ4*1</f>
        <v>0</v>
      </c>
      <c r="AR4">
        <f>'Backlog CRP'!AR4*1</f>
        <v>0</v>
      </c>
      <c r="AS4">
        <f>'Backlog CRP'!AS4*1</f>
        <v>0</v>
      </c>
      <c r="AU4">
        <f>'Backlog CRP'!AU4*1</f>
        <v>0</v>
      </c>
      <c r="AV4">
        <f>'Backlog CRP'!AV4*1</f>
        <v>0</v>
      </c>
      <c r="AW4">
        <f>'Backlog CRP'!AW4*1</f>
        <v>0</v>
      </c>
      <c r="AX4">
        <f>'Backlog CRP'!AX4*1</f>
        <v>0</v>
      </c>
      <c r="AZ4">
        <f t="shared" si="1"/>
        <v>0</v>
      </c>
      <c r="BA4">
        <f t="shared" si="2"/>
        <v>0</v>
      </c>
      <c r="BB4">
        <f t="shared" si="2"/>
        <v>0</v>
      </c>
      <c r="BC4">
        <f t="shared" si="2"/>
        <v>0</v>
      </c>
    </row>
    <row r="5" spans="1:55" x14ac:dyDescent="0.35">
      <c r="A5">
        <v>3</v>
      </c>
      <c r="B5">
        <f>'Backlog CRP'!B5*1</f>
        <v>0</v>
      </c>
      <c r="C5">
        <f>'Backlog CRP'!C5*1</f>
        <v>0</v>
      </c>
      <c r="D5">
        <f>'Backlog CRP'!D5*1</f>
        <v>0</v>
      </c>
      <c r="E5">
        <f>'Backlog CRP'!E5*1</f>
        <v>0</v>
      </c>
      <c r="G5">
        <f>'Backlog CRP'!G5*1</f>
        <v>0</v>
      </c>
      <c r="H5">
        <f>'Backlog CRP'!H5*1</f>
        <v>0</v>
      </c>
      <c r="I5">
        <f>'Backlog CRP'!I5*1</f>
        <v>0</v>
      </c>
      <c r="J5">
        <f>'Backlog CRP'!J5*1</f>
        <v>0</v>
      </c>
      <c r="L5">
        <f>'Backlog CRP'!L5*1</f>
        <v>0</v>
      </c>
      <c r="M5">
        <f>'Backlog CRP'!M5*1</f>
        <v>0</v>
      </c>
      <c r="N5">
        <f>'Backlog CRP'!N5*1</f>
        <v>0</v>
      </c>
      <c r="O5">
        <f>'Backlog CRP'!O5*1</f>
        <v>0</v>
      </c>
      <c r="Q5">
        <f>'Backlog CRP'!Q5*1</f>
        <v>0</v>
      </c>
      <c r="R5">
        <f>'Backlog CRP'!R5*1</f>
        <v>0</v>
      </c>
      <c r="S5">
        <f>'Backlog CRP'!S5*1</f>
        <v>0</v>
      </c>
      <c r="T5">
        <f>'Backlog CRP'!T5*1</f>
        <v>0</v>
      </c>
      <c r="V5">
        <f>'Backlog CRP'!V5*1</f>
        <v>0</v>
      </c>
      <c r="W5">
        <f>'Backlog CRP'!W5*1</f>
        <v>0</v>
      </c>
      <c r="X5">
        <f>'Backlog CRP'!X5*1</f>
        <v>0</v>
      </c>
      <c r="Y5">
        <f>'Backlog CRP'!Y5*1</f>
        <v>0</v>
      </c>
      <c r="AA5">
        <f>'Backlog CRP'!AA5*1</f>
        <v>0</v>
      </c>
      <c r="AB5">
        <f>'Backlog CRP'!AB5*1</f>
        <v>0</v>
      </c>
      <c r="AC5">
        <f>'Backlog CRP'!AC5*1</f>
        <v>0</v>
      </c>
      <c r="AD5">
        <f>'Backlog CRP'!AD5*1</f>
        <v>0</v>
      </c>
      <c r="AF5">
        <f>'Backlog CRP'!AF5*1</f>
        <v>0</v>
      </c>
      <c r="AG5">
        <f>'Backlog CRP'!AG5*1</f>
        <v>0</v>
      </c>
      <c r="AH5">
        <f>'Backlog CRP'!AH5*1</f>
        <v>0</v>
      </c>
      <c r="AI5">
        <f>'Backlog CRP'!AI5*1</f>
        <v>0</v>
      </c>
      <c r="AK5">
        <f>'Backlog CRP'!AK5*1</f>
        <v>0</v>
      </c>
      <c r="AL5">
        <f>'Backlog CRP'!AL5*1</f>
        <v>0</v>
      </c>
      <c r="AM5">
        <f>'Backlog CRP'!AM5*1</f>
        <v>0</v>
      </c>
      <c r="AN5">
        <f>'Backlog CRP'!AN5*1</f>
        <v>0</v>
      </c>
      <c r="AP5">
        <f>'Backlog CRP'!AP5*1</f>
        <v>0</v>
      </c>
      <c r="AQ5">
        <f>'Backlog CRP'!AQ5*1</f>
        <v>0</v>
      </c>
      <c r="AR5">
        <f>'Backlog CRP'!AR5*1</f>
        <v>0</v>
      </c>
      <c r="AS5">
        <f>'Backlog CRP'!AS5*1</f>
        <v>0</v>
      </c>
      <c r="AU5">
        <f>'Backlog CRP'!AU5*1</f>
        <v>0</v>
      </c>
      <c r="AV5">
        <f>'Backlog CRP'!AV5*1</f>
        <v>0</v>
      </c>
      <c r="AW5">
        <f>'Backlog CRP'!AW5*1</f>
        <v>0</v>
      </c>
      <c r="AX5">
        <f>'Backlog CRP'!AX5*1</f>
        <v>0</v>
      </c>
      <c r="AZ5">
        <f t="shared" si="1"/>
        <v>0</v>
      </c>
      <c r="BA5">
        <f t="shared" si="2"/>
        <v>0</v>
      </c>
      <c r="BB5">
        <f t="shared" si="2"/>
        <v>0</v>
      </c>
      <c r="BC5">
        <f t="shared" si="2"/>
        <v>0</v>
      </c>
    </row>
    <row r="6" spans="1:55" x14ac:dyDescent="0.35">
      <c r="A6">
        <v>4</v>
      </c>
      <c r="B6">
        <f>'Backlog CRP'!B6*1</f>
        <v>0</v>
      </c>
      <c r="C6">
        <f>'Backlog CRP'!C6*1</f>
        <v>0</v>
      </c>
      <c r="D6">
        <f>'Backlog CRP'!D6*1</f>
        <v>0</v>
      </c>
      <c r="E6">
        <f>'Backlog CRP'!E6*1</f>
        <v>0</v>
      </c>
      <c r="G6">
        <f>'Backlog CRP'!G6*1</f>
        <v>0</v>
      </c>
      <c r="H6">
        <f>'Backlog CRP'!H6*1</f>
        <v>0</v>
      </c>
      <c r="I6">
        <f>'Backlog CRP'!I6*1</f>
        <v>0</v>
      </c>
      <c r="J6">
        <f>'Backlog CRP'!J6*1</f>
        <v>0</v>
      </c>
      <c r="L6">
        <f>'Backlog CRP'!L6*1</f>
        <v>0</v>
      </c>
      <c r="M6">
        <f>'Backlog CRP'!M6*1</f>
        <v>0</v>
      </c>
      <c r="N6">
        <f>'Backlog CRP'!N6*1</f>
        <v>0</v>
      </c>
      <c r="O6">
        <f>'Backlog CRP'!O6*1</f>
        <v>0</v>
      </c>
      <c r="Q6">
        <f>'Backlog CRP'!Q6*1</f>
        <v>0</v>
      </c>
      <c r="R6">
        <f>'Backlog CRP'!R6*1</f>
        <v>0</v>
      </c>
      <c r="S6">
        <f>'Backlog CRP'!S6*1</f>
        <v>0</v>
      </c>
      <c r="T6">
        <f>'Backlog CRP'!T6*1</f>
        <v>0</v>
      </c>
      <c r="V6">
        <f>'Backlog CRP'!V6*1</f>
        <v>0</v>
      </c>
      <c r="W6">
        <f>'Backlog CRP'!W6*1</f>
        <v>0</v>
      </c>
      <c r="X6">
        <f>'Backlog CRP'!X6*1</f>
        <v>0</v>
      </c>
      <c r="Y6">
        <f>'Backlog CRP'!Y6*1</f>
        <v>0</v>
      </c>
      <c r="AA6">
        <f>'Backlog CRP'!AA6*1</f>
        <v>0</v>
      </c>
      <c r="AB6">
        <f>'Backlog CRP'!AB6*1</f>
        <v>0</v>
      </c>
      <c r="AC6">
        <f>'Backlog CRP'!AC6*1</f>
        <v>0</v>
      </c>
      <c r="AD6">
        <f>'Backlog CRP'!AD6*1</f>
        <v>0</v>
      </c>
      <c r="AF6">
        <f>'Backlog CRP'!AF6*1</f>
        <v>0</v>
      </c>
      <c r="AG6">
        <f>'Backlog CRP'!AG6*1</f>
        <v>0</v>
      </c>
      <c r="AH6">
        <f>'Backlog CRP'!AH6*1</f>
        <v>0</v>
      </c>
      <c r="AI6">
        <f>'Backlog CRP'!AI6*1</f>
        <v>0</v>
      </c>
      <c r="AK6">
        <f>'Backlog CRP'!AK6*1</f>
        <v>0</v>
      </c>
      <c r="AL6">
        <f>'Backlog CRP'!AL6*1</f>
        <v>0</v>
      </c>
      <c r="AM6">
        <f>'Backlog CRP'!AM6*1</f>
        <v>0</v>
      </c>
      <c r="AN6">
        <f>'Backlog CRP'!AN6*1</f>
        <v>0</v>
      </c>
      <c r="AP6">
        <f>'Backlog CRP'!AP6*1</f>
        <v>0</v>
      </c>
      <c r="AQ6">
        <f>'Backlog CRP'!AQ6*1</f>
        <v>0</v>
      </c>
      <c r="AR6">
        <f>'Backlog CRP'!AR6*1</f>
        <v>0</v>
      </c>
      <c r="AS6">
        <f>'Backlog CRP'!AS6*1</f>
        <v>0</v>
      </c>
      <c r="AU6">
        <f>'Backlog CRP'!AU6*1</f>
        <v>0</v>
      </c>
      <c r="AV6">
        <f>'Backlog CRP'!AV6*1</f>
        <v>0</v>
      </c>
      <c r="AW6">
        <f>'Backlog CRP'!AW6*1</f>
        <v>0</v>
      </c>
      <c r="AX6">
        <f>'Backlog CRP'!AX6*1</f>
        <v>0</v>
      </c>
      <c r="AZ6">
        <f t="shared" si="1"/>
        <v>0</v>
      </c>
      <c r="BA6">
        <f t="shared" si="2"/>
        <v>0</v>
      </c>
      <c r="BB6">
        <f t="shared" si="2"/>
        <v>0</v>
      </c>
      <c r="BC6">
        <f t="shared" si="2"/>
        <v>0</v>
      </c>
    </row>
    <row r="7" spans="1:55" x14ac:dyDescent="0.35">
      <c r="A7">
        <v>5</v>
      </c>
      <c r="B7">
        <f>'Backlog CRP'!B7*1</f>
        <v>0</v>
      </c>
      <c r="C7">
        <f>'Backlog CRP'!C7*1</f>
        <v>0</v>
      </c>
      <c r="D7">
        <f>'Backlog CRP'!D7*1</f>
        <v>0</v>
      </c>
      <c r="E7">
        <f>'Backlog CRP'!E7*1</f>
        <v>0</v>
      </c>
      <c r="G7">
        <f>'Backlog CRP'!G7*1</f>
        <v>0</v>
      </c>
      <c r="H7">
        <f>'Backlog CRP'!H7*1</f>
        <v>0</v>
      </c>
      <c r="I7">
        <f>'Backlog CRP'!I7*1</f>
        <v>0</v>
      </c>
      <c r="J7">
        <f>'Backlog CRP'!J7*1</f>
        <v>0</v>
      </c>
      <c r="L7">
        <f>'Backlog CRP'!L7*1</f>
        <v>0</v>
      </c>
      <c r="M7">
        <f>'Backlog CRP'!M7*1</f>
        <v>0</v>
      </c>
      <c r="N7">
        <f>'Backlog CRP'!N7*1</f>
        <v>0</v>
      </c>
      <c r="O7">
        <f>'Backlog CRP'!O7*1</f>
        <v>0</v>
      </c>
      <c r="Q7">
        <f>'Backlog CRP'!Q7*1</f>
        <v>0</v>
      </c>
      <c r="R7">
        <f>'Backlog CRP'!R7*1</f>
        <v>0</v>
      </c>
      <c r="S7">
        <f>'Backlog CRP'!S7*1</f>
        <v>0</v>
      </c>
      <c r="T7">
        <f>'Backlog CRP'!T7*1</f>
        <v>0</v>
      </c>
      <c r="V7">
        <f>'Backlog CRP'!V7*1</f>
        <v>0</v>
      </c>
      <c r="W7">
        <f>'Backlog CRP'!W7*1</f>
        <v>0</v>
      </c>
      <c r="X7">
        <f>'Backlog CRP'!X7*1</f>
        <v>0</v>
      </c>
      <c r="Y7">
        <f>'Backlog CRP'!Y7*1</f>
        <v>0</v>
      </c>
      <c r="AA7">
        <f>'Backlog CRP'!AA7*1</f>
        <v>0</v>
      </c>
      <c r="AB7">
        <f>'Backlog CRP'!AB7*1</f>
        <v>0</v>
      </c>
      <c r="AC7">
        <f>'Backlog CRP'!AC7*1</f>
        <v>0</v>
      </c>
      <c r="AD7">
        <f>'Backlog CRP'!AD7*1</f>
        <v>0</v>
      </c>
      <c r="AF7">
        <f>'Backlog CRP'!AF7*1</f>
        <v>0</v>
      </c>
      <c r="AG7">
        <f>'Backlog CRP'!AG7*1</f>
        <v>0</v>
      </c>
      <c r="AH7">
        <f>'Backlog CRP'!AH7*1</f>
        <v>0</v>
      </c>
      <c r="AI7">
        <f>'Backlog CRP'!AI7*1</f>
        <v>0</v>
      </c>
      <c r="AK7">
        <f>'Backlog CRP'!AK7*1</f>
        <v>0</v>
      </c>
      <c r="AL7">
        <f>'Backlog CRP'!AL7*1</f>
        <v>0</v>
      </c>
      <c r="AM7">
        <f>'Backlog CRP'!AM7*1</f>
        <v>0</v>
      </c>
      <c r="AN7">
        <f>'Backlog CRP'!AN7*1</f>
        <v>0</v>
      </c>
      <c r="AP7">
        <f>'Backlog CRP'!AP7*1</f>
        <v>0</v>
      </c>
      <c r="AQ7">
        <f>'Backlog CRP'!AQ7*1</f>
        <v>0</v>
      </c>
      <c r="AR7">
        <f>'Backlog CRP'!AR7*1</f>
        <v>0</v>
      </c>
      <c r="AS7">
        <f>'Backlog CRP'!AS7*1</f>
        <v>0</v>
      </c>
      <c r="AU7">
        <f>'Backlog CRP'!AU7*1</f>
        <v>0</v>
      </c>
      <c r="AV7">
        <f>'Backlog CRP'!AV7*1</f>
        <v>0</v>
      </c>
      <c r="AW7">
        <f>'Backlog CRP'!AW7*1</f>
        <v>0</v>
      </c>
      <c r="AX7">
        <f>'Backlog CRP'!AX7*1</f>
        <v>0</v>
      </c>
      <c r="AZ7">
        <f t="shared" si="1"/>
        <v>0</v>
      </c>
      <c r="BA7">
        <f t="shared" si="2"/>
        <v>0</v>
      </c>
      <c r="BB7">
        <f t="shared" si="2"/>
        <v>0</v>
      </c>
      <c r="BC7">
        <f t="shared" si="2"/>
        <v>0</v>
      </c>
    </row>
    <row r="8" spans="1:55" x14ac:dyDescent="0.35">
      <c r="A8">
        <v>6</v>
      </c>
      <c r="B8">
        <f>'Backlog CRP'!B8*1</f>
        <v>0</v>
      </c>
      <c r="C8">
        <f>'Backlog CRP'!C8*1</f>
        <v>0</v>
      </c>
      <c r="D8">
        <f>'Backlog CRP'!D8*1</f>
        <v>0</v>
      </c>
      <c r="E8">
        <f>'Backlog CRP'!E8*1</f>
        <v>0</v>
      </c>
      <c r="G8">
        <f>'Backlog CRP'!G8*1</f>
        <v>0</v>
      </c>
      <c r="H8">
        <f>'Backlog CRP'!H8*1</f>
        <v>0</v>
      </c>
      <c r="I8">
        <f>'Backlog CRP'!I8*1</f>
        <v>0</v>
      </c>
      <c r="J8">
        <f>'Backlog CRP'!J8*1</f>
        <v>0</v>
      </c>
      <c r="L8">
        <f>'Backlog CRP'!L8*1</f>
        <v>0</v>
      </c>
      <c r="M8">
        <f>'Backlog CRP'!M8*1</f>
        <v>0</v>
      </c>
      <c r="N8">
        <f>'Backlog CRP'!N8*1</f>
        <v>0</v>
      </c>
      <c r="O8">
        <f>'Backlog CRP'!O8*1</f>
        <v>0</v>
      </c>
      <c r="Q8">
        <f>'Backlog CRP'!Q8*1</f>
        <v>0</v>
      </c>
      <c r="R8">
        <f>'Backlog CRP'!R8*1</f>
        <v>0</v>
      </c>
      <c r="S8">
        <f>'Backlog CRP'!S8*1</f>
        <v>0</v>
      </c>
      <c r="T8">
        <f>'Backlog CRP'!T8*1</f>
        <v>0</v>
      </c>
      <c r="V8">
        <f>'Backlog CRP'!V8*1</f>
        <v>0</v>
      </c>
      <c r="W8">
        <f>'Backlog CRP'!W8*1</f>
        <v>0</v>
      </c>
      <c r="X8">
        <f>'Backlog CRP'!X8*1</f>
        <v>0</v>
      </c>
      <c r="Y8">
        <f>'Backlog CRP'!Y8*1</f>
        <v>0</v>
      </c>
      <c r="AA8">
        <f>'Backlog CRP'!AA8*1</f>
        <v>0</v>
      </c>
      <c r="AB8">
        <f>'Backlog CRP'!AB8*1</f>
        <v>0</v>
      </c>
      <c r="AC8">
        <f>'Backlog CRP'!AC8*1</f>
        <v>0</v>
      </c>
      <c r="AD8">
        <f>'Backlog CRP'!AD8*1</f>
        <v>0</v>
      </c>
      <c r="AF8">
        <f>'Backlog CRP'!AF8*1</f>
        <v>0</v>
      </c>
      <c r="AG8">
        <f>'Backlog CRP'!AG8*1</f>
        <v>0</v>
      </c>
      <c r="AH8">
        <f>'Backlog CRP'!AH8*1</f>
        <v>0</v>
      </c>
      <c r="AI8">
        <f>'Backlog CRP'!AI8*1</f>
        <v>0</v>
      </c>
      <c r="AK8">
        <f>'Backlog CRP'!AK8*1</f>
        <v>0</v>
      </c>
      <c r="AL8">
        <f>'Backlog CRP'!AL8*1</f>
        <v>0</v>
      </c>
      <c r="AM8">
        <f>'Backlog CRP'!AM8*1</f>
        <v>0</v>
      </c>
      <c r="AN8">
        <f>'Backlog CRP'!AN8*1</f>
        <v>0</v>
      </c>
      <c r="AP8">
        <f>'Backlog CRP'!AP8*1</f>
        <v>0</v>
      </c>
      <c r="AQ8">
        <f>'Backlog CRP'!AQ8*1</f>
        <v>0</v>
      </c>
      <c r="AR8">
        <f>'Backlog CRP'!AR8*1</f>
        <v>0</v>
      </c>
      <c r="AS8">
        <f>'Backlog CRP'!AS8*1</f>
        <v>0</v>
      </c>
      <c r="AU8">
        <f>'Backlog CRP'!AU8*1</f>
        <v>0</v>
      </c>
      <c r="AV8">
        <f>'Backlog CRP'!AV8*1</f>
        <v>0</v>
      </c>
      <c r="AW8">
        <f>'Backlog CRP'!AW8*1</f>
        <v>0</v>
      </c>
      <c r="AX8">
        <f>'Backlog CRP'!AX8*1</f>
        <v>0</v>
      </c>
      <c r="AZ8">
        <f t="shared" si="1"/>
        <v>0</v>
      </c>
      <c r="BA8">
        <f t="shared" si="2"/>
        <v>0</v>
      </c>
      <c r="BB8">
        <f t="shared" si="2"/>
        <v>0</v>
      </c>
      <c r="BC8">
        <f t="shared" si="2"/>
        <v>0</v>
      </c>
    </row>
    <row r="9" spans="1:55" x14ac:dyDescent="0.35">
      <c r="A9">
        <v>7</v>
      </c>
      <c r="B9">
        <f>'Backlog CRP'!B9*1</f>
        <v>0</v>
      </c>
      <c r="C9">
        <f>'Backlog CRP'!C9*1</f>
        <v>0</v>
      </c>
      <c r="D9">
        <f>'Backlog CRP'!D9*1</f>
        <v>0</v>
      </c>
      <c r="E9">
        <f>'Backlog CRP'!E9*1</f>
        <v>0</v>
      </c>
      <c r="G9">
        <f>'Backlog CRP'!G9*1</f>
        <v>0</v>
      </c>
      <c r="H9">
        <f>'Backlog CRP'!H9*1</f>
        <v>0</v>
      </c>
      <c r="I9">
        <f>'Backlog CRP'!I9*1</f>
        <v>0</v>
      </c>
      <c r="J9">
        <f>'Backlog CRP'!J9*1</f>
        <v>0</v>
      </c>
      <c r="L9">
        <f>'Backlog CRP'!L9*1</f>
        <v>0</v>
      </c>
      <c r="M9">
        <f>'Backlog CRP'!M9*1</f>
        <v>0</v>
      </c>
      <c r="N9">
        <f>'Backlog CRP'!N9*1</f>
        <v>0</v>
      </c>
      <c r="O9">
        <f>'Backlog CRP'!O9*1</f>
        <v>0</v>
      </c>
      <c r="Q9">
        <f>'Backlog CRP'!Q9*1</f>
        <v>0</v>
      </c>
      <c r="R9">
        <f>'Backlog CRP'!R9*1</f>
        <v>0</v>
      </c>
      <c r="S9">
        <f>'Backlog CRP'!S9*1</f>
        <v>0</v>
      </c>
      <c r="T9">
        <f>'Backlog CRP'!T9*1</f>
        <v>0</v>
      </c>
      <c r="V9">
        <f>'Backlog CRP'!V9*1</f>
        <v>0</v>
      </c>
      <c r="W9">
        <f>'Backlog CRP'!W9*1</f>
        <v>0</v>
      </c>
      <c r="X9">
        <f>'Backlog CRP'!X9*1</f>
        <v>0</v>
      </c>
      <c r="Y9">
        <f>'Backlog CRP'!Y9*1</f>
        <v>0</v>
      </c>
      <c r="AA9">
        <f>'Backlog CRP'!AA9*1</f>
        <v>0</v>
      </c>
      <c r="AB9">
        <f>'Backlog CRP'!AB9*1</f>
        <v>0</v>
      </c>
      <c r="AC9">
        <f>'Backlog CRP'!AC9*1</f>
        <v>0</v>
      </c>
      <c r="AD9">
        <f>'Backlog CRP'!AD9*1</f>
        <v>0</v>
      </c>
      <c r="AF9">
        <f>'Backlog CRP'!AF9*1</f>
        <v>0</v>
      </c>
      <c r="AG9">
        <f>'Backlog CRP'!AG9*1</f>
        <v>0</v>
      </c>
      <c r="AH9">
        <f>'Backlog CRP'!AH9*1</f>
        <v>0</v>
      </c>
      <c r="AI9">
        <f>'Backlog CRP'!AI9*1</f>
        <v>0</v>
      </c>
      <c r="AK9">
        <f>'Backlog CRP'!AK9*1</f>
        <v>0</v>
      </c>
      <c r="AL9">
        <f>'Backlog CRP'!AL9*1</f>
        <v>0</v>
      </c>
      <c r="AM9">
        <f>'Backlog CRP'!AM9*1</f>
        <v>0</v>
      </c>
      <c r="AN9">
        <f>'Backlog CRP'!AN9*1</f>
        <v>0</v>
      </c>
      <c r="AP9">
        <f>'Backlog CRP'!AP9*1</f>
        <v>0</v>
      </c>
      <c r="AQ9">
        <f>'Backlog CRP'!AQ9*1</f>
        <v>0</v>
      </c>
      <c r="AR9">
        <f>'Backlog CRP'!AR9*1</f>
        <v>0</v>
      </c>
      <c r="AS9">
        <f>'Backlog CRP'!AS9*1</f>
        <v>0</v>
      </c>
      <c r="AU9">
        <f>'Backlog CRP'!AU9*1</f>
        <v>0</v>
      </c>
      <c r="AV9">
        <f>'Backlog CRP'!AV9*1</f>
        <v>0</v>
      </c>
      <c r="AW9">
        <f>'Backlog CRP'!AW9*1</f>
        <v>0</v>
      </c>
      <c r="AX9">
        <f>'Backlog CRP'!AX9*1</f>
        <v>0</v>
      </c>
      <c r="AZ9">
        <f t="shared" si="1"/>
        <v>0</v>
      </c>
      <c r="BA9">
        <f t="shared" si="2"/>
        <v>0</v>
      </c>
      <c r="BB9">
        <f t="shared" si="2"/>
        <v>0</v>
      </c>
      <c r="BC9">
        <f t="shared" si="2"/>
        <v>0</v>
      </c>
    </row>
    <row r="10" spans="1:55" x14ac:dyDescent="0.35">
      <c r="A10">
        <v>8</v>
      </c>
      <c r="B10">
        <f>'Backlog CRP'!B10*1</f>
        <v>0</v>
      </c>
      <c r="C10">
        <f>'Backlog CRP'!C10*1</f>
        <v>0</v>
      </c>
      <c r="D10">
        <f>'Backlog CRP'!D10*1</f>
        <v>0</v>
      </c>
      <c r="E10">
        <f>'Backlog CRP'!E10*1</f>
        <v>0</v>
      </c>
      <c r="G10">
        <f>'Backlog CRP'!G10*1</f>
        <v>0</v>
      </c>
      <c r="H10">
        <f>'Backlog CRP'!H10*1</f>
        <v>0</v>
      </c>
      <c r="I10">
        <f>'Backlog CRP'!I10*1</f>
        <v>0</v>
      </c>
      <c r="J10">
        <f>'Backlog CRP'!J10*1</f>
        <v>0</v>
      </c>
      <c r="L10">
        <f>'Backlog CRP'!L10*1</f>
        <v>0</v>
      </c>
      <c r="M10">
        <f>'Backlog CRP'!M10*1</f>
        <v>0</v>
      </c>
      <c r="N10">
        <f>'Backlog CRP'!N10*1</f>
        <v>0</v>
      </c>
      <c r="O10">
        <f>'Backlog CRP'!O10*1</f>
        <v>0</v>
      </c>
      <c r="Q10">
        <f>'Backlog CRP'!Q10*1</f>
        <v>0</v>
      </c>
      <c r="R10">
        <f>'Backlog CRP'!R10*1</f>
        <v>0</v>
      </c>
      <c r="S10">
        <f>'Backlog CRP'!S10*1</f>
        <v>0</v>
      </c>
      <c r="T10">
        <f>'Backlog CRP'!T10*1</f>
        <v>0</v>
      </c>
      <c r="V10">
        <f>'Backlog CRP'!V10*1</f>
        <v>0</v>
      </c>
      <c r="W10">
        <f>'Backlog CRP'!W10*1</f>
        <v>0</v>
      </c>
      <c r="X10">
        <f>'Backlog CRP'!X10*1</f>
        <v>0</v>
      </c>
      <c r="Y10">
        <f>'Backlog CRP'!Y10*1</f>
        <v>0</v>
      </c>
      <c r="AA10">
        <f>'Backlog CRP'!AA10*1</f>
        <v>0</v>
      </c>
      <c r="AB10">
        <f>'Backlog CRP'!AB10*1</f>
        <v>0</v>
      </c>
      <c r="AC10">
        <f>'Backlog CRP'!AC10*1</f>
        <v>0</v>
      </c>
      <c r="AD10">
        <f>'Backlog CRP'!AD10*1</f>
        <v>0</v>
      </c>
      <c r="AF10">
        <f>'Backlog CRP'!AF10*1</f>
        <v>0</v>
      </c>
      <c r="AG10">
        <f>'Backlog CRP'!AG10*1</f>
        <v>0</v>
      </c>
      <c r="AH10">
        <f>'Backlog CRP'!AH10*1</f>
        <v>0</v>
      </c>
      <c r="AI10">
        <f>'Backlog CRP'!AI10*1</f>
        <v>0</v>
      </c>
      <c r="AK10">
        <f>'Backlog CRP'!AK10*1</f>
        <v>0</v>
      </c>
      <c r="AL10">
        <f>'Backlog CRP'!AL10*1</f>
        <v>0</v>
      </c>
      <c r="AM10">
        <f>'Backlog CRP'!AM10*1</f>
        <v>0</v>
      </c>
      <c r="AN10">
        <f>'Backlog CRP'!AN10*1</f>
        <v>0</v>
      </c>
      <c r="AP10">
        <f>'Backlog CRP'!AP10*1</f>
        <v>0</v>
      </c>
      <c r="AQ10">
        <f>'Backlog CRP'!AQ10*1</f>
        <v>0</v>
      </c>
      <c r="AR10">
        <f>'Backlog CRP'!AR10*1</f>
        <v>0</v>
      </c>
      <c r="AS10">
        <f>'Backlog CRP'!AS10*1</f>
        <v>0</v>
      </c>
      <c r="AU10">
        <f>'Backlog CRP'!AU10*1</f>
        <v>0</v>
      </c>
      <c r="AV10">
        <f>'Backlog CRP'!AV10*1</f>
        <v>0</v>
      </c>
      <c r="AW10">
        <f>'Backlog CRP'!AW10*1</f>
        <v>0</v>
      </c>
      <c r="AX10">
        <f>'Backlog CRP'!AX10*1</f>
        <v>0</v>
      </c>
      <c r="AZ10">
        <f t="shared" si="1"/>
        <v>0</v>
      </c>
      <c r="BA10">
        <f t="shared" si="2"/>
        <v>0</v>
      </c>
      <c r="BB10">
        <f t="shared" si="2"/>
        <v>0</v>
      </c>
      <c r="BC10">
        <f t="shared" si="2"/>
        <v>0</v>
      </c>
    </row>
    <row r="11" spans="1:55" x14ac:dyDescent="0.35">
      <c r="A11">
        <v>9</v>
      </c>
      <c r="B11">
        <f>'Backlog CRP'!B11*1</f>
        <v>0</v>
      </c>
      <c r="C11">
        <f>'Backlog CRP'!C11*1</f>
        <v>0</v>
      </c>
      <c r="D11">
        <f>'Backlog CRP'!D11*1</f>
        <v>0</v>
      </c>
      <c r="E11">
        <f>'Backlog CRP'!E11*1</f>
        <v>0</v>
      </c>
      <c r="G11">
        <f>'Backlog CRP'!G11*1</f>
        <v>0</v>
      </c>
      <c r="H11">
        <f>'Backlog CRP'!H11*1</f>
        <v>0</v>
      </c>
      <c r="I11">
        <f>'Backlog CRP'!I11*1</f>
        <v>0</v>
      </c>
      <c r="J11">
        <f>'Backlog CRP'!J11*1</f>
        <v>0</v>
      </c>
      <c r="L11">
        <f>'Backlog CRP'!L11*1</f>
        <v>0</v>
      </c>
      <c r="M11">
        <f>'Backlog CRP'!M11*1</f>
        <v>0</v>
      </c>
      <c r="N11">
        <f>'Backlog CRP'!N11*1</f>
        <v>0</v>
      </c>
      <c r="O11">
        <f>'Backlog CRP'!O11*1</f>
        <v>0</v>
      </c>
      <c r="Q11">
        <f>'Backlog CRP'!Q11*1</f>
        <v>0</v>
      </c>
      <c r="R11">
        <f>'Backlog CRP'!R11*1</f>
        <v>0</v>
      </c>
      <c r="S11">
        <f>'Backlog CRP'!S11*1</f>
        <v>0</v>
      </c>
      <c r="T11">
        <f>'Backlog CRP'!T11*1</f>
        <v>0</v>
      </c>
      <c r="V11">
        <f>'Backlog CRP'!V11*1</f>
        <v>0</v>
      </c>
      <c r="W11">
        <f>'Backlog CRP'!W11*1</f>
        <v>0</v>
      </c>
      <c r="X11">
        <f>'Backlog CRP'!X11*1</f>
        <v>0</v>
      </c>
      <c r="Y11">
        <f>'Backlog CRP'!Y11*1</f>
        <v>0</v>
      </c>
      <c r="AA11">
        <f>'Backlog CRP'!AA11*1</f>
        <v>0</v>
      </c>
      <c r="AB11">
        <f>'Backlog CRP'!AB11*1</f>
        <v>0</v>
      </c>
      <c r="AC11">
        <f>'Backlog CRP'!AC11*1</f>
        <v>0</v>
      </c>
      <c r="AD11">
        <f>'Backlog CRP'!AD11*1</f>
        <v>0</v>
      </c>
      <c r="AF11">
        <f>'Backlog CRP'!AF11*1</f>
        <v>0</v>
      </c>
      <c r="AG11">
        <f>'Backlog CRP'!AG11*1</f>
        <v>0</v>
      </c>
      <c r="AH11">
        <f>'Backlog CRP'!AH11*1</f>
        <v>0</v>
      </c>
      <c r="AI11">
        <f>'Backlog CRP'!AI11*1</f>
        <v>0</v>
      </c>
      <c r="AK11">
        <f>'Backlog CRP'!AK11*1</f>
        <v>0</v>
      </c>
      <c r="AL11">
        <f>'Backlog CRP'!AL11*1</f>
        <v>0</v>
      </c>
      <c r="AM11">
        <f>'Backlog CRP'!AM11*1</f>
        <v>0</v>
      </c>
      <c r="AN11">
        <f>'Backlog CRP'!AN11*1</f>
        <v>0</v>
      </c>
      <c r="AP11">
        <f>'Backlog CRP'!AP11*1</f>
        <v>0</v>
      </c>
      <c r="AQ11">
        <f>'Backlog CRP'!AQ11*1</f>
        <v>0</v>
      </c>
      <c r="AR11">
        <f>'Backlog CRP'!AR11*1</f>
        <v>0</v>
      </c>
      <c r="AS11">
        <f>'Backlog CRP'!AS11*1</f>
        <v>0</v>
      </c>
      <c r="AU11">
        <f>'Backlog CRP'!AU11*1</f>
        <v>3</v>
      </c>
      <c r="AV11">
        <f>'Backlog CRP'!AV11*1</f>
        <v>0</v>
      </c>
      <c r="AW11">
        <f>'Backlog CRP'!AW11*1</f>
        <v>0</v>
      </c>
      <c r="AX11">
        <f>'Backlog CRP'!AX11*1</f>
        <v>0</v>
      </c>
      <c r="AZ11">
        <f t="shared" si="1"/>
        <v>0.3</v>
      </c>
      <c r="BA11">
        <f t="shared" si="2"/>
        <v>0</v>
      </c>
      <c r="BB11">
        <f t="shared" si="2"/>
        <v>0</v>
      </c>
      <c r="BC11">
        <f t="shared" si="2"/>
        <v>0</v>
      </c>
    </row>
    <row r="12" spans="1:55" x14ac:dyDescent="0.35">
      <c r="A12">
        <v>10</v>
      </c>
      <c r="B12">
        <f>'Backlog CRP'!B12*1</f>
        <v>2</v>
      </c>
      <c r="C12">
        <f>'Backlog CRP'!C12*1</f>
        <v>0</v>
      </c>
      <c r="D12">
        <f>'Backlog CRP'!D12*1</f>
        <v>0</v>
      </c>
      <c r="E12">
        <f>'Backlog CRP'!E12*1</f>
        <v>0</v>
      </c>
      <c r="G12">
        <f>'Backlog CRP'!G12*1</f>
        <v>0</v>
      </c>
      <c r="H12">
        <f>'Backlog CRP'!H12*1</f>
        <v>0</v>
      </c>
      <c r="I12">
        <f>'Backlog CRP'!I12*1</f>
        <v>0</v>
      </c>
      <c r="J12">
        <f>'Backlog CRP'!J12*1</f>
        <v>0</v>
      </c>
      <c r="L12">
        <f>'Backlog CRP'!L12*1</f>
        <v>1</v>
      </c>
      <c r="M12">
        <f>'Backlog CRP'!M12*1</f>
        <v>0</v>
      </c>
      <c r="N12">
        <f>'Backlog CRP'!N12*1</f>
        <v>0</v>
      </c>
      <c r="O12">
        <f>'Backlog CRP'!O12*1</f>
        <v>0</v>
      </c>
      <c r="Q12">
        <f>'Backlog CRP'!Q12*1</f>
        <v>1</v>
      </c>
      <c r="R12">
        <f>'Backlog CRP'!R12*1</f>
        <v>0</v>
      </c>
      <c r="S12">
        <f>'Backlog CRP'!S12*1</f>
        <v>0</v>
      </c>
      <c r="T12">
        <f>'Backlog CRP'!T12*1</f>
        <v>0</v>
      </c>
      <c r="V12">
        <f>'Backlog CRP'!V12*1</f>
        <v>0</v>
      </c>
      <c r="W12">
        <f>'Backlog CRP'!W12*1</f>
        <v>0</v>
      </c>
      <c r="X12">
        <f>'Backlog CRP'!X12*1</f>
        <v>0</v>
      </c>
      <c r="Y12">
        <f>'Backlog CRP'!Y12*1</f>
        <v>0</v>
      </c>
      <c r="AA12">
        <f>'Backlog CRP'!AA12*1</f>
        <v>0</v>
      </c>
      <c r="AB12">
        <f>'Backlog CRP'!AB12*1</f>
        <v>0</v>
      </c>
      <c r="AC12">
        <f>'Backlog CRP'!AC12*1</f>
        <v>0</v>
      </c>
      <c r="AD12">
        <f>'Backlog CRP'!AD12*1</f>
        <v>0</v>
      </c>
      <c r="AF12">
        <f>'Backlog CRP'!AF12*1</f>
        <v>1</v>
      </c>
      <c r="AG12">
        <f>'Backlog CRP'!AG12*1</f>
        <v>0</v>
      </c>
      <c r="AH12">
        <f>'Backlog CRP'!AH12*1</f>
        <v>0</v>
      </c>
      <c r="AI12">
        <f>'Backlog CRP'!AI12*1</f>
        <v>0</v>
      </c>
      <c r="AK12">
        <f>'Backlog CRP'!AK12*1</f>
        <v>1</v>
      </c>
      <c r="AL12">
        <f>'Backlog CRP'!AL12*1</f>
        <v>0</v>
      </c>
      <c r="AM12">
        <f>'Backlog CRP'!AM12*1</f>
        <v>0</v>
      </c>
      <c r="AN12">
        <f>'Backlog CRP'!AN12*1</f>
        <v>0</v>
      </c>
      <c r="AP12">
        <f>'Backlog CRP'!AP12*1</f>
        <v>0</v>
      </c>
      <c r="AQ12">
        <f>'Backlog CRP'!AQ12*1</f>
        <v>0</v>
      </c>
      <c r="AR12">
        <f>'Backlog CRP'!AR12*1</f>
        <v>0</v>
      </c>
      <c r="AS12">
        <f>'Backlog CRP'!AS12*1</f>
        <v>0</v>
      </c>
      <c r="AU12">
        <f>'Backlog CRP'!AU12*1</f>
        <v>4</v>
      </c>
      <c r="AV12">
        <f>'Backlog CRP'!AV12*1</f>
        <v>0</v>
      </c>
      <c r="AW12">
        <f>'Backlog CRP'!AW12*1</f>
        <v>0</v>
      </c>
      <c r="AX12">
        <f>'Backlog CRP'!AX12*1</f>
        <v>0</v>
      </c>
      <c r="AZ12">
        <f t="shared" si="1"/>
        <v>1</v>
      </c>
      <c r="BA12">
        <f t="shared" si="2"/>
        <v>0</v>
      </c>
      <c r="BB12">
        <f t="shared" si="2"/>
        <v>0</v>
      </c>
      <c r="BC12">
        <f t="shared" si="2"/>
        <v>0</v>
      </c>
    </row>
    <row r="13" spans="1:55" x14ac:dyDescent="0.35">
      <c r="A13">
        <v>11</v>
      </c>
      <c r="B13">
        <f>'Backlog CRP'!B13*1</f>
        <v>0</v>
      </c>
      <c r="C13">
        <f>'Backlog CRP'!C13*1</f>
        <v>17</v>
      </c>
      <c r="D13">
        <f>'Backlog CRP'!D13*1</f>
        <v>0</v>
      </c>
      <c r="E13">
        <f>'Backlog CRP'!E13*1</f>
        <v>0</v>
      </c>
      <c r="G13">
        <f>'Backlog CRP'!G13*1</f>
        <v>1</v>
      </c>
      <c r="H13">
        <f>'Backlog CRP'!H13*1</f>
        <v>0</v>
      </c>
      <c r="I13">
        <f>'Backlog CRP'!I13*1</f>
        <v>0</v>
      </c>
      <c r="J13">
        <f>'Backlog CRP'!J13*1</f>
        <v>0</v>
      </c>
      <c r="L13">
        <f>'Backlog CRP'!L13*1</f>
        <v>1</v>
      </c>
      <c r="M13">
        <f>'Backlog CRP'!M13*1</f>
        <v>0</v>
      </c>
      <c r="N13">
        <f>'Backlog CRP'!N13*1</f>
        <v>0</v>
      </c>
      <c r="O13">
        <f>'Backlog CRP'!O13*1</f>
        <v>0</v>
      </c>
      <c r="Q13">
        <f>'Backlog CRP'!Q13*1</f>
        <v>1</v>
      </c>
      <c r="R13">
        <f>'Backlog CRP'!R13*1</f>
        <v>10</v>
      </c>
      <c r="S13">
        <f>'Backlog CRP'!S13*1</f>
        <v>0</v>
      </c>
      <c r="T13">
        <f>'Backlog CRP'!T13*1</f>
        <v>0</v>
      </c>
      <c r="V13">
        <f>'Backlog CRP'!V13*1</f>
        <v>2</v>
      </c>
      <c r="W13">
        <f>'Backlog CRP'!W13*1</f>
        <v>0</v>
      </c>
      <c r="X13">
        <f>'Backlog CRP'!X13*1</f>
        <v>0</v>
      </c>
      <c r="Y13">
        <f>'Backlog CRP'!Y13*1</f>
        <v>0</v>
      </c>
      <c r="AA13">
        <f>'Backlog CRP'!AA13*1</f>
        <v>2</v>
      </c>
      <c r="AB13">
        <f>'Backlog CRP'!AB13*1</f>
        <v>0</v>
      </c>
      <c r="AC13">
        <f>'Backlog CRP'!AC13*1</f>
        <v>0</v>
      </c>
      <c r="AD13">
        <f>'Backlog CRP'!AD13*1</f>
        <v>0</v>
      </c>
      <c r="AF13">
        <f>'Backlog CRP'!AF13*1</f>
        <v>0</v>
      </c>
      <c r="AG13">
        <f>'Backlog CRP'!AG13*1</f>
        <v>0</v>
      </c>
      <c r="AH13">
        <f>'Backlog CRP'!AH13*1</f>
        <v>0</v>
      </c>
      <c r="AI13">
        <f>'Backlog CRP'!AI13*1</f>
        <v>0</v>
      </c>
      <c r="AK13">
        <f>'Backlog CRP'!AK13*1</f>
        <v>0</v>
      </c>
      <c r="AL13">
        <f>'Backlog CRP'!AL13*1</f>
        <v>0</v>
      </c>
      <c r="AM13">
        <f>'Backlog CRP'!AM13*1</f>
        <v>0</v>
      </c>
      <c r="AN13">
        <f>'Backlog CRP'!AN13*1</f>
        <v>0</v>
      </c>
      <c r="AP13">
        <f>'Backlog CRP'!AP13*1</f>
        <v>0</v>
      </c>
      <c r="AQ13">
        <f>'Backlog CRP'!AQ13*1</f>
        <v>0</v>
      </c>
      <c r="AR13">
        <f>'Backlog CRP'!AR13*1</f>
        <v>0</v>
      </c>
      <c r="AS13">
        <f>'Backlog CRP'!AS13*1</f>
        <v>0</v>
      </c>
      <c r="AU13">
        <f>'Backlog CRP'!AU13*1</f>
        <v>0</v>
      </c>
      <c r="AV13">
        <f>'Backlog CRP'!AV13*1</f>
        <v>31</v>
      </c>
      <c r="AW13">
        <f>'Backlog CRP'!AW13*1</f>
        <v>0</v>
      </c>
      <c r="AX13">
        <f>'Backlog CRP'!AX13*1</f>
        <v>0</v>
      </c>
      <c r="AZ13">
        <f t="shared" si="1"/>
        <v>0.7</v>
      </c>
      <c r="BA13">
        <f t="shared" si="2"/>
        <v>5.8</v>
      </c>
      <c r="BB13">
        <f t="shared" si="2"/>
        <v>0</v>
      </c>
      <c r="BC13">
        <f t="shared" si="2"/>
        <v>0</v>
      </c>
    </row>
    <row r="14" spans="1:55" x14ac:dyDescent="0.35">
      <c r="A14">
        <v>12</v>
      </c>
      <c r="B14">
        <f>'Backlog CRP'!B14*1</f>
        <v>0</v>
      </c>
      <c r="C14">
        <f>'Backlog CRP'!C14*1</f>
        <v>6</v>
      </c>
      <c r="D14">
        <f>'Backlog CRP'!D14*1</f>
        <v>0</v>
      </c>
      <c r="E14">
        <f>'Backlog CRP'!E14*1</f>
        <v>0</v>
      </c>
      <c r="G14">
        <f>'Backlog CRP'!G14*1</f>
        <v>0</v>
      </c>
      <c r="H14">
        <f>'Backlog CRP'!H14*1</f>
        <v>16</v>
      </c>
      <c r="I14">
        <f>'Backlog CRP'!I14*1</f>
        <v>0</v>
      </c>
      <c r="J14">
        <f>'Backlog CRP'!J14*1</f>
        <v>0</v>
      </c>
      <c r="L14">
        <f>'Backlog CRP'!L14*1</f>
        <v>0</v>
      </c>
      <c r="M14">
        <f>'Backlog CRP'!M14*1</f>
        <v>3</v>
      </c>
      <c r="N14">
        <f>'Backlog CRP'!N14*1</f>
        <v>0</v>
      </c>
      <c r="O14">
        <f>'Backlog CRP'!O14*1</f>
        <v>0</v>
      </c>
      <c r="Q14">
        <f>'Backlog CRP'!Q14*1</f>
        <v>0</v>
      </c>
      <c r="R14">
        <f>'Backlog CRP'!R14*1</f>
        <v>8</v>
      </c>
      <c r="S14">
        <f>'Backlog CRP'!S14*1</f>
        <v>0</v>
      </c>
      <c r="T14">
        <f>'Backlog CRP'!T14*1</f>
        <v>0</v>
      </c>
      <c r="V14">
        <f>'Backlog CRP'!V14*1</f>
        <v>0</v>
      </c>
      <c r="W14">
        <f>'Backlog CRP'!W14*1</f>
        <v>4</v>
      </c>
      <c r="X14">
        <f>'Backlog CRP'!X14*1</f>
        <v>0</v>
      </c>
      <c r="Y14">
        <f>'Backlog CRP'!Y14*1</f>
        <v>0</v>
      </c>
      <c r="AA14">
        <f>'Backlog CRP'!AA14*1</f>
        <v>0</v>
      </c>
      <c r="AB14">
        <f>'Backlog CRP'!AB14*1</f>
        <v>4</v>
      </c>
      <c r="AC14">
        <f>'Backlog CRP'!AC14*1</f>
        <v>0</v>
      </c>
      <c r="AD14">
        <f>'Backlog CRP'!AD14*1</f>
        <v>0</v>
      </c>
      <c r="AF14">
        <f>'Backlog CRP'!AF14*1</f>
        <v>0</v>
      </c>
      <c r="AG14">
        <f>'Backlog CRP'!AG14*1</f>
        <v>21</v>
      </c>
      <c r="AH14">
        <f>'Backlog CRP'!AH14*1</f>
        <v>0</v>
      </c>
      <c r="AI14">
        <f>'Backlog CRP'!AI14*1</f>
        <v>0</v>
      </c>
      <c r="AK14">
        <f>'Backlog CRP'!AK14*1</f>
        <v>0</v>
      </c>
      <c r="AL14">
        <f>'Backlog CRP'!AL14*1</f>
        <v>2</v>
      </c>
      <c r="AM14">
        <f>'Backlog CRP'!AM14*1</f>
        <v>0</v>
      </c>
      <c r="AN14">
        <f>'Backlog CRP'!AN14*1</f>
        <v>0</v>
      </c>
      <c r="AP14">
        <f>'Backlog CRP'!AP14*1</f>
        <v>0</v>
      </c>
      <c r="AQ14">
        <f>'Backlog CRP'!AQ14*1</f>
        <v>0</v>
      </c>
      <c r="AR14">
        <f>'Backlog CRP'!AR14*1</f>
        <v>0</v>
      </c>
      <c r="AS14">
        <f>'Backlog CRP'!AS14*1</f>
        <v>0</v>
      </c>
      <c r="AU14">
        <f>'Backlog CRP'!AU14*1</f>
        <v>0</v>
      </c>
      <c r="AV14">
        <f>'Backlog CRP'!AV14*1</f>
        <v>2</v>
      </c>
      <c r="AW14">
        <f>'Backlog CRP'!AW14*1</f>
        <v>0</v>
      </c>
      <c r="AX14">
        <f>'Backlog CRP'!AX14*1</f>
        <v>0</v>
      </c>
      <c r="AZ14">
        <f t="shared" si="1"/>
        <v>0</v>
      </c>
      <c r="BA14">
        <f t="shared" si="2"/>
        <v>6.6</v>
      </c>
      <c r="BB14">
        <f t="shared" si="2"/>
        <v>0</v>
      </c>
      <c r="BC14">
        <f t="shared" si="2"/>
        <v>0</v>
      </c>
    </row>
    <row r="15" spans="1:55" x14ac:dyDescent="0.35">
      <c r="A15">
        <v>13</v>
      </c>
      <c r="B15">
        <f>'Backlog CRP'!B15*1</f>
        <v>0</v>
      </c>
      <c r="C15">
        <f>'Backlog CRP'!C15*1</f>
        <v>0</v>
      </c>
      <c r="D15">
        <f>'Backlog CRP'!D15*1</f>
        <v>0</v>
      </c>
      <c r="E15">
        <f>'Backlog CRP'!E15*1</f>
        <v>0</v>
      </c>
      <c r="G15">
        <f>'Backlog CRP'!G15*1</f>
        <v>0</v>
      </c>
      <c r="H15">
        <f>'Backlog CRP'!H15*1</f>
        <v>3</v>
      </c>
      <c r="I15">
        <f>'Backlog CRP'!I15*1</f>
        <v>0</v>
      </c>
      <c r="J15">
        <f>'Backlog CRP'!J15*1</f>
        <v>0</v>
      </c>
      <c r="L15">
        <f>'Backlog CRP'!L15*1</f>
        <v>0</v>
      </c>
      <c r="M15">
        <f>'Backlog CRP'!M15*1</f>
        <v>1</v>
      </c>
      <c r="N15">
        <f>'Backlog CRP'!N15*1</f>
        <v>0</v>
      </c>
      <c r="O15">
        <f>'Backlog CRP'!O15*1</f>
        <v>0</v>
      </c>
      <c r="Q15">
        <f>'Backlog CRP'!Q15*1</f>
        <v>0</v>
      </c>
      <c r="R15">
        <f>'Backlog CRP'!R15*1</f>
        <v>0</v>
      </c>
      <c r="S15">
        <f>'Backlog CRP'!S15*1</f>
        <v>0</v>
      </c>
      <c r="T15">
        <f>'Backlog CRP'!T15*1</f>
        <v>0</v>
      </c>
      <c r="V15">
        <f>'Backlog CRP'!V15*1</f>
        <v>0</v>
      </c>
      <c r="W15">
        <f>'Backlog CRP'!W15*1</f>
        <v>6</v>
      </c>
      <c r="X15">
        <f>'Backlog CRP'!X15*1</f>
        <v>0</v>
      </c>
      <c r="Y15">
        <f>'Backlog CRP'!Y15*1</f>
        <v>0</v>
      </c>
      <c r="AA15">
        <f>'Backlog CRP'!AA15*1</f>
        <v>0</v>
      </c>
      <c r="AB15">
        <f>'Backlog CRP'!AB15*1</f>
        <v>6</v>
      </c>
      <c r="AC15">
        <f>'Backlog CRP'!AC15*1</f>
        <v>0</v>
      </c>
      <c r="AD15">
        <f>'Backlog CRP'!AD15*1</f>
        <v>0</v>
      </c>
      <c r="AF15">
        <f>'Backlog CRP'!AF15*1</f>
        <v>0</v>
      </c>
      <c r="AG15">
        <f>'Backlog CRP'!AG15*1</f>
        <v>0</v>
      </c>
      <c r="AH15">
        <f>'Backlog CRP'!AH15*1</f>
        <v>0</v>
      </c>
      <c r="AI15">
        <f>'Backlog CRP'!AI15*1</f>
        <v>0</v>
      </c>
      <c r="AK15">
        <f>'Backlog CRP'!AK15*1</f>
        <v>0</v>
      </c>
      <c r="AL15">
        <f>'Backlog CRP'!AL15*1</f>
        <v>0</v>
      </c>
      <c r="AM15">
        <f>'Backlog CRP'!AM15*1</f>
        <v>0</v>
      </c>
      <c r="AN15">
        <f>'Backlog CRP'!AN15*1</f>
        <v>0</v>
      </c>
      <c r="AP15">
        <f>'Backlog CRP'!AP15*1</f>
        <v>0</v>
      </c>
      <c r="AQ15">
        <f>'Backlog CRP'!AQ15*1</f>
        <v>0</v>
      </c>
      <c r="AR15">
        <f>'Backlog CRP'!AR15*1</f>
        <v>0</v>
      </c>
      <c r="AS15">
        <f>'Backlog CRP'!AS15*1</f>
        <v>0</v>
      </c>
      <c r="AU15">
        <f>'Backlog CRP'!AU15*1</f>
        <v>0</v>
      </c>
      <c r="AV15">
        <f>'Backlog CRP'!AV15*1</f>
        <v>0</v>
      </c>
      <c r="AW15">
        <f>'Backlog CRP'!AW15*1</f>
        <v>0</v>
      </c>
      <c r="AX15">
        <f>'Backlog CRP'!AX15*1</f>
        <v>0</v>
      </c>
      <c r="AZ15">
        <f t="shared" si="1"/>
        <v>0</v>
      </c>
      <c r="BA15">
        <f t="shared" si="2"/>
        <v>1.6</v>
      </c>
      <c r="BB15">
        <f t="shared" si="2"/>
        <v>0</v>
      </c>
      <c r="BC15">
        <f t="shared" si="2"/>
        <v>0</v>
      </c>
    </row>
    <row r="16" spans="1:55" x14ac:dyDescent="0.35">
      <c r="A16">
        <v>14</v>
      </c>
      <c r="B16">
        <f>'Backlog CRP'!B16*1</f>
        <v>0</v>
      </c>
      <c r="C16">
        <f>'Backlog CRP'!C16*1</f>
        <v>0</v>
      </c>
      <c r="D16">
        <f>'Backlog CRP'!D16*1</f>
        <v>0</v>
      </c>
      <c r="E16">
        <f>'Backlog CRP'!E16*1</f>
        <v>0</v>
      </c>
      <c r="G16">
        <f>'Backlog CRP'!G16*1</f>
        <v>0</v>
      </c>
      <c r="H16">
        <f>'Backlog CRP'!H16*1</f>
        <v>0</v>
      </c>
      <c r="I16">
        <f>'Backlog CRP'!I16*1</f>
        <v>0</v>
      </c>
      <c r="J16">
        <f>'Backlog CRP'!J16*1</f>
        <v>0</v>
      </c>
      <c r="L16">
        <f>'Backlog CRP'!L16*1</f>
        <v>0</v>
      </c>
      <c r="M16">
        <f>'Backlog CRP'!M16*1</f>
        <v>0</v>
      </c>
      <c r="N16">
        <f>'Backlog CRP'!N16*1</f>
        <v>0</v>
      </c>
      <c r="O16">
        <f>'Backlog CRP'!O16*1</f>
        <v>0</v>
      </c>
      <c r="Q16">
        <f>'Backlog CRP'!Q16*1</f>
        <v>0</v>
      </c>
      <c r="R16">
        <f>'Backlog CRP'!R16*1</f>
        <v>0</v>
      </c>
      <c r="S16">
        <f>'Backlog CRP'!S16*1</f>
        <v>0</v>
      </c>
      <c r="T16">
        <f>'Backlog CRP'!T16*1</f>
        <v>0</v>
      </c>
      <c r="V16">
        <f>'Backlog CRP'!V16*1</f>
        <v>0</v>
      </c>
      <c r="W16">
        <f>'Backlog CRP'!W16*1</f>
        <v>0</v>
      </c>
      <c r="X16">
        <f>'Backlog CRP'!X16*1</f>
        <v>0</v>
      </c>
      <c r="Y16">
        <f>'Backlog CRP'!Y16*1</f>
        <v>0</v>
      </c>
      <c r="AA16">
        <f>'Backlog CRP'!AA16*1</f>
        <v>0</v>
      </c>
      <c r="AB16">
        <f>'Backlog CRP'!AB16*1</f>
        <v>0</v>
      </c>
      <c r="AC16">
        <f>'Backlog CRP'!AC16*1</f>
        <v>0</v>
      </c>
      <c r="AD16">
        <f>'Backlog CRP'!AD16*1</f>
        <v>0</v>
      </c>
      <c r="AF16">
        <f>'Backlog CRP'!AF16*1</f>
        <v>0</v>
      </c>
      <c r="AG16">
        <f>'Backlog CRP'!AG16*1</f>
        <v>0</v>
      </c>
      <c r="AH16">
        <f>'Backlog CRP'!AH16*1</f>
        <v>0</v>
      </c>
      <c r="AI16">
        <f>'Backlog CRP'!AI16*1</f>
        <v>0</v>
      </c>
      <c r="AK16">
        <f>'Backlog CRP'!AK16*1</f>
        <v>0</v>
      </c>
      <c r="AL16">
        <f>'Backlog CRP'!AL16*1</f>
        <v>0</v>
      </c>
      <c r="AM16">
        <f>'Backlog CRP'!AM16*1</f>
        <v>0</v>
      </c>
      <c r="AN16">
        <f>'Backlog CRP'!AN16*1</f>
        <v>0</v>
      </c>
      <c r="AP16">
        <f>'Backlog CRP'!AP16*1</f>
        <v>0</v>
      </c>
      <c r="AQ16">
        <f>'Backlog CRP'!AQ16*1</f>
        <v>0</v>
      </c>
      <c r="AR16">
        <f>'Backlog CRP'!AR16*1</f>
        <v>0</v>
      </c>
      <c r="AS16">
        <f>'Backlog CRP'!AS16*1</f>
        <v>0</v>
      </c>
      <c r="AU16">
        <f>'Backlog CRP'!AU16*1</f>
        <v>0</v>
      </c>
      <c r="AV16">
        <f>'Backlog CRP'!AV16*1</f>
        <v>0</v>
      </c>
      <c r="AW16">
        <f>'Backlog CRP'!AW16*1</f>
        <v>0</v>
      </c>
      <c r="AX16">
        <f>'Backlog CRP'!AX16*1</f>
        <v>0</v>
      </c>
      <c r="AZ16">
        <f t="shared" si="1"/>
        <v>0</v>
      </c>
      <c r="BA16">
        <f t="shared" si="2"/>
        <v>0</v>
      </c>
      <c r="BB16">
        <f t="shared" si="2"/>
        <v>0</v>
      </c>
      <c r="BC16">
        <f t="shared" si="2"/>
        <v>0</v>
      </c>
    </row>
    <row r="17" spans="1:55" x14ac:dyDescent="0.35">
      <c r="A17">
        <v>15</v>
      </c>
      <c r="B17">
        <f>'Backlog CRP'!B17*1</f>
        <v>0</v>
      </c>
      <c r="C17">
        <f>'Backlog CRP'!C17*1</f>
        <v>0</v>
      </c>
      <c r="D17">
        <f>'Backlog CRP'!D17*1</f>
        <v>0</v>
      </c>
      <c r="E17">
        <f>'Backlog CRP'!E17*1</f>
        <v>0</v>
      </c>
      <c r="G17">
        <f>'Backlog CRP'!G17*1</f>
        <v>0</v>
      </c>
      <c r="H17">
        <f>'Backlog CRP'!H17*1</f>
        <v>0</v>
      </c>
      <c r="I17">
        <f>'Backlog CRP'!I17*1</f>
        <v>0</v>
      </c>
      <c r="J17">
        <f>'Backlog CRP'!J17*1</f>
        <v>0</v>
      </c>
      <c r="L17">
        <f>'Backlog CRP'!L17*1</f>
        <v>0</v>
      </c>
      <c r="M17">
        <f>'Backlog CRP'!M17*1</f>
        <v>0</v>
      </c>
      <c r="N17">
        <f>'Backlog CRP'!N17*1</f>
        <v>0</v>
      </c>
      <c r="O17">
        <f>'Backlog CRP'!O17*1</f>
        <v>0</v>
      </c>
      <c r="Q17">
        <f>'Backlog CRP'!Q17*1</f>
        <v>0</v>
      </c>
      <c r="R17">
        <f>'Backlog CRP'!R17*1</f>
        <v>0</v>
      </c>
      <c r="S17">
        <f>'Backlog CRP'!S17*1</f>
        <v>0</v>
      </c>
      <c r="T17">
        <f>'Backlog CRP'!T17*1</f>
        <v>0</v>
      </c>
      <c r="V17">
        <f>'Backlog CRP'!V17*1</f>
        <v>0</v>
      </c>
      <c r="W17">
        <f>'Backlog CRP'!W17*1</f>
        <v>0</v>
      </c>
      <c r="X17">
        <f>'Backlog CRP'!X17*1</f>
        <v>0</v>
      </c>
      <c r="Y17">
        <f>'Backlog CRP'!Y17*1</f>
        <v>0</v>
      </c>
      <c r="AA17">
        <f>'Backlog CRP'!AA17*1</f>
        <v>0</v>
      </c>
      <c r="AB17">
        <f>'Backlog CRP'!AB17*1</f>
        <v>0</v>
      </c>
      <c r="AC17">
        <f>'Backlog CRP'!AC17*1</f>
        <v>0</v>
      </c>
      <c r="AD17">
        <f>'Backlog CRP'!AD17*1</f>
        <v>0</v>
      </c>
      <c r="AF17">
        <f>'Backlog CRP'!AF17*1</f>
        <v>0</v>
      </c>
      <c r="AG17">
        <f>'Backlog CRP'!AG17*1</f>
        <v>0</v>
      </c>
      <c r="AH17">
        <f>'Backlog CRP'!AH17*1</f>
        <v>0</v>
      </c>
      <c r="AI17">
        <f>'Backlog CRP'!AI17*1</f>
        <v>0</v>
      </c>
      <c r="AK17">
        <f>'Backlog CRP'!AK17*1</f>
        <v>0</v>
      </c>
      <c r="AL17">
        <f>'Backlog CRP'!AL17*1</f>
        <v>0</v>
      </c>
      <c r="AM17">
        <f>'Backlog CRP'!AM17*1</f>
        <v>0</v>
      </c>
      <c r="AN17">
        <f>'Backlog CRP'!AN17*1</f>
        <v>0</v>
      </c>
      <c r="AP17">
        <f>'Backlog CRP'!AP17*1</f>
        <v>0</v>
      </c>
      <c r="AQ17">
        <f>'Backlog CRP'!AQ17*1</f>
        <v>0</v>
      </c>
      <c r="AR17">
        <f>'Backlog CRP'!AR17*1</f>
        <v>0</v>
      </c>
      <c r="AS17">
        <f>'Backlog CRP'!AS17*1</f>
        <v>0</v>
      </c>
      <c r="AU17">
        <f>'Backlog CRP'!AU17*1</f>
        <v>2</v>
      </c>
      <c r="AV17">
        <f>'Backlog CRP'!AV17*1</f>
        <v>0</v>
      </c>
      <c r="AW17">
        <f>'Backlog CRP'!AW17*1</f>
        <v>0</v>
      </c>
      <c r="AX17">
        <f>'Backlog CRP'!AX17*1</f>
        <v>0</v>
      </c>
      <c r="AZ17">
        <f t="shared" si="1"/>
        <v>0.2</v>
      </c>
      <c r="BA17">
        <f t="shared" si="2"/>
        <v>0</v>
      </c>
      <c r="BB17">
        <f t="shared" si="2"/>
        <v>0</v>
      </c>
      <c r="BC17">
        <f t="shared" si="2"/>
        <v>0</v>
      </c>
    </row>
    <row r="18" spans="1:55" x14ac:dyDescent="0.35">
      <c r="A18">
        <v>16</v>
      </c>
      <c r="B18">
        <f>'Backlog CRP'!B18*1</f>
        <v>4</v>
      </c>
      <c r="C18">
        <f>'Backlog CRP'!C18*1</f>
        <v>0</v>
      </c>
      <c r="D18">
        <f>'Backlog CRP'!D18*1</f>
        <v>0</v>
      </c>
      <c r="E18">
        <f>'Backlog CRP'!E18*1</f>
        <v>0</v>
      </c>
      <c r="G18">
        <f>'Backlog CRP'!G18*1</f>
        <v>0</v>
      </c>
      <c r="H18">
        <f>'Backlog CRP'!H18*1</f>
        <v>0</v>
      </c>
      <c r="I18">
        <f>'Backlog CRP'!I18*1</f>
        <v>0</v>
      </c>
      <c r="J18">
        <f>'Backlog CRP'!J18*1</f>
        <v>0</v>
      </c>
      <c r="L18">
        <f>'Backlog CRP'!L18*1</f>
        <v>2</v>
      </c>
      <c r="M18">
        <f>'Backlog CRP'!M18*1</f>
        <v>0</v>
      </c>
      <c r="N18">
        <f>'Backlog CRP'!N18*1</f>
        <v>0</v>
      </c>
      <c r="O18">
        <f>'Backlog CRP'!O18*1</f>
        <v>0</v>
      </c>
      <c r="Q18">
        <f>'Backlog CRP'!Q18*1</f>
        <v>3</v>
      </c>
      <c r="R18">
        <f>'Backlog CRP'!R18*1</f>
        <v>0</v>
      </c>
      <c r="S18">
        <f>'Backlog CRP'!S18*1</f>
        <v>0</v>
      </c>
      <c r="T18">
        <f>'Backlog CRP'!T18*1</f>
        <v>0</v>
      </c>
      <c r="V18">
        <f>'Backlog CRP'!V18*1</f>
        <v>0</v>
      </c>
      <c r="W18">
        <f>'Backlog CRP'!W18*1</f>
        <v>0</v>
      </c>
      <c r="X18">
        <f>'Backlog CRP'!X18*1</f>
        <v>0</v>
      </c>
      <c r="Y18">
        <f>'Backlog CRP'!Y18*1</f>
        <v>0</v>
      </c>
      <c r="AA18">
        <f>'Backlog CRP'!AA18*1</f>
        <v>0</v>
      </c>
      <c r="AB18">
        <f>'Backlog CRP'!AB18*1</f>
        <v>0</v>
      </c>
      <c r="AC18">
        <f>'Backlog CRP'!AC18*1</f>
        <v>0</v>
      </c>
      <c r="AD18">
        <f>'Backlog CRP'!AD18*1</f>
        <v>0</v>
      </c>
      <c r="AF18">
        <f>'Backlog CRP'!AF18*1</f>
        <v>2</v>
      </c>
      <c r="AG18">
        <f>'Backlog CRP'!AG18*1</f>
        <v>0</v>
      </c>
      <c r="AH18">
        <f>'Backlog CRP'!AH18*1</f>
        <v>0</v>
      </c>
      <c r="AI18">
        <f>'Backlog CRP'!AI18*1</f>
        <v>0</v>
      </c>
      <c r="AK18">
        <f>'Backlog CRP'!AK18*1</f>
        <v>0</v>
      </c>
      <c r="AL18">
        <f>'Backlog CRP'!AL18*1</f>
        <v>0</v>
      </c>
      <c r="AM18">
        <f>'Backlog CRP'!AM18*1</f>
        <v>0</v>
      </c>
      <c r="AN18">
        <f>'Backlog CRP'!AN18*1</f>
        <v>0</v>
      </c>
      <c r="AP18">
        <f>'Backlog CRP'!AP18*1</f>
        <v>0</v>
      </c>
      <c r="AQ18">
        <f>'Backlog CRP'!AQ18*1</f>
        <v>0</v>
      </c>
      <c r="AR18">
        <f>'Backlog CRP'!AR18*1</f>
        <v>0</v>
      </c>
      <c r="AS18">
        <f>'Backlog CRP'!AS18*1</f>
        <v>0</v>
      </c>
      <c r="AU18">
        <f>'Backlog CRP'!AU18*1</f>
        <v>0</v>
      </c>
      <c r="AV18">
        <f>'Backlog CRP'!AV18*1</f>
        <v>0</v>
      </c>
      <c r="AW18">
        <f>'Backlog CRP'!AW18*1</f>
        <v>0</v>
      </c>
      <c r="AX18">
        <f>'Backlog CRP'!AX18*1</f>
        <v>0</v>
      </c>
      <c r="AZ18">
        <f t="shared" si="1"/>
        <v>1.1000000000000001</v>
      </c>
      <c r="BA18">
        <f t="shared" si="1"/>
        <v>0</v>
      </c>
      <c r="BB18">
        <f t="shared" si="1"/>
        <v>0</v>
      </c>
      <c r="BC18">
        <f t="shared" si="1"/>
        <v>0</v>
      </c>
    </row>
    <row r="19" spans="1:55" x14ac:dyDescent="0.35">
      <c r="A19">
        <v>17</v>
      </c>
      <c r="B19">
        <f>'Backlog CRP'!B19*1</f>
        <v>0</v>
      </c>
      <c r="C19">
        <f>'Backlog CRP'!C19*1</f>
        <v>21</v>
      </c>
      <c r="D19">
        <f>'Backlog CRP'!D19*1</f>
        <v>0</v>
      </c>
      <c r="E19">
        <f>'Backlog CRP'!E19*1</f>
        <v>0</v>
      </c>
      <c r="G19">
        <f>'Backlog CRP'!G19*1</f>
        <v>0</v>
      </c>
      <c r="H19">
        <f>'Backlog CRP'!H19*1</f>
        <v>3</v>
      </c>
      <c r="I19">
        <f>'Backlog CRP'!I19*1</f>
        <v>0</v>
      </c>
      <c r="J19">
        <f>'Backlog CRP'!J19*1</f>
        <v>0</v>
      </c>
      <c r="L19">
        <f>'Backlog CRP'!L19*1</f>
        <v>1</v>
      </c>
      <c r="M19">
        <f>'Backlog CRP'!M19*1</f>
        <v>0</v>
      </c>
      <c r="N19">
        <f>'Backlog CRP'!N19*1</f>
        <v>0</v>
      </c>
      <c r="O19">
        <f>'Backlog CRP'!O19*1</f>
        <v>0</v>
      </c>
      <c r="Q19">
        <f>'Backlog CRP'!Q19*1</f>
        <v>1</v>
      </c>
      <c r="R19">
        <f>'Backlog CRP'!R19*1</f>
        <v>13</v>
      </c>
      <c r="S19">
        <f>'Backlog CRP'!S19*1</f>
        <v>0</v>
      </c>
      <c r="T19">
        <f>'Backlog CRP'!T19*1</f>
        <v>0</v>
      </c>
      <c r="V19">
        <f>'Backlog CRP'!V19*1</f>
        <v>0</v>
      </c>
      <c r="W19">
        <f>'Backlog CRP'!W19*1</f>
        <v>0</v>
      </c>
      <c r="X19">
        <f>'Backlog CRP'!X19*1</f>
        <v>0</v>
      </c>
      <c r="Y19">
        <f>'Backlog CRP'!Y19*1</f>
        <v>0</v>
      </c>
      <c r="AA19">
        <f>'Backlog CRP'!AA19*1</f>
        <v>0</v>
      </c>
      <c r="AB19">
        <f>'Backlog CRP'!AB19*1</f>
        <v>0</v>
      </c>
      <c r="AC19">
        <f>'Backlog CRP'!AC19*1</f>
        <v>0</v>
      </c>
      <c r="AD19">
        <f>'Backlog CRP'!AD19*1</f>
        <v>0</v>
      </c>
      <c r="AF19">
        <f>'Backlog CRP'!AF19*1</f>
        <v>0</v>
      </c>
      <c r="AG19">
        <f>'Backlog CRP'!AG19*1</f>
        <v>7</v>
      </c>
      <c r="AH19">
        <f>'Backlog CRP'!AH19*1</f>
        <v>0</v>
      </c>
      <c r="AI19">
        <f>'Backlog CRP'!AI19*1</f>
        <v>0</v>
      </c>
      <c r="AK19">
        <f>'Backlog CRP'!AK19*1</f>
        <v>0</v>
      </c>
      <c r="AL19">
        <f>'Backlog CRP'!AL19*1</f>
        <v>0</v>
      </c>
      <c r="AM19">
        <f>'Backlog CRP'!AM19*1</f>
        <v>0</v>
      </c>
      <c r="AN19">
        <f>'Backlog CRP'!AN19*1</f>
        <v>0</v>
      </c>
      <c r="AP19">
        <f>'Backlog CRP'!AP19*1</f>
        <v>0</v>
      </c>
      <c r="AQ19">
        <f>'Backlog CRP'!AQ19*1</f>
        <v>0</v>
      </c>
      <c r="AR19">
        <f>'Backlog CRP'!AR19*1</f>
        <v>0</v>
      </c>
      <c r="AS19">
        <f>'Backlog CRP'!AS19*1</f>
        <v>0</v>
      </c>
      <c r="AU19">
        <f>'Backlog CRP'!AU19*1</f>
        <v>0</v>
      </c>
      <c r="AV19">
        <f>'Backlog CRP'!AV19*1</f>
        <v>24</v>
      </c>
      <c r="AW19">
        <f>'Backlog CRP'!AW19*1</f>
        <v>0</v>
      </c>
      <c r="AX19">
        <f>'Backlog CRP'!AX19*1</f>
        <v>0</v>
      </c>
      <c r="AZ19">
        <f t="shared" si="1"/>
        <v>0.2</v>
      </c>
      <c r="BA19">
        <f t="shared" si="1"/>
        <v>6.8</v>
      </c>
      <c r="BB19">
        <f t="shared" si="1"/>
        <v>0</v>
      </c>
      <c r="BC19">
        <f t="shared" si="1"/>
        <v>0</v>
      </c>
    </row>
    <row r="20" spans="1:55" x14ac:dyDescent="0.35">
      <c r="A20">
        <v>18</v>
      </c>
      <c r="B20">
        <f>'Backlog CRP'!B20*1</f>
        <v>0</v>
      </c>
      <c r="C20">
        <f>'Backlog CRP'!C20*1</f>
        <v>10</v>
      </c>
      <c r="D20">
        <f>'Backlog CRP'!D20*1</f>
        <v>0</v>
      </c>
      <c r="E20">
        <f>'Backlog CRP'!E20*1</f>
        <v>0</v>
      </c>
      <c r="G20">
        <f>'Backlog CRP'!G20*1</f>
        <v>0</v>
      </c>
      <c r="H20">
        <f>'Backlog CRP'!H20*1</f>
        <v>9</v>
      </c>
      <c r="I20">
        <f>'Backlog CRP'!I20*1</f>
        <v>0</v>
      </c>
      <c r="J20">
        <f>'Backlog CRP'!J20*1</f>
        <v>0</v>
      </c>
      <c r="L20">
        <f>'Backlog CRP'!L20*1</f>
        <v>0</v>
      </c>
      <c r="M20">
        <f>'Backlog CRP'!M20*1</f>
        <v>8</v>
      </c>
      <c r="N20">
        <f>'Backlog CRP'!N20*1</f>
        <v>0</v>
      </c>
      <c r="O20">
        <f>'Backlog CRP'!O20*1</f>
        <v>0</v>
      </c>
      <c r="Q20">
        <f>'Backlog CRP'!Q20*1</f>
        <v>0</v>
      </c>
      <c r="R20">
        <f>'Backlog CRP'!R20*1</f>
        <v>19</v>
      </c>
      <c r="S20">
        <f>'Backlog CRP'!S20*1</f>
        <v>0</v>
      </c>
      <c r="T20">
        <f>'Backlog CRP'!T20*1</f>
        <v>0</v>
      </c>
      <c r="V20">
        <f>'Backlog CRP'!V20*1</f>
        <v>0</v>
      </c>
      <c r="W20">
        <f>'Backlog CRP'!W20*1</f>
        <v>10</v>
      </c>
      <c r="X20">
        <f>'Backlog CRP'!X20*1</f>
        <v>0</v>
      </c>
      <c r="Y20">
        <f>'Backlog CRP'!Y20*1</f>
        <v>0</v>
      </c>
      <c r="AA20">
        <f>'Backlog CRP'!AA20*1</f>
        <v>0</v>
      </c>
      <c r="AB20">
        <f>'Backlog CRP'!AB20*1</f>
        <v>10</v>
      </c>
      <c r="AC20">
        <f>'Backlog CRP'!AC20*1</f>
        <v>0</v>
      </c>
      <c r="AD20">
        <f>'Backlog CRP'!AD20*1</f>
        <v>0</v>
      </c>
      <c r="AF20">
        <f>'Backlog CRP'!AF20*1</f>
        <v>0</v>
      </c>
      <c r="AG20">
        <f>'Backlog CRP'!AG20*1</f>
        <v>17</v>
      </c>
      <c r="AH20">
        <f>'Backlog CRP'!AH20*1</f>
        <v>0</v>
      </c>
      <c r="AI20">
        <f>'Backlog CRP'!AI20*1</f>
        <v>0</v>
      </c>
      <c r="AK20">
        <f>'Backlog CRP'!AK20*1</f>
        <v>0</v>
      </c>
      <c r="AL20">
        <f>'Backlog CRP'!AL20*1</f>
        <v>6</v>
      </c>
      <c r="AM20">
        <f>'Backlog CRP'!AM20*1</f>
        <v>0</v>
      </c>
      <c r="AN20">
        <f>'Backlog CRP'!AN20*1</f>
        <v>0</v>
      </c>
      <c r="AP20">
        <f>'Backlog CRP'!AP20*1</f>
        <v>0</v>
      </c>
      <c r="AQ20">
        <f>'Backlog CRP'!AQ20*1</f>
        <v>0</v>
      </c>
      <c r="AR20">
        <f>'Backlog CRP'!AR20*1</f>
        <v>0</v>
      </c>
      <c r="AS20">
        <f>'Backlog CRP'!AS20*1</f>
        <v>0</v>
      </c>
      <c r="AU20">
        <f>'Backlog CRP'!AU20*1</f>
        <v>0</v>
      </c>
      <c r="AV20">
        <f>'Backlog CRP'!AV20*1</f>
        <v>0</v>
      </c>
      <c r="AW20">
        <f>'Backlog CRP'!AW20*1</f>
        <v>0</v>
      </c>
      <c r="AX20">
        <f>'Backlog CRP'!AX20*1</f>
        <v>0</v>
      </c>
      <c r="AZ20">
        <f t="shared" si="1"/>
        <v>0</v>
      </c>
      <c r="BA20">
        <f t="shared" si="1"/>
        <v>8.9</v>
      </c>
      <c r="BB20">
        <f t="shared" si="1"/>
        <v>0</v>
      </c>
      <c r="BC20">
        <f t="shared" si="1"/>
        <v>0</v>
      </c>
    </row>
    <row r="21" spans="1:55" x14ac:dyDescent="0.35">
      <c r="A21">
        <v>19</v>
      </c>
      <c r="B21">
        <f>'Backlog CRP'!B21*1</f>
        <v>0</v>
      </c>
      <c r="C21">
        <f>'Backlog CRP'!C21*1</f>
        <v>9</v>
      </c>
      <c r="D21">
        <f>'Backlog CRP'!D21*1</f>
        <v>0</v>
      </c>
      <c r="E21">
        <f>'Backlog CRP'!E21*1</f>
        <v>0</v>
      </c>
      <c r="G21">
        <f>'Backlog CRP'!G21*1</f>
        <v>0</v>
      </c>
      <c r="H21">
        <f>'Backlog CRP'!H21*1</f>
        <v>2</v>
      </c>
      <c r="I21">
        <f>'Backlog CRP'!I21*1</f>
        <v>0</v>
      </c>
      <c r="J21">
        <f>'Backlog CRP'!J21*1</f>
        <v>0</v>
      </c>
      <c r="L21">
        <f>'Backlog CRP'!L21*1</f>
        <v>0</v>
      </c>
      <c r="M21">
        <f>'Backlog CRP'!M21*1</f>
        <v>2</v>
      </c>
      <c r="N21">
        <f>'Backlog CRP'!N21*1</f>
        <v>0</v>
      </c>
      <c r="O21">
        <f>'Backlog CRP'!O21*1</f>
        <v>0</v>
      </c>
      <c r="Q21">
        <f>'Backlog CRP'!Q21*1</f>
        <v>0</v>
      </c>
      <c r="R21">
        <f>'Backlog CRP'!R21*1</f>
        <v>0</v>
      </c>
      <c r="S21">
        <f>'Backlog CRP'!S21*1</f>
        <v>0</v>
      </c>
      <c r="T21">
        <f>'Backlog CRP'!T21*1</f>
        <v>0</v>
      </c>
      <c r="V21">
        <f>'Backlog CRP'!V21*1</f>
        <v>0</v>
      </c>
      <c r="W21">
        <f>'Backlog CRP'!W21*1</f>
        <v>2</v>
      </c>
      <c r="X21">
        <f>'Backlog CRP'!X21*1</f>
        <v>0</v>
      </c>
      <c r="Y21">
        <f>'Backlog CRP'!Y21*1</f>
        <v>0</v>
      </c>
      <c r="AA21">
        <f>'Backlog CRP'!AA21*1</f>
        <v>0</v>
      </c>
      <c r="AB21">
        <f>'Backlog CRP'!AB21*1</f>
        <v>2</v>
      </c>
      <c r="AC21">
        <f>'Backlog CRP'!AC21*1</f>
        <v>0</v>
      </c>
      <c r="AD21">
        <f>'Backlog CRP'!AD21*1</f>
        <v>0</v>
      </c>
      <c r="AF21">
        <f>'Backlog CRP'!AF21*1</f>
        <v>0</v>
      </c>
      <c r="AG21">
        <f>'Backlog CRP'!AG21*1</f>
        <v>0</v>
      </c>
      <c r="AH21">
        <f>'Backlog CRP'!AH21*1</f>
        <v>0</v>
      </c>
      <c r="AI21">
        <f>'Backlog CRP'!AI21*1</f>
        <v>0</v>
      </c>
      <c r="AK21">
        <f>'Backlog CRP'!AK21*1</f>
        <v>0</v>
      </c>
      <c r="AL21">
        <f>'Backlog CRP'!AL21*1</f>
        <v>1</v>
      </c>
      <c r="AM21">
        <f>'Backlog CRP'!AM21*1</f>
        <v>0</v>
      </c>
      <c r="AN21">
        <f>'Backlog CRP'!AN21*1</f>
        <v>0</v>
      </c>
      <c r="AP21">
        <f>'Backlog CRP'!AP21*1</f>
        <v>0</v>
      </c>
      <c r="AQ21">
        <f>'Backlog CRP'!AQ21*1</f>
        <v>0</v>
      </c>
      <c r="AR21">
        <f>'Backlog CRP'!AR21*1</f>
        <v>0</v>
      </c>
      <c r="AS21">
        <f>'Backlog CRP'!AS21*1</f>
        <v>0</v>
      </c>
      <c r="AU21">
        <f>'Backlog CRP'!AU21*1</f>
        <v>0</v>
      </c>
      <c r="AV21">
        <f>'Backlog CRP'!AV21*1</f>
        <v>0</v>
      </c>
      <c r="AW21">
        <f>'Backlog CRP'!AW21*1</f>
        <v>0</v>
      </c>
      <c r="AX21">
        <f>'Backlog CRP'!AX21*1</f>
        <v>0</v>
      </c>
      <c r="AZ21">
        <f t="shared" si="1"/>
        <v>0</v>
      </c>
      <c r="BA21">
        <f t="shared" si="1"/>
        <v>1.8</v>
      </c>
      <c r="BB21">
        <f t="shared" si="1"/>
        <v>0</v>
      </c>
      <c r="BC21">
        <f t="shared" si="1"/>
        <v>0</v>
      </c>
    </row>
    <row r="22" spans="1:55" x14ac:dyDescent="0.35">
      <c r="A22">
        <v>20</v>
      </c>
      <c r="B22">
        <f>'Backlog CRP'!B22*1</f>
        <v>0</v>
      </c>
      <c r="C22">
        <f>'Backlog CRP'!C22*1</f>
        <v>0</v>
      </c>
      <c r="D22">
        <f>'Backlog CRP'!D22*1</f>
        <v>0</v>
      </c>
      <c r="E22">
        <f>'Backlog CRP'!E22*1</f>
        <v>0</v>
      </c>
      <c r="G22">
        <f>'Backlog CRP'!G22*1</f>
        <v>0</v>
      </c>
      <c r="H22">
        <f>'Backlog CRP'!H22*1</f>
        <v>0</v>
      </c>
      <c r="I22">
        <f>'Backlog CRP'!I22*1</f>
        <v>0</v>
      </c>
      <c r="J22">
        <f>'Backlog CRP'!J22*1</f>
        <v>0</v>
      </c>
      <c r="L22">
        <f>'Backlog CRP'!L22*1</f>
        <v>0</v>
      </c>
      <c r="M22">
        <f>'Backlog CRP'!M22*1</f>
        <v>0</v>
      </c>
      <c r="N22">
        <f>'Backlog CRP'!N22*1</f>
        <v>0</v>
      </c>
      <c r="O22">
        <f>'Backlog CRP'!O22*1</f>
        <v>0</v>
      </c>
      <c r="Q22">
        <f>'Backlog CRP'!Q22*1</f>
        <v>0</v>
      </c>
      <c r="R22">
        <f>'Backlog CRP'!R22*1</f>
        <v>0</v>
      </c>
      <c r="S22">
        <f>'Backlog CRP'!S22*1</f>
        <v>0</v>
      </c>
      <c r="T22">
        <f>'Backlog CRP'!T22*1</f>
        <v>0</v>
      </c>
      <c r="V22">
        <f>'Backlog CRP'!V22*1</f>
        <v>0</v>
      </c>
      <c r="W22">
        <f>'Backlog CRP'!W22*1</f>
        <v>0</v>
      </c>
      <c r="X22">
        <f>'Backlog CRP'!X22*1</f>
        <v>0</v>
      </c>
      <c r="Y22">
        <f>'Backlog CRP'!Y22*1</f>
        <v>0</v>
      </c>
      <c r="AA22">
        <f>'Backlog CRP'!AA22*1</f>
        <v>0</v>
      </c>
      <c r="AB22">
        <f>'Backlog CRP'!AB22*1</f>
        <v>0</v>
      </c>
      <c r="AC22">
        <f>'Backlog CRP'!AC22*1</f>
        <v>0</v>
      </c>
      <c r="AD22">
        <f>'Backlog CRP'!AD22*1</f>
        <v>0</v>
      </c>
      <c r="AF22">
        <f>'Backlog CRP'!AF22*1</f>
        <v>0</v>
      </c>
      <c r="AG22">
        <f>'Backlog CRP'!AG22*1</f>
        <v>0</v>
      </c>
      <c r="AH22">
        <f>'Backlog CRP'!AH22*1</f>
        <v>0</v>
      </c>
      <c r="AI22">
        <f>'Backlog CRP'!AI22*1</f>
        <v>0</v>
      </c>
      <c r="AK22">
        <f>'Backlog CRP'!AK22*1</f>
        <v>0</v>
      </c>
      <c r="AL22">
        <f>'Backlog CRP'!AL22*1</f>
        <v>0</v>
      </c>
      <c r="AM22">
        <f>'Backlog CRP'!AM22*1</f>
        <v>0</v>
      </c>
      <c r="AN22">
        <f>'Backlog CRP'!AN22*1</f>
        <v>0</v>
      </c>
      <c r="AP22">
        <f>'Backlog CRP'!AP22*1</f>
        <v>0</v>
      </c>
      <c r="AQ22">
        <f>'Backlog CRP'!AQ22*1</f>
        <v>0</v>
      </c>
      <c r="AR22">
        <f>'Backlog CRP'!AR22*1</f>
        <v>0</v>
      </c>
      <c r="AS22">
        <f>'Backlog CRP'!AS22*1</f>
        <v>0</v>
      </c>
      <c r="AU22">
        <f>'Backlog CRP'!AU22*1</f>
        <v>0</v>
      </c>
      <c r="AV22">
        <f>'Backlog CRP'!AV22*1</f>
        <v>0</v>
      </c>
      <c r="AW22">
        <f>'Backlog CRP'!AW22*1</f>
        <v>0</v>
      </c>
      <c r="AX22">
        <f>'Backlog CRP'!AX22*1</f>
        <v>0</v>
      </c>
      <c r="AZ22">
        <f t="shared" si="1"/>
        <v>0</v>
      </c>
      <c r="BA22">
        <f t="shared" si="1"/>
        <v>0</v>
      </c>
      <c r="BB22">
        <f t="shared" si="1"/>
        <v>0</v>
      </c>
      <c r="BC22">
        <f t="shared" si="1"/>
        <v>0</v>
      </c>
    </row>
    <row r="23" spans="1:55" x14ac:dyDescent="0.35">
      <c r="A23">
        <v>21</v>
      </c>
      <c r="B23">
        <f>'Backlog CRP'!B23*1</f>
        <v>0</v>
      </c>
      <c r="C23">
        <f>'Backlog CRP'!C23*1</f>
        <v>0</v>
      </c>
      <c r="D23">
        <f>'Backlog CRP'!D23*1</f>
        <v>0</v>
      </c>
      <c r="E23">
        <f>'Backlog CRP'!E23*1</f>
        <v>0</v>
      </c>
      <c r="G23">
        <f>'Backlog CRP'!G23*1</f>
        <v>0</v>
      </c>
      <c r="H23">
        <f>'Backlog CRP'!H23*1</f>
        <v>0</v>
      </c>
      <c r="I23">
        <f>'Backlog CRP'!I23*1</f>
        <v>0</v>
      </c>
      <c r="J23">
        <f>'Backlog CRP'!J23*1</f>
        <v>0</v>
      </c>
      <c r="L23">
        <f>'Backlog CRP'!L23*1</f>
        <v>0</v>
      </c>
      <c r="M23">
        <f>'Backlog CRP'!M23*1</f>
        <v>0</v>
      </c>
      <c r="N23">
        <f>'Backlog CRP'!N23*1</f>
        <v>0</v>
      </c>
      <c r="O23">
        <f>'Backlog CRP'!O23*1</f>
        <v>0</v>
      </c>
      <c r="Q23">
        <f>'Backlog CRP'!Q23*1</f>
        <v>0</v>
      </c>
      <c r="R23">
        <f>'Backlog CRP'!R23*1</f>
        <v>0</v>
      </c>
      <c r="S23">
        <f>'Backlog CRP'!S23*1</f>
        <v>0</v>
      </c>
      <c r="T23">
        <f>'Backlog CRP'!T23*1</f>
        <v>0</v>
      </c>
      <c r="V23">
        <f>'Backlog CRP'!V23*1</f>
        <v>0</v>
      </c>
      <c r="W23">
        <f>'Backlog CRP'!W23*1</f>
        <v>0</v>
      </c>
      <c r="X23">
        <f>'Backlog CRP'!X23*1</f>
        <v>0</v>
      </c>
      <c r="Y23">
        <f>'Backlog CRP'!Y23*1</f>
        <v>0</v>
      </c>
      <c r="AA23">
        <f>'Backlog CRP'!AA23*1</f>
        <v>0</v>
      </c>
      <c r="AB23">
        <f>'Backlog CRP'!AB23*1</f>
        <v>0</v>
      </c>
      <c r="AC23">
        <f>'Backlog CRP'!AC23*1</f>
        <v>0</v>
      </c>
      <c r="AD23">
        <f>'Backlog CRP'!AD23*1</f>
        <v>0</v>
      </c>
      <c r="AF23">
        <f>'Backlog CRP'!AF23*1</f>
        <v>0</v>
      </c>
      <c r="AG23">
        <f>'Backlog CRP'!AG23*1</f>
        <v>0</v>
      </c>
      <c r="AH23">
        <f>'Backlog CRP'!AH23*1</f>
        <v>0</v>
      </c>
      <c r="AI23">
        <f>'Backlog CRP'!AI23*1</f>
        <v>0</v>
      </c>
      <c r="AK23">
        <f>'Backlog CRP'!AK23*1</f>
        <v>0</v>
      </c>
      <c r="AL23">
        <f>'Backlog CRP'!AL23*1</f>
        <v>0</v>
      </c>
      <c r="AM23">
        <f>'Backlog CRP'!AM23*1</f>
        <v>0</v>
      </c>
      <c r="AN23">
        <f>'Backlog CRP'!AN23*1</f>
        <v>0</v>
      </c>
      <c r="AP23">
        <f>'Backlog CRP'!AP23*1</f>
        <v>0</v>
      </c>
      <c r="AQ23">
        <f>'Backlog CRP'!AQ23*1</f>
        <v>0</v>
      </c>
      <c r="AR23">
        <f>'Backlog CRP'!AR23*1</f>
        <v>0</v>
      </c>
      <c r="AS23">
        <f>'Backlog CRP'!AS23*1</f>
        <v>0</v>
      </c>
      <c r="AU23">
        <f>'Backlog CRP'!AU23*1</f>
        <v>0</v>
      </c>
      <c r="AV23">
        <f>'Backlog CRP'!AV23*1</f>
        <v>0</v>
      </c>
      <c r="AW23">
        <f>'Backlog CRP'!AW23*1</f>
        <v>0</v>
      </c>
      <c r="AX23">
        <f>'Backlog CRP'!AX23*1</f>
        <v>0</v>
      </c>
      <c r="AZ23">
        <f t="shared" si="1"/>
        <v>0</v>
      </c>
      <c r="BA23">
        <f t="shared" si="1"/>
        <v>0</v>
      </c>
      <c r="BB23">
        <f t="shared" si="1"/>
        <v>0</v>
      </c>
      <c r="BC23">
        <f t="shared" si="1"/>
        <v>0</v>
      </c>
    </row>
    <row r="24" spans="1:55" x14ac:dyDescent="0.35">
      <c r="A24">
        <v>22</v>
      </c>
      <c r="B24">
        <f>'Backlog CRP'!B24*1</f>
        <v>0</v>
      </c>
      <c r="C24">
        <f>'Backlog CRP'!C24*1</f>
        <v>11</v>
      </c>
      <c r="D24">
        <f>'Backlog CRP'!D24*1</f>
        <v>0</v>
      </c>
      <c r="E24">
        <f>'Backlog CRP'!E24*1</f>
        <v>0</v>
      </c>
      <c r="G24">
        <f>'Backlog CRP'!G24*1</f>
        <v>3</v>
      </c>
      <c r="H24">
        <f>'Backlog CRP'!H24*1</f>
        <v>0</v>
      </c>
      <c r="I24">
        <f>'Backlog CRP'!I24*1</f>
        <v>0</v>
      </c>
      <c r="J24">
        <f>'Backlog CRP'!J24*1</f>
        <v>0</v>
      </c>
      <c r="L24">
        <f>'Backlog CRP'!L24*1</f>
        <v>1</v>
      </c>
      <c r="M24">
        <f>'Backlog CRP'!M24*1</f>
        <v>0</v>
      </c>
      <c r="N24">
        <f>'Backlog CRP'!N24*1</f>
        <v>0</v>
      </c>
      <c r="O24">
        <f>'Backlog CRP'!O24*1</f>
        <v>0</v>
      </c>
      <c r="Q24">
        <f>'Backlog CRP'!Q24*1</f>
        <v>0</v>
      </c>
      <c r="R24">
        <f>'Backlog CRP'!R24*1</f>
        <v>1</v>
      </c>
      <c r="S24">
        <f>'Backlog CRP'!S24*1</f>
        <v>0</v>
      </c>
      <c r="T24">
        <f>'Backlog CRP'!T24*1</f>
        <v>0</v>
      </c>
      <c r="V24">
        <f>'Backlog CRP'!V24*1</f>
        <v>2</v>
      </c>
      <c r="W24">
        <f>'Backlog CRP'!W24*1</f>
        <v>0</v>
      </c>
      <c r="X24">
        <f>'Backlog CRP'!X24*1</f>
        <v>0</v>
      </c>
      <c r="Y24">
        <f>'Backlog CRP'!Y24*1</f>
        <v>0</v>
      </c>
      <c r="AA24">
        <f>'Backlog CRP'!AA24*1</f>
        <v>2</v>
      </c>
      <c r="AB24">
        <f>'Backlog CRP'!AB24*1</f>
        <v>0</v>
      </c>
      <c r="AC24">
        <f>'Backlog CRP'!AC24*1</f>
        <v>0</v>
      </c>
      <c r="AD24">
        <f>'Backlog CRP'!AD24*1</f>
        <v>0</v>
      </c>
      <c r="AF24">
        <f>'Backlog CRP'!AF24*1</f>
        <v>3</v>
      </c>
      <c r="AG24">
        <f>'Backlog CRP'!AG24*1</f>
        <v>0</v>
      </c>
      <c r="AH24">
        <f>'Backlog CRP'!AH24*1</f>
        <v>0</v>
      </c>
      <c r="AI24">
        <f>'Backlog CRP'!AI24*1</f>
        <v>0</v>
      </c>
      <c r="AK24">
        <f>'Backlog CRP'!AK24*1</f>
        <v>3</v>
      </c>
      <c r="AL24">
        <f>'Backlog CRP'!AL24*1</f>
        <v>0</v>
      </c>
      <c r="AM24">
        <f>'Backlog CRP'!AM24*1</f>
        <v>0</v>
      </c>
      <c r="AN24">
        <f>'Backlog CRP'!AN24*1</f>
        <v>0</v>
      </c>
      <c r="AP24">
        <f>'Backlog CRP'!AP24*1</f>
        <v>0</v>
      </c>
      <c r="AQ24">
        <f>'Backlog CRP'!AQ24*1</f>
        <v>0</v>
      </c>
      <c r="AR24">
        <f>'Backlog CRP'!AR24*1</f>
        <v>0</v>
      </c>
      <c r="AS24">
        <f>'Backlog CRP'!AS24*1</f>
        <v>0</v>
      </c>
      <c r="AU24">
        <f>'Backlog CRP'!AU24*1</f>
        <v>0</v>
      </c>
      <c r="AV24">
        <f>'Backlog CRP'!AV24*1</f>
        <v>0</v>
      </c>
      <c r="AW24">
        <f>'Backlog CRP'!AW24*1</f>
        <v>0</v>
      </c>
      <c r="AX24">
        <f>'Backlog CRP'!AX24*1</f>
        <v>0</v>
      </c>
      <c r="AZ24">
        <f t="shared" si="1"/>
        <v>1.4</v>
      </c>
      <c r="BA24">
        <f t="shared" si="1"/>
        <v>1.2</v>
      </c>
      <c r="BB24">
        <f t="shared" si="1"/>
        <v>0</v>
      </c>
      <c r="BC24">
        <f t="shared" si="1"/>
        <v>0</v>
      </c>
    </row>
    <row r="25" spans="1:55" x14ac:dyDescent="0.35">
      <c r="A25">
        <v>23</v>
      </c>
      <c r="B25">
        <f>'Backlog CRP'!B25*1</f>
        <v>0</v>
      </c>
      <c r="C25">
        <f>'Backlog CRP'!C25*1</f>
        <v>9</v>
      </c>
      <c r="D25">
        <f>'Backlog CRP'!D25*1</f>
        <v>0</v>
      </c>
      <c r="E25">
        <f>'Backlog CRP'!E25*1</f>
        <v>0</v>
      </c>
      <c r="G25">
        <f>'Backlog CRP'!G25*1</f>
        <v>0</v>
      </c>
      <c r="H25">
        <f>'Backlog CRP'!H25*1</f>
        <v>6</v>
      </c>
      <c r="I25">
        <f>'Backlog CRP'!I25*1</f>
        <v>0</v>
      </c>
      <c r="J25">
        <f>'Backlog CRP'!J25*1</f>
        <v>0</v>
      </c>
      <c r="L25">
        <f>'Backlog CRP'!L25*1</f>
        <v>0</v>
      </c>
      <c r="M25">
        <f>'Backlog CRP'!M25*1</f>
        <v>0</v>
      </c>
      <c r="N25">
        <f>'Backlog CRP'!N25*1</f>
        <v>0</v>
      </c>
      <c r="O25">
        <f>'Backlog CRP'!O25*1</f>
        <v>0</v>
      </c>
      <c r="Q25">
        <f>'Backlog CRP'!Q25*1</f>
        <v>0</v>
      </c>
      <c r="R25">
        <f>'Backlog CRP'!R25*1</f>
        <v>3</v>
      </c>
      <c r="S25">
        <f>'Backlog CRP'!S25*1</f>
        <v>0</v>
      </c>
      <c r="T25">
        <f>'Backlog CRP'!T25*1</f>
        <v>0</v>
      </c>
      <c r="V25">
        <f>'Backlog CRP'!V25*1</f>
        <v>0</v>
      </c>
      <c r="W25">
        <f>'Backlog CRP'!W25*1</f>
        <v>1</v>
      </c>
      <c r="X25">
        <f>'Backlog CRP'!X25*1</f>
        <v>0</v>
      </c>
      <c r="Y25">
        <f>'Backlog CRP'!Y25*1</f>
        <v>0</v>
      </c>
      <c r="AA25">
        <f>'Backlog CRP'!AA25*1</f>
        <v>0</v>
      </c>
      <c r="AB25">
        <f>'Backlog CRP'!AB25*1</f>
        <v>1</v>
      </c>
      <c r="AC25">
        <f>'Backlog CRP'!AC25*1</f>
        <v>0</v>
      </c>
      <c r="AD25">
        <f>'Backlog CRP'!AD25*1</f>
        <v>0</v>
      </c>
      <c r="AF25">
        <f>'Backlog CRP'!AF25*1</f>
        <v>0</v>
      </c>
      <c r="AG25">
        <f>'Backlog CRP'!AG25*1</f>
        <v>17</v>
      </c>
      <c r="AH25">
        <f>'Backlog CRP'!AH25*1</f>
        <v>0</v>
      </c>
      <c r="AI25">
        <f>'Backlog CRP'!AI25*1</f>
        <v>0</v>
      </c>
      <c r="AK25">
        <f>'Backlog CRP'!AK25*1</f>
        <v>0</v>
      </c>
      <c r="AL25">
        <f>'Backlog CRP'!AL25*1</f>
        <v>0</v>
      </c>
      <c r="AM25">
        <f>'Backlog CRP'!AM25*1</f>
        <v>0</v>
      </c>
      <c r="AN25">
        <f>'Backlog CRP'!AN25*1</f>
        <v>0</v>
      </c>
      <c r="AP25">
        <f>'Backlog CRP'!AP25*1</f>
        <v>0</v>
      </c>
      <c r="AQ25">
        <f>'Backlog CRP'!AQ25*1</f>
        <v>0</v>
      </c>
      <c r="AR25">
        <f>'Backlog CRP'!AR25*1</f>
        <v>0</v>
      </c>
      <c r="AS25">
        <f>'Backlog CRP'!AS25*1</f>
        <v>0</v>
      </c>
      <c r="AU25">
        <f>'Backlog CRP'!AU25*1</f>
        <v>0</v>
      </c>
      <c r="AV25">
        <f>'Backlog CRP'!AV25*1</f>
        <v>0</v>
      </c>
      <c r="AW25">
        <f>'Backlog CRP'!AW25*1</f>
        <v>0</v>
      </c>
      <c r="AX25">
        <f>'Backlog CRP'!AX25*1</f>
        <v>0</v>
      </c>
      <c r="AZ25">
        <f t="shared" si="1"/>
        <v>0</v>
      </c>
      <c r="BA25">
        <f t="shared" si="1"/>
        <v>3.7</v>
      </c>
      <c r="BB25">
        <f t="shared" si="1"/>
        <v>0</v>
      </c>
      <c r="BC25">
        <f t="shared" si="1"/>
        <v>0</v>
      </c>
    </row>
    <row r="26" spans="1:55" x14ac:dyDescent="0.35">
      <c r="A26">
        <v>24</v>
      </c>
      <c r="B26">
        <f>'Backlog CRP'!B26*1</f>
        <v>0</v>
      </c>
      <c r="C26">
        <f>'Backlog CRP'!C26*1</f>
        <v>0</v>
      </c>
      <c r="D26">
        <f>'Backlog CRP'!D26*1</f>
        <v>0</v>
      </c>
      <c r="E26">
        <f>'Backlog CRP'!E26*1</f>
        <v>0</v>
      </c>
      <c r="G26">
        <f>'Backlog CRP'!G26*1</f>
        <v>0</v>
      </c>
      <c r="H26">
        <f>'Backlog CRP'!H26*1</f>
        <v>11</v>
      </c>
      <c r="I26">
        <f>'Backlog CRP'!I26*1</f>
        <v>0</v>
      </c>
      <c r="J26">
        <f>'Backlog CRP'!J26*1</f>
        <v>0</v>
      </c>
      <c r="L26">
        <f>'Backlog CRP'!L26*1</f>
        <v>0</v>
      </c>
      <c r="M26">
        <f>'Backlog CRP'!M26*1</f>
        <v>6</v>
      </c>
      <c r="N26">
        <f>'Backlog CRP'!N26*1</f>
        <v>0</v>
      </c>
      <c r="O26">
        <f>'Backlog CRP'!O26*1</f>
        <v>0</v>
      </c>
      <c r="Q26">
        <f>'Backlog CRP'!Q26*1</f>
        <v>0</v>
      </c>
      <c r="R26">
        <f>'Backlog CRP'!R26*1</f>
        <v>1</v>
      </c>
      <c r="S26">
        <f>'Backlog CRP'!S26*1</f>
        <v>0</v>
      </c>
      <c r="T26">
        <f>'Backlog CRP'!T26*1</f>
        <v>0</v>
      </c>
      <c r="V26">
        <f>'Backlog CRP'!V26*1</f>
        <v>0</v>
      </c>
      <c r="W26">
        <f>'Backlog CRP'!W26*1</f>
        <v>10</v>
      </c>
      <c r="X26">
        <f>'Backlog CRP'!X26*1</f>
        <v>0</v>
      </c>
      <c r="Y26">
        <f>'Backlog CRP'!Y26*1</f>
        <v>0</v>
      </c>
      <c r="AA26">
        <f>'Backlog CRP'!AA26*1</f>
        <v>0</v>
      </c>
      <c r="AB26">
        <f>'Backlog CRP'!AB26*1</f>
        <v>10</v>
      </c>
      <c r="AC26">
        <f>'Backlog CRP'!AC26*1</f>
        <v>0</v>
      </c>
      <c r="AD26">
        <f>'Backlog CRP'!AD26*1</f>
        <v>0</v>
      </c>
      <c r="AF26">
        <f>'Backlog CRP'!AF26*1</f>
        <v>0</v>
      </c>
      <c r="AG26">
        <f>'Backlog CRP'!AG26*1</f>
        <v>13</v>
      </c>
      <c r="AH26">
        <f>'Backlog CRP'!AH26*1</f>
        <v>0</v>
      </c>
      <c r="AI26">
        <f>'Backlog CRP'!AI26*1</f>
        <v>0</v>
      </c>
      <c r="AK26">
        <f>'Backlog CRP'!AK26*1</f>
        <v>0</v>
      </c>
      <c r="AL26">
        <f>'Backlog CRP'!AL26*1</f>
        <v>8</v>
      </c>
      <c r="AM26">
        <f>'Backlog CRP'!AM26*1</f>
        <v>0</v>
      </c>
      <c r="AN26">
        <f>'Backlog CRP'!AN26*1</f>
        <v>0</v>
      </c>
      <c r="AP26">
        <f>'Backlog CRP'!AP26*1</f>
        <v>0</v>
      </c>
      <c r="AQ26">
        <f>'Backlog CRP'!AQ26*1</f>
        <v>0</v>
      </c>
      <c r="AR26">
        <f>'Backlog CRP'!AR26*1</f>
        <v>0</v>
      </c>
      <c r="AS26">
        <f>'Backlog CRP'!AS26*1</f>
        <v>0</v>
      </c>
      <c r="AU26">
        <f>'Backlog CRP'!AU26*1</f>
        <v>0</v>
      </c>
      <c r="AV26">
        <f>'Backlog CRP'!AV26*1</f>
        <v>0</v>
      </c>
      <c r="AW26">
        <f>'Backlog CRP'!AW26*1</f>
        <v>0</v>
      </c>
      <c r="AX26">
        <f>'Backlog CRP'!AX26*1</f>
        <v>0</v>
      </c>
      <c r="AZ26">
        <f t="shared" si="1"/>
        <v>0</v>
      </c>
      <c r="BA26">
        <f t="shared" si="1"/>
        <v>5.9</v>
      </c>
      <c r="BB26">
        <f t="shared" si="1"/>
        <v>0</v>
      </c>
      <c r="BC26">
        <f t="shared" si="1"/>
        <v>0</v>
      </c>
    </row>
    <row r="27" spans="1:55" x14ac:dyDescent="0.35">
      <c r="A27">
        <v>25</v>
      </c>
      <c r="B27">
        <f>'Backlog CRP'!B27*1</f>
        <v>0</v>
      </c>
      <c r="C27">
        <f>'Backlog CRP'!C27*1</f>
        <v>0</v>
      </c>
      <c r="D27">
        <f>'Backlog CRP'!D27*1</f>
        <v>0</v>
      </c>
      <c r="E27">
        <f>'Backlog CRP'!E27*1</f>
        <v>0</v>
      </c>
      <c r="G27">
        <f>'Backlog CRP'!G27*1</f>
        <v>0</v>
      </c>
      <c r="H27">
        <f>'Backlog CRP'!H27*1</f>
        <v>0</v>
      </c>
      <c r="I27">
        <f>'Backlog CRP'!I27*1</f>
        <v>0</v>
      </c>
      <c r="J27">
        <f>'Backlog CRP'!J27*1</f>
        <v>0</v>
      </c>
      <c r="L27">
        <f>'Backlog CRP'!L27*1</f>
        <v>0</v>
      </c>
      <c r="M27">
        <f>'Backlog CRP'!M27*1</f>
        <v>0</v>
      </c>
      <c r="N27">
        <f>'Backlog CRP'!N27*1</f>
        <v>0</v>
      </c>
      <c r="O27">
        <f>'Backlog CRP'!O27*1</f>
        <v>0</v>
      </c>
      <c r="Q27">
        <f>'Backlog CRP'!Q27*1</f>
        <v>0</v>
      </c>
      <c r="R27">
        <f>'Backlog CRP'!R27*1</f>
        <v>0</v>
      </c>
      <c r="S27">
        <f>'Backlog CRP'!S27*1</f>
        <v>0</v>
      </c>
      <c r="T27">
        <f>'Backlog CRP'!T27*1</f>
        <v>0</v>
      </c>
      <c r="V27">
        <f>'Backlog CRP'!V27*1</f>
        <v>0</v>
      </c>
      <c r="W27">
        <f>'Backlog CRP'!W27*1</f>
        <v>0</v>
      </c>
      <c r="X27">
        <f>'Backlog CRP'!X27*1</f>
        <v>0</v>
      </c>
      <c r="Y27">
        <f>'Backlog CRP'!Y27*1</f>
        <v>0</v>
      </c>
      <c r="AA27">
        <f>'Backlog CRP'!AA27*1</f>
        <v>0</v>
      </c>
      <c r="AB27">
        <f>'Backlog CRP'!AB27*1</f>
        <v>0</v>
      </c>
      <c r="AC27">
        <f>'Backlog CRP'!AC27*1</f>
        <v>0</v>
      </c>
      <c r="AD27">
        <f>'Backlog CRP'!AD27*1</f>
        <v>0</v>
      </c>
      <c r="AF27">
        <f>'Backlog CRP'!AF27*1</f>
        <v>0</v>
      </c>
      <c r="AG27">
        <f>'Backlog CRP'!AG27*1</f>
        <v>0</v>
      </c>
      <c r="AH27">
        <f>'Backlog CRP'!AH27*1</f>
        <v>0</v>
      </c>
      <c r="AI27">
        <f>'Backlog CRP'!AI27*1</f>
        <v>0</v>
      </c>
      <c r="AK27">
        <f>'Backlog CRP'!AK27*1</f>
        <v>0</v>
      </c>
      <c r="AL27">
        <f>'Backlog CRP'!AL27*1</f>
        <v>0</v>
      </c>
      <c r="AM27">
        <f>'Backlog CRP'!AM27*1</f>
        <v>0</v>
      </c>
      <c r="AN27">
        <f>'Backlog CRP'!AN27*1</f>
        <v>0</v>
      </c>
      <c r="AP27">
        <f>'Backlog CRP'!AP27*1</f>
        <v>0</v>
      </c>
      <c r="AQ27">
        <f>'Backlog CRP'!AQ27*1</f>
        <v>0</v>
      </c>
      <c r="AR27">
        <f>'Backlog CRP'!AR27*1</f>
        <v>0</v>
      </c>
      <c r="AS27">
        <f>'Backlog CRP'!AS27*1</f>
        <v>0</v>
      </c>
      <c r="AU27">
        <f>'Backlog CRP'!AU27*1</f>
        <v>0</v>
      </c>
      <c r="AV27">
        <f>'Backlog CRP'!AV27*1</f>
        <v>10</v>
      </c>
      <c r="AW27">
        <f>'Backlog CRP'!AW27*1</f>
        <v>0</v>
      </c>
      <c r="AX27">
        <f>'Backlog CRP'!AX27*1</f>
        <v>0</v>
      </c>
      <c r="AZ27">
        <f t="shared" si="1"/>
        <v>0</v>
      </c>
      <c r="BA27">
        <f t="shared" si="1"/>
        <v>1</v>
      </c>
      <c r="BB27">
        <f t="shared" si="1"/>
        <v>0</v>
      </c>
      <c r="BC27">
        <f t="shared" si="1"/>
        <v>0</v>
      </c>
    </row>
    <row r="28" spans="1:55" x14ac:dyDescent="0.35">
      <c r="A28">
        <v>26</v>
      </c>
      <c r="B28">
        <f>'Backlog CRP'!B28*1</f>
        <v>0</v>
      </c>
      <c r="C28">
        <f>'Backlog CRP'!C28*1</f>
        <v>0</v>
      </c>
      <c r="D28">
        <f>'Backlog CRP'!D28*1</f>
        <v>0</v>
      </c>
      <c r="E28">
        <f>'Backlog CRP'!E28*1</f>
        <v>0</v>
      </c>
      <c r="G28">
        <f>'Backlog CRP'!G28*1</f>
        <v>0</v>
      </c>
      <c r="H28">
        <f>'Backlog CRP'!H28*1</f>
        <v>0</v>
      </c>
      <c r="I28">
        <f>'Backlog CRP'!I28*1</f>
        <v>0</v>
      </c>
      <c r="J28">
        <f>'Backlog CRP'!J28*1</f>
        <v>0</v>
      </c>
      <c r="L28">
        <f>'Backlog CRP'!L28*1</f>
        <v>0</v>
      </c>
      <c r="M28">
        <f>'Backlog CRP'!M28*1</f>
        <v>0</v>
      </c>
      <c r="N28">
        <f>'Backlog CRP'!N28*1</f>
        <v>0</v>
      </c>
      <c r="O28">
        <f>'Backlog CRP'!O28*1</f>
        <v>0</v>
      </c>
      <c r="Q28">
        <f>'Backlog CRP'!Q28*1</f>
        <v>0</v>
      </c>
      <c r="R28">
        <f>'Backlog CRP'!R28*1</f>
        <v>0</v>
      </c>
      <c r="S28">
        <f>'Backlog CRP'!S28*1</f>
        <v>0</v>
      </c>
      <c r="T28">
        <f>'Backlog CRP'!T28*1</f>
        <v>0</v>
      </c>
      <c r="V28">
        <f>'Backlog CRP'!V28*1</f>
        <v>0</v>
      </c>
      <c r="W28">
        <f>'Backlog CRP'!W28*1</f>
        <v>0</v>
      </c>
      <c r="X28">
        <f>'Backlog CRP'!X28*1</f>
        <v>0</v>
      </c>
      <c r="Y28">
        <f>'Backlog CRP'!Y28*1</f>
        <v>0</v>
      </c>
      <c r="AA28">
        <f>'Backlog CRP'!AA28*1</f>
        <v>0</v>
      </c>
      <c r="AB28">
        <f>'Backlog CRP'!AB28*1</f>
        <v>0</v>
      </c>
      <c r="AC28">
        <f>'Backlog CRP'!AC28*1</f>
        <v>0</v>
      </c>
      <c r="AD28">
        <f>'Backlog CRP'!AD28*1</f>
        <v>0</v>
      </c>
      <c r="AF28">
        <f>'Backlog CRP'!AF28*1</f>
        <v>0</v>
      </c>
      <c r="AG28">
        <f>'Backlog CRP'!AG28*1</f>
        <v>0</v>
      </c>
      <c r="AH28">
        <f>'Backlog CRP'!AH28*1</f>
        <v>0</v>
      </c>
      <c r="AI28">
        <f>'Backlog CRP'!AI28*1</f>
        <v>0</v>
      </c>
      <c r="AK28">
        <f>'Backlog CRP'!AK28*1</f>
        <v>0</v>
      </c>
      <c r="AL28">
        <f>'Backlog CRP'!AL28*1</f>
        <v>0</v>
      </c>
      <c r="AM28">
        <f>'Backlog CRP'!AM28*1</f>
        <v>0</v>
      </c>
      <c r="AN28">
        <f>'Backlog CRP'!AN28*1</f>
        <v>0</v>
      </c>
      <c r="AP28">
        <f>'Backlog CRP'!AP28*1</f>
        <v>0</v>
      </c>
      <c r="AQ28">
        <f>'Backlog CRP'!AQ28*1</f>
        <v>0</v>
      </c>
      <c r="AR28">
        <f>'Backlog CRP'!AR28*1</f>
        <v>0</v>
      </c>
      <c r="AS28">
        <f>'Backlog CRP'!AS28*1</f>
        <v>0</v>
      </c>
      <c r="AU28">
        <f>'Backlog CRP'!AU28*1</f>
        <v>0</v>
      </c>
      <c r="AV28">
        <f>'Backlog CRP'!AV28*1</f>
        <v>0</v>
      </c>
      <c r="AW28">
        <f>'Backlog CRP'!AW28*1</f>
        <v>0</v>
      </c>
      <c r="AX28">
        <f>'Backlog CRP'!AX28*1</f>
        <v>0</v>
      </c>
      <c r="AZ28">
        <f t="shared" si="1"/>
        <v>0</v>
      </c>
      <c r="BA28">
        <f t="shared" si="1"/>
        <v>0</v>
      </c>
      <c r="BB28">
        <f t="shared" si="1"/>
        <v>0</v>
      </c>
      <c r="BC28">
        <f t="shared" si="1"/>
        <v>0</v>
      </c>
    </row>
    <row r="29" spans="1:55" x14ac:dyDescent="0.35">
      <c r="A29">
        <v>27</v>
      </c>
      <c r="B29">
        <f>'Backlog CRP'!B29*1</f>
        <v>0</v>
      </c>
      <c r="C29">
        <f>'Backlog CRP'!C29*1</f>
        <v>0</v>
      </c>
      <c r="D29">
        <f>'Backlog CRP'!D29*1</f>
        <v>0</v>
      </c>
      <c r="E29">
        <f>'Backlog CRP'!E29*1</f>
        <v>0</v>
      </c>
      <c r="G29">
        <f>'Backlog CRP'!G29*1</f>
        <v>2</v>
      </c>
      <c r="H29">
        <f>'Backlog CRP'!H29*1</f>
        <v>0</v>
      </c>
      <c r="I29">
        <f>'Backlog CRP'!I29*1</f>
        <v>0</v>
      </c>
      <c r="J29">
        <f>'Backlog CRP'!J29*1</f>
        <v>0</v>
      </c>
      <c r="L29">
        <f>'Backlog CRP'!L29*1</f>
        <v>0</v>
      </c>
      <c r="M29">
        <f>'Backlog CRP'!M29*1</f>
        <v>0</v>
      </c>
      <c r="N29">
        <f>'Backlog CRP'!N29*1</f>
        <v>0</v>
      </c>
      <c r="O29">
        <f>'Backlog CRP'!O29*1</f>
        <v>0</v>
      </c>
      <c r="Q29">
        <f>'Backlog CRP'!Q29*1</f>
        <v>0</v>
      </c>
      <c r="R29">
        <f>'Backlog CRP'!R29*1</f>
        <v>0</v>
      </c>
      <c r="S29">
        <f>'Backlog CRP'!S29*1</f>
        <v>0</v>
      </c>
      <c r="T29">
        <f>'Backlog CRP'!T29*1</f>
        <v>0</v>
      </c>
      <c r="V29">
        <f>'Backlog CRP'!V29*1</f>
        <v>0</v>
      </c>
      <c r="W29">
        <f>'Backlog CRP'!W29*1</f>
        <v>0</v>
      </c>
      <c r="X29">
        <f>'Backlog CRP'!X29*1</f>
        <v>0</v>
      </c>
      <c r="Y29">
        <f>'Backlog CRP'!Y29*1</f>
        <v>0</v>
      </c>
      <c r="AA29">
        <f>'Backlog CRP'!AA29*1</f>
        <v>0</v>
      </c>
      <c r="AB29">
        <f>'Backlog CRP'!AB29*1</f>
        <v>0</v>
      </c>
      <c r="AC29">
        <f>'Backlog CRP'!AC29*1</f>
        <v>0</v>
      </c>
      <c r="AD29">
        <f>'Backlog CRP'!AD29*1</f>
        <v>0</v>
      </c>
      <c r="AF29">
        <f>'Backlog CRP'!AF29*1</f>
        <v>0</v>
      </c>
      <c r="AG29">
        <f>'Backlog CRP'!AG29*1</f>
        <v>0</v>
      </c>
      <c r="AH29">
        <f>'Backlog CRP'!AH29*1</f>
        <v>0</v>
      </c>
      <c r="AI29">
        <f>'Backlog CRP'!AI29*1</f>
        <v>0</v>
      </c>
      <c r="AK29">
        <f>'Backlog CRP'!AK29*1</f>
        <v>0</v>
      </c>
      <c r="AL29">
        <f>'Backlog CRP'!AL29*1</f>
        <v>0</v>
      </c>
      <c r="AM29">
        <f>'Backlog CRP'!AM29*1</f>
        <v>0</v>
      </c>
      <c r="AN29">
        <f>'Backlog CRP'!AN29*1</f>
        <v>0</v>
      </c>
      <c r="AP29">
        <f>'Backlog CRP'!AP29*1</f>
        <v>0</v>
      </c>
      <c r="AQ29">
        <f>'Backlog CRP'!AQ29*1</f>
        <v>0</v>
      </c>
      <c r="AR29">
        <f>'Backlog CRP'!AR29*1</f>
        <v>0</v>
      </c>
      <c r="AS29">
        <f>'Backlog CRP'!AS29*1</f>
        <v>0</v>
      </c>
      <c r="AU29">
        <f>'Backlog CRP'!AU29*1</f>
        <v>0</v>
      </c>
      <c r="AV29">
        <f>'Backlog CRP'!AV29*1</f>
        <v>0</v>
      </c>
      <c r="AW29">
        <f>'Backlog CRP'!AW29*1</f>
        <v>0</v>
      </c>
      <c r="AX29">
        <f>'Backlog CRP'!AX29*1</f>
        <v>0</v>
      </c>
      <c r="AZ29">
        <f t="shared" si="1"/>
        <v>0.2</v>
      </c>
      <c r="BA29">
        <f t="shared" si="1"/>
        <v>0</v>
      </c>
      <c r="BB29">
        <f t="shared" si="1"/>
        <v>0</v>
      </c>
      <c r="BC29">
        <f t="shared" si="1"/>
        <v>0</v>
      </c>
    </row>
    <row r="30" spans="1:55" x14ac:dyDescent="0.35">
      <c r="A30">
        <v>28</v>
      </c>
      <c r="B30">
        <f>'Backlog CRP'!B30*1</f>
        <v>0</v>
      </c>
      <c r="C30">
        <f>'Backlog CRP'!C30*1</f>
        <v>8</v>
      </c>
      <c r="D30">
        <f>'Backlog CRP'!D30*1</f>
        <v>0</v>
      </c>
      <c r="E30">
        <f>'Backlog CRP'!E30*1</f>
        <v>0</v>
      </c>
      <c r="G30">
        <f>'Backlog CRP'!G30*1</f>
        <v>0</v>
      </c>
      <c r="H30">
        <f>'Backlog CRP'!H30*1</f>
        <v>4</v>
      </c>
      <c r="I30">
        <f>'Backlog CRP'!I30*1</f>
        <v>0</v>
      </c>
      <c r="J30">
        <f>'Backlog CRP'!J30*1</f>
        <v>0</v>
      </c>
      <c r="L30">
        <f>'Backlog CRP'!L30*1</f>
        <v>0</v>
      </c>
      <c r="M30">
        <f>'Backlog CRP'!M30*1</f>
        <v>0</v>
      </c>
      <c r="N30">
        <f>'Backlog CRP'!N30*1</f>
        <v>0</v>
      </c>
      <c r="O30">
        <f>'Backlog CRP'!O30*1</f>
        <v>0</v>
      </c>
      <c r="Q30">
        <f>'Backlog CRP'!Q30*1</f>
        <v>0</v>
      </c>
      <c r="R30">
        <f>'Backlog CRP'!R30*1</f>
        <v>0</v>
      </c>
      <c r="S30">
        <f>'Backlog CRP'!S30*1</f>
        <v>0</v>
      </c>
      <c r="T30">
        <f>'Backlog CRP'!T30*1</f>
        <v>0</v>
      </c>
      <c r="V30">
        <f>'Backlog CRP'!V30*1</f>
        <v>0</v>
      </c>
      <c r="W30">
        <f>'Backlog CRP'!W30*1</f>
        <v>0</v>
      </c>
      <c r="X30">
        <f>'Backlog CRP'!X30*1</f>
        <v>0</v>
      </c>
      <c r="Y30">
        <f>'Backlog CRP'!Y30*1</f>
        <v>0</v>
      </c>
      <c r="AA30">
        <f>'Backlog CRP'!AA30*1</f>
        <v>0</v>
      </c>
      <c r="AB30">
        <f>'Backlog CRP'!AB30*1</f>
        <v>0</v>
      </c>
      <c r="AC30">
        <f>'Backlog CRP'!AC30*1</f>
        <v>0</v>
      </c>
      <c r="AD30">
        <f>'Backlog CRP'!AD30*1</f>
        <v>0</v>
      </c>
      <c r="AF30">
        <f>'Backlog CRP'!AF30*1</f>
        <v>2</v>
      </c>
      <c r="AG30">
        <f>'Backlog CRP'!AG30*1</f>
        <v>0</v>
      </c>
      <c r="AH30">
        <f>'Backlog CRP'!AH30*1</f>
        <v>0</v>
      </c>
      <c r="AI30">
        <f>'Backlog CRP'!AI30*1</f>
        <v>0</v>
      </c>
      <c r="AK30">
        <f>'Backlog CRP'!AK30*1</f>
        <v>2</v>
      </c>
      <c r="AL30">
        <f>'Backlog CRP'!AL30*1</f>
        <v>0</v>
      </c>
      <c r="AM30">
        <f>'Backlog CRP'!AM30*1</f>
        <v>0</v>
      </c>
      <c r="AN30">
        <f>'Backlog CRP'!AN30*1</f>
        <v>0</v>
      </c>
      <c r="AP30">
        <f>'Backlog CRP'!AP30*1</f>
        <v>0</v>
      </c>
      <c r="AQ30">
        <f>'Backlog CRP'!AQ30*1</f>
        <v>0</v>
      </c>
      <c r="AR30">
        <f>'Backlog CRP'!AR30*1</f>
        <v>0</v>
      </c>
      <c r="AS30">
        <f>'Backlog CRP'!AS30*1</f>
        <v>0</v>
      </c>
      <c r="AU30">
        <f>'Backlog CRP'!AU30*1</f>
        <v>0</v>
      </c>
      <c r="AV30">
        <f>'Backlog CRP'!AV30*1</f>
        <v>0</v>
      </c>
      <c r="AW30">
        <f>'Backlog CRP'!AW30*1</f>
        <v>0</v>
      </c>
      <c r="AX30">
        <f>'Backlog CRP'!AX30*1</f>
        <v>0</v>
      </c>
      <c r="AZ30">
        <f t="shared" si="1"/>
        <v>0.4</v>
      </c>
      <c r="BA30">
        <f t="shared" si="1"/>
        <v>1.2</v>
      </c>
      <c r="BB30">
        <f t="shared" si="1"/>
        <v>0</v>
      </c>
      <c r="BC30">
        <f t="shared" si="1"/>
        <v>0</v>
      </c>
    </row>
    <row r="31" spans="1:55" x14ac:dyDescent="0.35">
      <c r="A31">
        <v>29</v>
      </c>
      <c r="B31">
        <f>'Backlog CRP'!B31*1</f>
        <v>0</v>
      </c>
      <c r="C31">
        <f>'Backlog CRP'!C31*1</f>
        <v>6</v>
      </c>
      <c r="D31">
        <f>'Backlog CRP'!D31*1</f>
        <v>0</v>
      </c>
      <c r="E31">
        <f>'Backlog CRP'!E31*1</f>
        <v>0</v>
      </c>
      <c r="G31">
        <f>'Backlog CRP'!G31*1</f>
        <v>0</v>
      </c>
      <c r="H31">
        <f>'Backlog CRP'!H31*1</f>
        <v>9</v>
      </c>
      <c r="I31">
        <f>'Backlog CRP'!I31*1</f>
        <v>0</v>
      </c>
      <c r="J31">
        <f>'Backlog CRP'!J31*1</f>
        <v>0</v>
      </c>
      <c r="L31">
        <f>'Backlog CRP'!L31*1</f>
        <v>0</v>
      </c>
      <c r="M31">
        <f>'Backlog CRP'!M31*1</f>
        <v>0</v>
      </c>
      <c r="N31">
        <f>'Backlog CRP'!N31*1</f>
        <v>0</v>
      </c>
      <c r="O31">
        <f>'Backlog CRP'!O31*1</f>
        <v>0</v>
      </c>
      <c r="Q31">
        <f>'Backlog CRP'!Q31*1</f>
        <v>0</v>
      </c>
      <c r="R31">
        <f>'Backlog CRP'!R31*1</f>
        <v>1</v>
      </c>
      <c r="S31">
        <f>'Backlog CRP'!S31*1</f>
        <v>0</v>
      </c>
      <c r="T31">
        <f>'Backlog CRP'!T31*1</f>
        <v>0</v>
      </c>
      <c r="V31">
        <f>'Backlog CRP'!V31*1</f>
        <v>0</v>
      </c>
      <c r="W31">
        <f>'Backlog CRP'!W31*1</f>
        <v>1</v>
      </c>
      <c r="X31">
        <f>'Backlog CRP'!X31*1</f>
        <v>0</v>
      </c>
      <c r="Y31">
        <f>'Backlog CRP'!Y31*1</f>
        <v>0</v>
      </c>
      <c r="AA31">
        <f>'Backlog CRP'!AA31*1</f>
        <v>0</v>
      </c>
      <c r="AB31">
        <f>'Backlog CRP'!AB31*1</f>
        <v>1</v>
      </c>
      <c r="AC31">
        <f>'Backlog CRP'!AC31*1</f>
        <v>0</v>
      </c>
      <c r="AD31">
        <f>'Backlog CRP'!AD31*1</f>
        <v>0</v>
      </c>
      <c r="AF31">
        <f>'Backlog CRP'!AF31*1</f>
        <v>0</v>
      </c>
      <c r="AG31">
        <f>'Backlog CRP'!AG31*1</f>
        <v>24</v>
      </c>
      <c r="AH31">
        <f>'Backlog CRP'!AH31*1</f>
        <v>0</v>
      </c>
      <c r="AI31">
        <f>'Backlog CRP'!AI31*1</f>
        <v>0</v>
      </c>
      <c r="AK31">
        <f>'Backlog CRP'!AK31*1</f>
        <v>0</v>
      </c>
      <c r="AL31">
        <f>'Backlog CRP'!AL31*1</f>
        <v>1</v>
      </c>
      <c r="AM31">
        <f>'Backlog CRP'!AM31*1</f>
        <v>0</v>
      </c>
      <c r="AN31">
        <f>'Backlog CRP'!AN31*1</f>
        <v>0</v>
      </c>
      <c r="AP31">
        <f>'Backlog CRP'!AP31*1</f>
        <v>0</v>
      </c>
      <c r="AQ31">
        <f>'Backlog CRP'!AQ31*1</f>
        <v>0</v>
      </c>
      <c r="AR31">
        <f>'Backlog CRP'!AR31*1</f>
        <v>0</v>
      </c>
      <c r="AS31">
        <f>'Backlog CRP'!AS31*1</f>
        <v>0</v>
      </c>
      <c r="AU31">
        <f>'Backlog CRP'!AU31*1</f>
        <v>0</v>
      </c>
      <c r="AV31">
        <f>'Backlog CRP'!AV31*1</f>
        <v>21</v>
      </c>
      <c r="AW31">
        <f>'Backlog CRP'!AW31*1</f>
        <v>0</v>
      </c>
      <c r="AX31">
        <f>'Backlog CRP'!AX31*1</f>
        <v>0</v>
      </c>
      <c r="AZ31">
        <f t="shared" si="1"/>
        <v>0</v>
      </c>
      <c r="BA31">
        <f t="shared" si="1"/>
        <v>6.4</v>
      </c>
      <c r="BB31">
        <f t="shared" si="1"/>
        <v>0</v>
      </c>
      <c r="BC31">
        <f t="shared" si="1"/>
        <v>0</v>
      </c>
    </row>
    <row r="32" spans="1:55" x14ac:dyDescent="0.35">
      <c r="A32">
        <v>30</v>
      </c>
      <c r="B32">
        <f>'Backlog CRP'!B32*1</f>
        <v>0</v>
      </c>
      <c r="C32">
        <f>'Backlog CRP'!C32*1</f>
        <v>0</v>
      </c>
      <c r="D32">
        <f>'Backlog CRP'!D32*1</f>
        <v>0</v>
      </c>
      <c r="E32">
        <f>'Backlog CRP'!E32*1</f>
        <v>0</v>
      </c>
      <c r="G32">
        <f>'Backlog CRP'!G32*1</f>
        <v>0</v>
      </c>
      <c r="H32">
        <f>'Backlog CRP'!H32*1</f>
        <v>0</v>
      </c>
      <c r="I32">
        <f>'Backlog CRP'!I32*1</f>
        <v>0</v>
      </c>
      <c r="J32">
        <f>'Backlog CRP'!J32*1</f>
        <v>0</v>
      </c>
      <c r="L32">
        <f>'Backlog CRP'!L32*1</f>
        <v>0</v>
      </c>
      <c r="M32">
        <f>'Backlog CRP'!M32*1</f>
        <v>2</v>
      </c>
      <c r="N32">
        <f>'Backlog CRP'!N32*1</f>
        <v>0</v>
      </c>
      <c r="O32">
        <f>'Backlog CRP'!O32*1</f>
        <v>0</v>
      </c>
      <c r="Q32">
        <f>'Backlog CRP'!Q32*1</f>
        <v>0</v>
      </c>
      <c r="R32">
        <f>'Backlog CRP'!R32*1</f>
        <v>7</v>
      </c>
      <c r="S32">
        <f>'Backlog CRP'!S32*1</f>
        <v>0</v>
      </c>
      <c r="T32">
        <f>'Backlog CRP'!T32*1</f>
        <v>0</v>
      </c>
      <c r="V32">
        <f>'Backlog CRP'!V32*1</f>
        <v>0</v>
      </c>
      <c r="W32">
        <f>'Backlog CRP'!W32*1</f>
        <v>6</v>
      </c>
      <c r="X32">
        <f>'Backlog CRP'!X32*1</f>
        <v>0</v>
      </c>
      <c r="Y32">
        <f>'Backlog CRP'!Y32*1</f>
        <v>0</v>
      </c>
      <c r="AA32">
        <f>'Backlog CRP'!AA32*1</f>
        <v>0</v>
      </c>
      <c r="AB32">
        <f>'Backlog CRP'!AB32*1</f>
        <v>6</v>
      </c>
      <c r="AC32">
        <f>'Backlog CRP'!AC32*1</f>
        <v>0</v>
      </c>
      <c r="AD32">
        <f>'Backlog CRP'!AD32*1</f>
        <v>0</v>
      </c>
      <c r="AF32">
        <f>'Backlog CRP'!AF32*1</f>
        <v>0</v>
      </c>
      <c r="AG32">
        <f>'Backlog CRP'!AG32*1</f>
        <v>3</v>
      </c>
      <c r="AH32">
        <f>'Backlog CRP'!AH32*1</f>
        <v>0</v>
      </c>
      <c r="AI32">
        <f>'Backlog CRP'!AI32*1</f>
        <v>0</v>
      </c>
      <c r="AK32">
        <f>'Backlog CRP'!AK32*1</f>
        <v>0</v>
      </c>
      <c r="AL32">
        <f>'Backlog CRP'!AL32*1</f>
        <v>6</v>
      </c>
      <c r="AM32">
        <f>'Backlog CRP'!AM32*1</f>
        <v>0</v>
      </c>
      <c r="AN32">
        <f>'Backlog CRP'!AN32*1</f>
        <v>0</v>
      </c>
      <c r="AP32">
        <f>'Backlog CRP'!AP32*1</f>
        <v>0</v>
      </c>
      <c r="AQ32">
        <f>'Backlog CRP'!AQ32*1</f>
        <v>0</v>
      </c>
      <c r="AR32">
        <f>'Backlog CRP'!AR32*1</f>
        <v>0</v>
      </c>
      <c r="AS32">
        <f>'Backlog CRP'!AS32*1</f>
        <v>0</v>
      </c>
      <c r="AU32">
        <f>'Backlog CRP'!AU32*1</f>
        <v>0</v>
      </c>
      <c r="AV32">
        <f>'Backlog CRP'!AV32*1</f>
        <v>0</v>
      </c>
      <c r="AW32">
        <f>'Backlog CRP'!AW32*1</f>
        <v>0</v>
      </c>
      <c r="AX32">
        <f>'Backlog CRP'!AX32*1</f>
        <v>0</v>
      </c>
      <c r="AZ32">
        <f t="shared" si="1"/>
        <v>0</v>
      </c>
      <c r="BA32">
        <f t="shared" si="1"/>
        <v>3</v>
      </c>
      <c r="BB32">
        <f t="shared" si="1"/>
        <v>0</v>
      </c>
      <c r="BC32">
        <f t="shared" si="1"/>
        <v>0</v>
      </c>
    </row>
    <row r="33" spans="1:56" x14ac:dyDescent="0.35">
      <c r="A33">
        <v>31</v>
      </c>
      <c r="B33">
        <f>'Backlog CRP'!B33*1</f>
        <v>0</v>
      </c>
      <c r="C33">
        <f>'Backlog CRP'!C33*1</f>
        <v>0</v>
      </c>
      <c r="D33">
        <f>'Backlog CRP'!D33*1</f>
        <v>0</v>
      </c>
      <c r="E33">
        <f>'Backlog CRP'!E33*1</f>
        <v>0</v>
      </c>
      <c r="G33">
        <f>'Backlog CRP'!G33*1</f>
        <v>0</v>
      </c>
      <c r="H33">
        <f>'Backlog CRP'!H33*1</f>
        <v>0</v>
      </c>
      <c r="I33">
        <f>'Backlog CRP'!I33*1</f>
        <v>0</v>
      </c>
      <c r="J33">
        <f>'Backlog CRP'!J33*1</f>
        <v>0</v>
      </c>
      <c r="L33">
        <f>'Backlog CRP'!L33*1</f>
        <v>0</v>
      </c>
      <c r="M33">
        <f>'Backlog CRP'!M33*1</f>
        <v>0</v>
      </c>
      <c r="N33">
        <f>'Backlog CRP'!N33*1</f>
        <v>0</v>
      </c>
      <c r="O33">
        <f>'Backlog CRP'!O33*1</f>
        <v>0</v>
      </c>
      <c r="Q33">
        <f>'Backlog CRP'!Q33*1</f>
        <v>0</v>
      </c>
      <c r="R33">
        <f>'Backlog CRP'!R33*1</f>
        <v>0</v>
      </c>
      <c r="S33">
        <f>'Backlog CRP'!S33*1</f>
        <v>0</v>
      </c>
      <c r="T33">
        <f>'Backlog CRP'!T33*1</f>
        <v>0</v>
      </c>
      <c r="V33">
        <f>'Backlog CRP'!V33*1</f>
        <v>0</v>
      </c>
      <c r="W33">
        <f>'Backlog CRP'!W33*1</f>
        <v>0</v>
      </c>
      <c r="X33">
        <f>'Backlog CRP'!X33*1</f>
        <v>0</v>
      </c>
      <c r="Y33">
        <f>'Backlog CRP'!Y33*1</f>
        <v>0</v>
      </c>
      <c r="AA33">
        <f>'Backlog CRP'!AA33*1</f>
        <v>0</v>
      </c>
      <c r="AB33">
        <f>'Backlog CRP'!AB33*1</f>
        <v>0</v>
      </c>
      <c r="AC33">
        <f>'Backlog CRP'!AC33*1</f>
        <v>0</v>
      </c>
      <c r="AD33">
        <f>'Backlog CRP'!AD33*1</f>
        <v>0</v>
      </c>
      <c r="AF33">
        <f>'Backlog CRP'!AF33*1</f>
        <v>0</v>
      </c>
      <c r="AG33">
        <f>'Backlog CRP'!AG33*1</f>
        <v>0</v>
      </c>
      <c r="AH33">
        <f>'Backlog CRP'!AH33*1</f>
        <v>0</v>
      </c>
      <c r="AI33">
        <f>'Backlog CRP'!AI33*1</f>
        <v>0</v>
      </c>
      <c r="AK33">
        <f>'Backlog CRP'!AK33*1</f>
        <v>0</v>
      </c>
      <c r="AL33">
        <f>'Backlog CRP'!AL33*1</f>
        <v>0</v>
      </c>
      <c r="AM33">
        <f>'Backlog CRP'!AM33*1</f>
        <v>0</v>
      </c>
      <c r="AN33">
        <f>'Backlog CRP'!AN33*1</f>
        <v>0</v>
      </c>
      <c r="AP33">
        <f>'Backlog CRP'!AP33*1</f>
        <v>0</v>
      </c>
      <c r="AQ33">
        <f>'Backlog CRP'!AQ33*1</f>
        <v>0</v>
      </c>
      <c r="AR33">
        <f>'Backlog CRP'!AR33*1</f>
        <v>0</v>
      </c>
      <c r="AS33">
        <f>'Backlog CRP'!AS33*1</f>
        <v>0</v>
      </c>
      <c r="AU33">
        <f>'Backlog CRP'!AU33*1</f>
        <v>0</v>
      </c>
      <c r="AV33">
        <f>'Backlog CRP'!AV33*1</f>
        <v>0</v>
      </c>
      <c r="AW33">
        <f>'Backlog CRP'!AW33*1</f>
        <v>0</v>
      </c>
      <c r="AX33">
        <f>'Backlog CRP'!AX33*1</f>
        <v>0</v>
      </c>
      <c r="AZ33">
        <f t="shared" si="1"/>
        <v>0</v>
      </c>
      <c r="BA33">
        <f t="shared" si="1"/>
        <v>0</v>
      </c>
      <c r="BB33">
        <f t="shared" si="1"/>
        <v>0</v>
      </c>
      <c r="BC33">
        <f t="shared" si="1"/>
        <v>0</v>
      </c>
    </row>
    <row r="34" spans="1:56" x14ac:dyDescent="0.35">
      <c r="A34">
        <v>32</v>
      </c>
      <c r="B34">
        <f>'Backlog CRP'!B34*1</f>
        <v>0</v>
      </c>
      <c r="C34">
        <f>'Backlog CRP'!C34*1</f>
        <v>0</v>
      </c>
      <c r="D34">
        <f>'Backlog CRP'!D34*1</f>
        <v>0</v>
      </c>
      <c r="E34">
        <f>'Backlog CRP'!E34*1</f>
        <v>0</v>
      </c>
      <c r="G34">
        <f>'Backlog CRP'!G34*1</f>
        <v>0</v>
      </c>
      <c r="H34">
        <f>'Backlog CRP'!H34*1</f>
        <v>0</v>
      </c>
      <c r="I34">
        <f>'Backlog CRP'!I34*1</f>
        <v>0</v>
      </c>
      <c r="J34">
        <f>'Backlog CRP'!J34*1</f>
        <v>0</v>
      </c>
      <c r="L34">
        <f>'Backlog CRP'!L34*1</f>
        <v>0</v>
      </c>
      <c r="M34">
        <f>'Backlog CRP'!M34*1</f>
        <v>0</v>
      </c>
      <c r="N34">
        <f>'Backlog CRP'!N34*1</f>
        <v>0</v>
      </c>
      <c r="O34">
        <f>'Backlog CRP'!O34*1</f>
        <v>0</v>
      </c>
      <c r="Q34">
        <f>'Backlog CRP'!Q34*1</f>
        <v>0</v>
      </c>
      <c r="R34">
        <f>'Backlog CRP'!R34*1</f>
        <v>0</v>
      </c>
      <c r="S34">
        <f>'Backlog CRP'!S34*1</f>
        <v>0</v>
      </c>
      <c r="T34">
        <f>'Backlog CRP'!T34*1</f>
        <v>0</v>
      </c>
      <c r="V34">
        <f>'Backlog CRP'!V34*1</f>
        <v>0</v>
      </c>
      <c r="W34">
        <f>'Backlog CRP'!W34*1</f>
        <v>0</v>
      </c>
      <c r="X34">
        <f>'Backlog CRP'!X34*1</f>
        <v>0</v>
      </c>
      <c r="Y34">
        <f>'Backlog CRP'!Y34*1</f>
        <v>0</v>
      </c>
      <c r="AA34">
        <f>'Backlog CRP'!AA34*1</f>
        <v>0</v>
      </c>
      <c r="AB34">
        <f>'Backlog CRP'!AB34*1</f>
        <v>0</v>
      </c>
      <c r="AC34">
        <f>'Backlog CRP'!AC34*1</f>
        <v>0</v>
      </c>
      <c r="AD34">
        <f>'Backlog CRP'!AD34*1</f>
        <v>0</v>
      </c>
      <c r="AF34">
        <f>'Backlog CRP'!AF34*1</f>
        <v>0</v>
      </c>
      <c r="AG34">
        <f>'Backlog CRP'!AG34*1</f>
        <v>0</v>
      </c>
      <c r="AH34">
        <f>'Backlog CRP'!AH34*1</f>
        <v>0</v>
      </c>
      <c r="AI34">
        <f>'Backlog CRP'!AI34*1</f>
        <v>0</v>
      </c>
      <c r="AK34">
        <f>'Backlog CRP'!AK34*1</f>
        <v>0</v>
      </c>
      <c r="AL34">
        <f>'Backlog CRP'!AL34*1</f>
        <v>0</v>
      </c>
      <c r="AM34">
        <f>'Backlog CRP'!AM34*1</f>
        <v>0</v>
      </c>
      <c r="AN34">
        <f>'Backlog CRP'!AN34*1</f>
        <v>0</v>
      </c>
      <c r="AP34">
        <f>'Backlog CRP'!AP34*1</f>
        <v>0</v>
      </c>
      <c r="AQ34">
        <f>'Backlog CRP'!AQ34*1</f>
        <v>0</v>
      </c>
      <c r="AR34">
        <f>'Backlog CRP'!AR34*1</f>
        <v>0</v>
      </c>
      <c r="AS34">
        <f>'Backlog CRP'!AS34*1</f>
        <v>0</v>
      </c>
      <c r="AU34">
        <f>'Backlog CRP'!AU34*1</f>
        <v>0</v>
      </c>
      <c r="AV34">
        <f>'Backlog CRP'!AV34*1</f>
        <v>0</v>
      </c>
      <c r="AW34">
        <f>'Backlog CRP'!AW34*1</f>
        <v>0</v>
      </c>
      <c r="AX34">
        <f>'Backlog CRP'!AX34*1</f>
        <v>0</v>
      </c>
      <c r="AZ34">
        <f t="shared" si="1"/>
        <v>0</v>
      </c>
      <c r="BA34">
        <f t="shared" si="1"/>
        <v>0</v>
      </c>
      <c r="BB34">
        <f t="shared" si="1"/>
        <v>0</v>
      </c>
      <c r="BC34">
        <f t="shared" si="1"/>
        <v>0</v>
      </c>
    </row>
    <row r="35" spans="1:56" x14ac:dyDescent="0.35">
      <c r="A35">
        <v>33</v>
      </c>
      <c r="B35">
        <f>'Backlog CRP'!B35*1</f>
        <v>0</v>
      </c>
      <c r="C35">
        <f>'Backlog CRP'!C35*1</f>
        <v>7</v>
      </c>
      <c r="D35">
        <f>'Backlog CRP'!D35*1</f>
        <v>0</v>
      </c>
      <c r="E35">
        <f>'Backlog CRP'!E35*1</f>
        <v>0</v>
      </c>
      <c r="G35">
        <f>'Backlog CRP'!G35*1</f>
        <v>0</v>
      </c>
      <c r="H35">
        <f>'Backlog CRP'!H35*1</f>
        <v>2</v>
      </c>
      <c r="I35">
        <f>'Backlog CRP'!I35*1</f>
        <v>0</v>
      </c>
      <c r="J35">
        <f>'Backlog CRP'!J35*1</f>
        <v>0</v>
      </c>
      <c r="L35">
        <f>'Backlog CRP'!L35*1</f>
        <v>0</v>
      </c>
      <c r="M35">
        <f>'Backlog CRP'!M35*1</f>
        <v>0</v>
      </c>
      <c r="N35">
        <f>'Backlog CRP'!N35*1</f>
        <v>0</v>
      </c>
      <c r="O35">
        <f>'Backlog CRP'!O35*1</f>
        <v>0</v>
      </c>
      <c r="Q35">
        <f>'Backlog CRP'!Q35*1</f>
        <v>0</v>
      </c>
      <c r="R35">
        <f>'Backlog CRP'!R35*1</f>
        <v>0</v>
      </c>
      <c r="S35">
        <f>'Backlog CRP'!S35*1</f>
        <v>0</v>
      </c>
      <c r="T35">
        <f>'Backlog CRP'!T35*1</f>
        <v>0</v>
      </c>
      <c r="V35">
        <f>'Backlog CRP'!V35*1</f>
        <v>0</v>
      </c>
      <c r="W35">
        <f>'Backlog CRP'!W35*1</f>
        <v>0</v>
      </c>
      <c r="X35">
        <f>'Backlog CRP'!X35*1</f>
        <v>0</v>
      </c>
      <c r="Y35">
        <f>'Backlog CRP'!Y35*1</f>
        <v>0</v>
      </c>
      <c r="AA35">
        <f>'Backlog CRP'!AA35*1</f>
        <v>0</v>
      </c>
      <c r="AB35">
        <f>'Backlog CRP'!AB35*1</f>
        <v>0</v>
      </c>
      <c r="AC35">
        <f>'Backlog CRP'!AC35*1</f>
        <v>0</v>
      </c>
      <c r="AD35">
        <f>'Backlog CRP'!AD35*1</f>
        <v>0</v>
      </c>
      <c r="AF35">
        <f>'Backlog CRP'!AF35*1</f>
        <v>2</v>
      </c>
      <c r="AG35">
        <f>'Backlog CRP'!AG35*1</f>
        <v>0</v>
      </c>
      <c r="AH35">
        <f>'Backlog CRP'!AH35*1</f>
        <v>0</v>
      </c>
      <c r="AI35">
        <f>'Backlog CRP'!AI35*1</f>
        <v>0</v>
      </c>
      <c r="AK35">
        <f>'Backlog CRP'!AK35*1</f>
        <v>0</v>
      </c>
      <c r="AL35">
        <f>'Backlog CRP'!AL35*1</f>
        <v>0</v>
      </c>
      <c r="AM35">
        <f>'Backlog CRP'!AM35*1</f>
        <v>0</v>
      </c>
      <c r="AN35">
        <f>'Backlog CRP'!AN35*1</f>
        <v>0</v>
      </c>
      <c r="AP35">
        <f>'Backlog CRP'!AP35*1</f>
        <v>0</v>
      </c>
      <c r="AQ35">
        <f>'Backlog CRP'!AQ35*1</f>
        <v>0</v>
      </c>
      <c r="AR35">
        <f>'Backlog CRP'!AR35*1</f>
        <v>0</v>
      </c>
      <c r="AS35">
        <f>'Backlog CRP'!AS35*1</f>
        <v>0</v>
      </c>
      <c r="AU35">
        <f>'Backlog CRP'!AU35*1</f>
        <v>0</v>
      </c>
      <c r="AV35">
        <f>'Backlog CRP'!AV35*1</f>
        <v>0</v>
      </c>
      <c r="AW35">
        <f>'Backlog CRP'!AW35*1</f>
        <v>0</v>
      </c>
      <c r="AX35">
        <f>'Backlog CRP'!AX35*1</f>
        <v>0</v>
      </c>
      <c r="AZ35">
        <f t="shared" si="1"/>
        <v>0.2</v>
      </c>
      <c r="BA35">
        <f t="shared" si="1"/>
        <v>0.9</v>
      </c>
      <c r="BB35">
        <f t="shared" si="1"/>
        <v>0</v>
      </c>
      <c r="BC35">
        <f t="shared" si="1"/>
        <v>0</v>
      </c>
    </row>
    <row r="36" spans="1:56" x14ac:dyDescent="0.35">
      <c r="A36">
        <v>34</v>
      </c>
      <c r="B36">
        <f>'Backlog CRP'!B36*1</f>
        <v>0</v>
      </c>
      <c r="C36">
        <f>'Backlog CRP'!C36*1</f>
        <v>12</v>
      </c>
      <c r="D36">
        <f>'Backlog CRP'!D36*1</f>
        <v>0</v>
      </c>
      <c r="E36">
        <f>'Backlog CRP'!E36*1</f>
        <v>0</v>
      </c>
      <c r="G36">
        <f>'Backlog CRP'!G36*1</f>
        <v>0</v>
      </c>
      <c r="H36">
        <f>'Backlog CRP'!H36*1</f>
        <v>9</v>
      </c>
      <c r="I36">
        <f>'Backlog CRP'!I36*1</f>
        <v>0</v>
      </c>
      <c r="J36">
        <f>'Backlog CRP'!J36*1</f>
        <v>0</v>
      </c>
      <c r="L36">
        <f>'Backlog CRP'!L36*1</f>
        <v>0</v>
      </c>
      <c r="M36">
        <f>'Backlog CRP'!M36*1</f>
        <v>0</v>
      </c>
      <c r="N36">
        <f>'Backlog CRP'!N36*1</f>
        <v>0</v>
      </c>
      <c r="O36">
        <f>'Backlog CRP'!O36*1</f>
        <v>0</v>
      </c>
      <c r="Q36">
        <f>'Backlog CRP'!Q36*1</f>
        <v>0</v>
      </c>
      <c r="R36">
        <f>'Backlog CRP'!R36*1</f>
        <v>0</v>
      </c>
      <c r="S36">
        <f>'Backlog CRP'!S36*1</f>
        <v>0</v>
      </c>
      <c r="T36">
        <f>'Backlog CRP'!T36*1</f>
        <v>0</v>
      </c>
      <c r="V36">
        <f>'Backlog CRP'!V36*1</f>
        <v>0</v>
      </c>
      <c r="W36">
        <f>'Backlog CRP'!W36*1</f>
        <v>0</v>
      </c>
      <c r="X36">
        <f>'Backlog CRP'!X36*1</f>
        <v>0</v>
      </c>
      <c r="Y36">
        <f>'Backlog CRP'!Y36*1</f>
        <v>0</v>
      </c>
      <c r="AA36">
        <f>'Backlog CRP'!AA36*1</f>
        <v>0</v>
      </c>
      <c r="AB36">
        <f>'Backlog CRP'!AB36*1</f>
        <v>0</v>
      </c>
      <c r="AC36">
        <f>'Backlog CRP'!AC36*1</f>
        <v>0</v>
      </c>
      <c r="AD36">
        <f>'Backlog CRP'!AD36*1</f>
        <v>0</v>
      </c>
      <c r="AF36">
        <f>'Backlog CRP'!AF36*1</f>
        <v>1</v>
      </c>
      <c r="AG36">
        <f>'Backlog CRP'!AG36*1</f>
        <v>0</v>
      </c>
      <c r="AH36">
        <f>'Backlog CRP'!AH36*1</f>
        <v>0</v>
      </c>
      <c r="AI36">
        <f>'Backlog CRP'!AI36*1</f>
        <v>0</v>
      </c>
      <c r="AK36">
        <f>'Backlog CRP'!AK36*1</f>
        <v>1</v>
      </c>
      <c r="AL36">
        <f>'Backlog CRP'!AL36*1</f>
        <v>0</v>
      </c>
      <c r="AM36">
        <f>'Backlog CRP'!AM36*1</f>
        <v>0</v>
      </c>
      <c r="AN36">
        <f>'Backlog CRP'!AN36*1</f>
        <v>0</v>
      </c>
      <c r="AP36">
        <f>'Backlog CRP'!AP36*1</f>
        <v>0</v>
      </c>
      <c r="AQ36">
        <f>'Backlog CRP'!AQ36*1</f>
        <v>0</v>
      </c>
      <c r="AR36">
        <f>'Backlog CRP'!AR36*1</f>
        <v>0</v>
      </c>
      <c r="AS36">
        <f>'Backlog CRP'!AS36*1</f>
        <v>0</v>
      </c>
      <c r="AU36">
        <f>'Backlog CRP'!AU36*1</f>
        <v>0</v>
      </c>
      <c r="AV36">
        <f>'Backlog CRP'!AV36*1</f>
        <v>30</v>
      </c>
      <c r="AW36">
        <f>'Backlog CRP'!AW36*1</f>
        <v>0</v>
      </c>
      <c r="AX36">
        <f>'Backlog CRP'!AX36*1</f>
        <v>0</v>
      </c>
      <c r="AZ36">
        <f t="shared" si="1"/>
        <v>0.2</v>
      </c>
      <c r="BA36">
        <f t="shared" si="1"/>
        <v>5.0999999999999996</v>
      </c>
      <c r="BB36">
        <f t="shared" si="1"/>
        <v>0</v>
      </c>
      <c r="BC36">
        <f t="shared" si="1"/>
        <v>0</v>
      </c>
    </row>
    <row r="37" spans="1:56" x14ac:dyDescent="0.35">
      <c r="A37">
        <v>35</v>
      </c>
      <c r="B37">
        <f>'Backlog CRP'!B37*1</f>
        <v>0</v>
      </c>
      <c r="C37">
        <f>'Backlog CRP'!C37*1</f>
        <v>0</v>
      </c>
      <c r="D37">
        <f>'Backlog CRP'!D37*1</f>
        <v>0</v>
      </c>
      <c r="E37">
        <f>'Backlog CRP'!E37*1</f>
        <v>0</v>
      </c>
      <c r="G37">
        <f>'Backlog CRP'!G37*1</f>
        <v>0</v>
      </c>
      <c r="H37">
        <f>'Backlog CRP'!H37*1</f>
        <v>0</v>
      </c>
      <c r="I37">
        <f>'Backlog CRP'!I37*1</f>
        <v>0</v>
      </c>
      <c r="J37">
        <f>'Backlog CRP'!J37*1</f>
        <v>0</v>
      </c>
      <c r="L37">
        <f>'Backlog CRP'!L37*1</f>
        <v>0</v>
      </c>
      <c r="M37">
        <f>'Backlog CRP'!M37*1</f>
        <v>0</v>
      </c>
      <c r="N37">
        <f>'Backlog CRP'!N37*1</f>
        <v>0</v>
      </c>
      <c r="O37">
        <f>'Backlog CRP'!O37*1</f>
        <v>0</v>
      </c>
      <c r="Q37">
        <f>'Backlog CRP'!Q37*1</f>
        <v>0</v>
      </c>
      <c r="R37">
        <f>'Backlog CRP'!R37*1</f>
        <v>0</v>
      </c>
      <c r="S37">
        <f>'Backlog CRP'!S37*1</f>
        <v>0</v>
      </c>
      <c r="T37">
        <f>'Backlog CRP'!T37*1</f>
        <v>0</v>
      </c>
      <c r="V37">
        <f>'Backlog CRP'!V37*1</f>
        <v>0</v>
      </c>
      <c r="W37">
        <f>'Backlog CRP'!W37*1</f>
        <v>2</v>
      </c>
      <c r="X37">
        <f>'Backlog CRP'!X37*1</f>
        <v>0</v>
      </c>
      <c r="Y37">
        <f>'Backlog CRP'!Y37*1</f>
        <v>0</v>
      </c>
      <c r="AA37">
        <f>'Backlog CRP'!AA37*1</f>
        <v>0</v>
      </c>
      <c r="AB37">
        <f>'Backlog CRP'!AB37*1</f>
        <v>2</v>
      </c>
      <c r="AC37">
        <f>'Backlog CRP'!AC37*1</f>
        <v>0</v>
      </c>
      <c r="AD37">
        <f>'Backlog CRP'!AD37*1</f>
        <v>0</v>
      </c>
      <c r="AF37">
        <f>'Backlog CRP'!AF37*1</f>
        <v>0</v>
      </c>
      <c r="AG37">
        <f>'Backlog CRP'!AG37*1</f>
        <v>29</v>
      </c>
      <c r="AH37">
        <f>'Backlog CRP'!AH37*1</f>
        <v>0</v>
      </c>
      <c r="AI37">
        <f>'Backlog CRP'!AI37*1</f>
        <v>0</v>
      </c>
      <c r="AK37">
        <f>'Backlog CRP'!AK37*1</f>
        <v>0</v>
      </c>
      <c r="AL37">
        <f>'Backlog CRP'!AL37*1</f>
        <v>5</v>
      </c>
      <c r="AM37">
        <f>'Backlog CRP'!AM37*1</f>
        <v>0</v>
      </c>
      <c r="AN37">
        <f>'Backlog CRP'!AN37*1</f>
        <v>0</v>
      </c>
      <c r="AP37">
        <f>'Backlog CRP'!AP37*1</f>
        <v>0</v>
      </c>
      <c r="AQ37">
        <f>'Backlog CRP'!AQ37*1</f>
        <v>0</v>
      </c>
      <c r="AR37">
        <f>'Backlog CRP'!AR37*1</f>
        <v>0</v>
      </c>
      <c r="AS37">
        <f>'Backlog CRP'!AS37*1</f>
        <v>0</v>
      </c>
      <c r="AU37">
        <f>'Backlog CRP'!AU37*1</f>
        <v>0</v>
      </c>
      <c r="AV37">
        <f>'Backlog CRP'!AV37*1</f>
        <v>0</v>
      </c>
      <c r="AW37">
        <f>'Backlog CRP'!AW37*1</f>
        <v>0</v>
      </c>
      <c r="AX37">
        <f>'Backlog CRP'!AX37*1</f>
        <v>0</v>
      </c>
      <c r="AZ37">
        <f t="shared" si="1"/>
        <v>0</v>
      </c>
      <c r="BA37">
        <f t="shared" si="1"/>
        <v>3.8</v>
      </c>
      <c r="BB37">
        <f t="shared" si="1"/>
        <v>0</v>
      </c>
      <c r="BC37">
        <f t="shared" si="1"/>
        <v>0</v>
      </c>
    </row>
    <row r="38" spans="1:56" x14ac:dyDescent="0.35">
      <c r="A38">
        <v>36</v>
      </c>
      <c r="B38">
        <f>'Backlog CRP'!B38*1</f>
        <v>0</v>
      </c>
      <c r="C38">
        <f>'Backlog CRP'!C38*1</f>
        <v>0</v>
      </c>
      <c r="D38">
        <f>'Backlog CRP'!D38*1</f>
        <v>0</v>
      </c>
      <c r="E38">
        <f>'Backlog CRP'!E38*1</f>
        <v>0</v>
      </c>
      <c r="G38">
        <f>'Backlog CRP'!G38*1</f>
        <v>0</v>
      </c>
      <c r="H38">
        <f>'Backlog CRP'!H38*1</f>
        <v>0</v>
      </c>
      <c r="I38">
        <f>'Backlog CRP'!I38*1</f>
        <v>0</v>
      </c>
      <c r="J38">
        <f>'Backlog CRP'!J38*1</f>
        <v>0</v>
      </c>
      <c r="L38">
        <f>'Backlog CRP'!L38*1</f>
        <v>0</v>
      </c>
      <c r="M38">
        <f>'Backlog CRP'!M38*1</f>
        <v>0</v>
      </c>
      <c r="N38">
        <f>'Backlog CRP'!N38*1</f>
        <v>0</v>
      </c>
      <c r="O38">
        <f>'Backlog CRP'!O38*1</f>
        <v>0</v>
      </c>
      <c r="Q38">
        <f>'Backlog CRP'!Q38*1</f>
        <v>0</v>
      </c>
      <c r="R38">
        <f>'Backlog CRP'!R38*1</f>
        <v>0</v>
      </c>
      <c r="S38">
        <f>'Backlog CRP'!S38*1</f>
        <v>0</v>
      </c>
      <c r="T38">
        <f>'Backlog CRP'!T38*1</f>
        <v>0</v>
      </c>
      <c r="V38">
        <f>'Backlog CRP'!V38*1</f>
        <v>0</v>
      </c>
      <c r="W38">
        <f>'Backlog CRP'!W38*1</f>
        <v>2</v>
      </c>
      <c r="X38">
        <f>'Backlog CRP'!X38*1</f>
        <v>0</v>
      </c>
      <c r="Y38">
        <f>'Backlog CRP'!Y38*1</f>
        <v>0</v>
      </c>
      <c r="AA38">
        <f>'Backlog CRP'!AA38*1</f>
        <v>0</v>
      </c>
      <c r="AB38">
        <f>'Backlog CRP'!AB38*1</f>
        <v>2</v>
      </c>
      <c r="AC38">
        <f>'Backlog CRP'!AC38*1</f>
        <v>0</v>
      </c>
      <c r="AD38">
        <f>'Backlog CRP'!AD38*1</f>
        <v>0</v>
      </c>
      <c r="AF38">
        <f>'Backlog CRP'!AF38*1</f>
        <v>0</v>
      </c>
      <c r="AG38">
        <f>'Backlog CRP'!AG38*1</f>
        <v>0</v>
      </c>
      <c r="AH38">
        <f>'Backlog CRP'!AH38*1</f>
        <v>0</v>
      </c>
      <c r="AI38">
        <f>'Backlog CRP'!AI38*1</f>
        <v>0</v>
      </c>
      <c r="AK38">
        <f>'Backlog CRP'!AK38*1</f>
        <v>0</v>
      </c>
      <c r="AL38">
        <f>'Backlog CRP'!AL38*1</f>
        <v>4</v>
      </c>
      <c r="AM38">
        <f>'Backlog CRP'!AM38*1</f>
        <v>0</v>
      </c>
      <c r="AN38">
        <f>'Backlog CRP'!AN38*1</f>
        <v>0</v>
      </c>
      <c r="AP38">
        <f>'Backlog CRP'!AP38*1</f>
        <v>0</v>
      </c>
      <c r="AQ38">
        <f>'Backlog CRP'!AQ38*1</f>
        <v>0</v>
      </c>
      <c r="AR38">
        <f>'Backlog CRP'!AR38*1</f>
        <v>0</v>
      </c>
      <c r="AS38">
        <f>'Backlog CRP'!AS38*1</f>
        <v>0</v>
      </c>
      <c r="AU38">
        <f>'Backlog CRP'!AU38*1</f>
        <v>0</v>
      </c>
      <c r="AV38">
        <f>'Backlog CRP'!AV38*1</f>
        <v>0</v>
      </c>
      <c r="AW38">
        <f>'Backlog CRP'!AW38*1</f>
        <v>0</v>
      </c>
      <c r="AX38">
        <f>'Backlog CRP'!AX38*1</f>
        <v>0</v>
      </c>
      <c r="AZ38">
        <f t="shared" si="1"/>
        <v>0</v>
      </c>
      <c r="BA38">
        <f t="shared" si="1"/>
        <v>0.8</v>
      </c>
      <c r="BB38">
        <f t="shared" si="1"/>
        <v>0</v>
      </c>
      <c r="BC38">
        <f t="shared" si="1"/>
        <v>0</v>
      </c>
    </row>
    <row r="40" spans="1:56" x14ac:dyDescent="0.35">
      <c r="A40" t="s">
        <v>9</v>
      </c>
      <c r="B40">
        <f>SUM(B2:B38)</f>
        <v>6</v>
      </c>
      <c r="C40">
        <f t="shared" ref="C40:E40" si="3">SUM(C2:C38)</f>
        <v>116</v>
      </c>
      <c r="D40">
        <f t="shared" si="3"/>
        <v>0</v>
      </c>
      <c r="E40">
        <f t="shared" si="3"/>
        <v>0</v>
      </c>
      <c r="G40">
        <f>SUM(G2:G38)</f>
        <v>6</v>
      </c>
      <c r="H40">
        <f t="shared" ref="H40:J40" si="4">SUM(H2:H38)</f>
        <v>74</v>
      </c>
      <c r="I40">
        <f t="shared" si="4"/>
        <v>0</v>
      </c>
      <c r="J40">
        <f t="shared" si="4"/>
        <v>0</v>
      </c>
      <c r="L40">
        <f>SUM(L2:L38)</f>
        <v>6</v>
      </c>
      <c r="M40">
        <f t="shared" ref="M40:O40" si="5">SUM(M2:M38)</f>
        <v>22</v>
      </c>
      <c r="N40">
        <f t="shared" si="5"/>
        <v>0</v>
      </c>
      <c r="O40">
        <f t="shared" si="5"/>
        <v>0</v>
      </c>
      <c r="Q40">
        <f>SUM(Q2:Q38)</f>
        <v>6</v>
      </c>
      <c r="R40">
        <f t="shared" ref="R40:T40" si="6">SUM(R2:R38)</f>
        <v>63</v>
      </c>
      <c r="S40">
        <f t="shared" si="6"/>
        <v>0</v>
      </c>
      <c r="T40">
        <f t="shared" si="6"/>
        <v>0</v>
      </c>
      <c r="V40">
        <f>SUM(V2:V38)</f>
        <v>4</v>
      </c>
      <c r="W40">
        <f t="shared" ref="W40:Y40" si="7">SUM(W2:W38)</f>
        <v>44</v>
      </c>
      <c r="X40">
        <f t="shared" si="7"/>
        <v>0</v>
      </c>
      <c r="Y40">
        <f t="shared" si="7"/>
        <v>0</v>
      </c>
      <c r="AA40">
        <f>SUM(AA2:AA38)</f>
        <v>4</v>
      </c>
      <c r="AB40">
        <f t="shared" ref="AB40:AD40" si="8">SUM(AB2:AB38)</f>
        <v>44</v>
      </c>
      <c r="AC40">
        <f t="shared" si="8"/>
        <v>0</v>
      </c>
      <c r="AD40">
        <f t="shared" si="8"/>
        <v>0</v>
      </c>
      <c r="AF40">
        <f>SUM(AF2:AF38)</f>
        <v>11</v>
      </c>
      <c r="AG40">
        <f t="shared" ref="AG40:AI40" si="9">SUM(AG2:AG38)</f>
        <v>131</v>
      </c>
      <c r="AH40">
        <f t="shared" si="9"/>
        <v>0</v>
      </c>
      <c r="AI40">
        <f t="shared" si="9"/>
        <v>0</v>
      </c>
      <c r="AK40">
        <f>SUM(AK2:AK38)</f>
        <v>7</v>
      </c>
      <c r="AL40">
        <f t="shared" ref="AL40:AN40" si="10">SUM(AL2:AL38)</f>
        <v>33</v>
      </c>
      <c r="AM40">
        <f t="shared" si="10"/>
        <v>0</v>
      </c>
      <c r="AN40">
        <f t="shared" si="10"/>
        <v>0</v>
      </c>
      <c r="AP40">
        <f>SUM(AP2:AP38)</f>
        <v>0</v>
      </c>
      <c r="AQ40">
        <f t="shared" ref="AQ40:AS40" si="11">SUM(AQ2:AQ38)</f>
        <v>0</v>
      </c>
      <c r="AR40">
        <f t="shared" si="11"/>
        <v>0</v>
      </c>
      <c r="AS40">
        <f t="shared" si="11"/>
        <v>0</v>
      </c>
      <c r="AU40">
        <f>SUM(AU2:AU38)</f>
        <v>9</v>
      </c>
      <c r="AV40">
        <f t="shared" ref="AV40:AX40" si="12">SUM(AV2:AV38)</f>
        <v>118</v>
      </c>
      <c r="AW40">
        <f t="shared" si="12"/>
        <v>0</v>
      </c>
      <c r="AX40">
        <f t="shared" si="12"/>
        <v>0</v>
      </c>
      <c r="AZ40">
        <f>SUM(AZ2:AZ38)</f>
        <v>5.9000000000000012</v>
      </c>
      <c r="BA40">
        <f>SUM(BA2:BA38)</f>
        <v>64.5</v>
      </c>
      <c r="BB40">
        <f t="shared" ref="BB40:BD40" si="13">SUM(BB2:BB38)</f>
        <v>0</v>
      </c>
      <c r="BC40">
        <f t="shared" si="13"/>
        <v>0</v>
      </c>
      <c r="BD40">
        <f t="shared" si="13"/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7356-09E2-4B4D-86C2-F8CBDFA9623C}">
  <dimension ref="A1:AD38"/>
  <sheetViews>
    <sheetView topLeftCell="S1" workbookViewId="0">
      <selection activeCell="AA38" sqref="AA38:AD38"/>
    </sheetView>
  </sheetViews>
  <sheetFormatPr defaultRowHeight="14.5" x14ac:dyDescent="0.35"/>
  <cols>
    <col min="2" max="2" width="13.54296875" customWidth="1"/>
    <col min="3" max="3" width="16.36328125" customWidth="1"/>
    <col min="4" max="4" width="16" customWidth="1"/>
    <col min="5" max="5" width="14.54296875" customWidth="1"/>
    <col min="7" max="7" width="14.08984375" customWidth="1"/>
    <col min="8" max="8" width="16.90625" customWidth="1"/>
    <col min="9" max="9" width="16.54296875" customWidth="1"/>
    <col min="10" max="10" width="15.08984375" customWidth="1"/>
    <col min="12" max="12" width="14.26953125" customWidth="1"/>
    <col min="13" max="13" width="17.08984375" customWidth="1"/>
    <col min="14" max="14" width="16.7265625" customWidth="1"/>
    <col min="15" max="15" width="15.26953125" customWidth="1"/>
    <col min="17" max="17" width="15.6328125" customWidth="1"/>
    <col min="18" max="18" width="18.453125" customWidth="1"/>
    <col min="19" max="19" width="18.08984375" customWidth="1"/>
    <col min="20" max="20" width="16.6328125" customWidth="1"/>
    <col min="22" max="22" width="16.1796875" customWidth="1"/>
    <col min="23" max="23" width="19" customWidth="1"/>
    <col min="24" max="24" width="18.6328125" customWidth="1"/>
    <col min="25" max="25" width="17.1796875" customWidth="1"/>
    <col min="27" max="27" width="15.1796875" customWidth="1"/>
    <col min="28" max="28" width="18" customWidth="1"/>
    <col min="29" max="29" width="17.6328125" customWidth="1"/>
    <col min="30" max="30" width="16.1796875" customWidth="1"/>
  </cols>
  <sheetData>
    <row r="1" spans="1:30" ht="15" thickBot="1" x14ac:dyDescent="0.4">
      <c r="A1" s="31" t="s">
        <v>19</v>
      </c>
      <c r="B1" s="32" t="s">
        <v>35</v>
      </c>
      <c r="C1" s="33" t="s">
        <v>36</v>
      </c>
      <c r="D1" s="33" t="s">
        <v>37</v>
      </c>
      <c r="E1" s="31" t="s">
        <v>46</v>
      </c>
      <c r="F1" s="34" t="s">
        <v>79</v>
      </c>
      <c r="G1" s="32" t="s">
        <v>38</v>
      </c>
      <c r="H1" s="33" t="s">
        <v>39</v>
      </c>
      <c r="I1" s="33" t="s">
        <v>40</v>
      </c>
      <c r="J1" s="31" t="s">
        <v>41</v>
      </c>
      <c r="K1" s="34" t="s">
        <v>80</v>
      </c>
      <c r="L1" s="32" t="s">
        <v>42</v>
      </c>
      <c r="M1" s="33" t="s">
        <v>43</v>
      </c>
      <c r="N1" s="33" t="s">
        <v>44</v>
      </c>
      <c r="O1" s="31" t="s">
        <v>45</v>
      </c>
      <c r="P1" s="34" t="s">
        <v>82</v>
      </c>
      <c r="Q1" s="32" t="s">
        <v>51</v>
      </c>
      <c r="R1" s="33" t="s">
        <v>52</v>
      </c>
      <c r="S1" s="33" t="s">
        <v>53</v>
      </c>
      <c r="T1" s="31" t="s">
        <v>54</v>
      </c>
      <c r="U1" s="34" t="s">
        <v>83</v>
      </c>
      <c r="V1" s="32" t="s">
        <v>55</v>
      </c>
      <c r="W1" s="33" t="s">
        <v>56</v>
      </c>
      <c r="X1" s="33" t="s">
        <v>57</v>
      </c>
      <c r="Y1" s="31" t="s">
        <v>58</v>
      </c>
      <c r="Z1" s="34" t="s">
        <v>78</v>
      </c>
      <c r="AA1" s="32" t="s">
        <v>59</v>
      </c>
      <c r="AB1" s="33" t="s">
        <v>60</v>
      </c>
      <c r="AC1" s="33" t="s">
        <v>61</v>
      </c>
      <c r="AD1" s="33" t="s">
        <v>62</v>
      </c>
    </row>
    <row r="2" spans="1:30" ht="15" thickBot="1" x14ac:dyDescent="0.4">
      <c r="A2" s="14">
        <v>0</v>
      </c>
      <c r="B2" s="18">
        <f>'Inventory DQN'!BA2</f>
        <v>12</v>
      </c>
      <c r="C2" s="19">
        <f>'Inventory DQN'!BB2</f>
        <v>12</v>
      </c>
      <c r="D2" s="19">
        <f>'Inventory DQN'!BC2</f>
        <v>12</v>
      </c>
      <c r="E2" s="20">
        <f>'Inventory DQN'!BD2</f>
        <v>12</v>
      </c>
      <c r="F2" s="30">
        <v>0</v>
      </c>
      <c r="G2" s="18">
        <f>'Backlog DQN'!BA2</f>
        <v>0</v>
      </c>
      <c r="H2" s="19">
        <f>'Backlog DQN'!BB2</f>
        <v>0</v>
      </c>
      <c r="I2" s="19">
        <f>'Backlog DQN'!BC2</f>
        <v>0</v>
      </c>
      <c r="J2" s="20">
        <f>'Backlog DQN'!BD2</f>
        <v>0</v>
      </c>
      <c r="K2" s="30">
        <v>0</v>
      </c>
      <c r="L2" s="18">
        <f>'Orders DQN'!AZ2</f>
        <v>0</v>
      </c>
      <c r="M2" s="18">
        <f>'Orders DQN'!BA2</f>
        <v>0</v>
      </c>
      <c r="N2" s="18">
        <f>'Orders DQN'!BB2</f>
        <v>0</v>
      </c>
      <c r="O2" s="18">
        <f>'Orders DQN'!BC2</f>
        <v>0</v>
      </c>
      <c r="P2" s="13">
        <v>0</v>
      </c>
      <c r="Q2" s="27">
        <f>ROUND('IHC DQN'!AZ2,2)</f>
        <v>0</v>
      </c>
      <c r="R2" s="27">
        <f>ROUND('IHC DQN'!BA2,2)</f>
        <v>0</v>
      </c>
      <c r="S2" s="27">
        <f>ROUND('IHC DQN'!BB2,2)</f>
        <v>0</v>
      </c>
      <c r="T2" s="27">
        <f>ROUND('IHC DQN'!BC2,2)</f>
        <v>0</v>
      </c>
      <c r="U2">
        <v>0</v>
      </c>
      <c r="V2" s="27">
        <f>ROUND('UBC DQN'!AZ2,2)</f>
        <v>0</v>
      </c>
      <c r="W2" s="28">
        <f>ROUND('UBC DQN'!BA2,2)</f>
        <v>0</v>
      </c>
      <c r="X2" s="28">
        <f>ROUND('UBC DQN'!BB2,2)</f>
        <v>0</v>
      </c>
      <c r="Y2" s="29">
        <f>ROUND('UBC DQN'!BC2,2)</f>
        <v>0</v>
      </c>
      <c r="Z2" s="14">
        <v>0</v>
      </c>
      <c r="AA2" s="6">
        <f>Q2+V2</f>
        <v>0</v>
      </c>
      <c r="AB2" s="7">
        <f>R2+W2</f>
        <v>0</v>
      </c>
      <c r="AC2" s="7">
        <f>S2+X2</f>
        <v>0</v>
      </c>
      <c r="AD2" s="7">
        <f>T2+Y2</f>
        <v>0</v>
      </c>
    </row>
    <row r="3" spans="1:30" ht="15" thickBot="1" x14ac:dyDescent="0.4">
      <c r="A3" s="14">
        <v>1</v>
      </c>
      <c r="B3" s="18">
        <f>'Inventory DQN'!BA3</f>
        <v>12</v>
      </c>
      <c r="C3" s="19">
        <f>'Inventory DQN'!BB3</f>
        <v>12</v>
      </c>
      <c r="D3" s="19">
        <f>'Inventory DQN'!BC3</f>
        <v>12</v>
      </c>
      <c r="E3" s="20">
        <f>'Inventory DQN'!BD3</f>
        <v>12</v>
      </c>
      <c r="F3" s="30">
        <v>1</v>
      </c>
      <c r="G3" s="18">
        <f>'Backlog DQN'!BA3</f>
        <v>0</v>
      </c>
      <c r="H3" s="19">
        <f>'Backlog DQN'!BB3</f>
        <v>0</v>
      </c>
      <c r="I3" s="19">
        <f>'Backlog DQN'!BC3</f>
        <v>0</v>
      </c>
      <c r="J3" s="20">
        <f>'Backlog DQN'!BD3</f>
        <v>0</v>
      </c>
      <c r="K3" s="30">
        <v>1</v>
      </c>
      <c r="L3" s="18">
        <f>'Orders DQN'!AZ3</f>
        <v>5</v>
      </c>
      <c r="M3" s="18">
        <f>'Orders DQN'!BA3</f>
        <v>5</v>
      </c>
      <c r="N3" s="18">
        <f>'Orders DQN'!BB3</f>
        <v>5</v>
      </c>
      <c r="O3" s="18">
        <f>'Orders DQN'!BC3</f>
        <v>3</v>
      </c>
      <c r="P3" s="13">
        <v>1</v>
      </c>
      <c r="Q3" s="27">
        <f>ROUND('IHC DQN'!AZ3,2)</f>
        <v>6</v>
      </c>
      <c r="R3" s="27">
        <f>ROUND('IHC DQN'!BA3,2)</f>
        <v>6</v>
      </c>
      <c r="S3" s="27">
        <f>ROUND('IHC DQN'!BB3,2)</f>
        <v>6</v>
      </c>
      <c r="T3" s="27">
        <f>ROUND('IHC DQN'!BC3,2)</f>
        <v>6</v>
      </c>
      <c r="U3">
        <v>1</v>
      </c>
      <c r="V3" s="10">
        <f>ROUND('UBC DQN'!AZ3,2)</f>
        <v>0</v>
      </c>
      <c r="W3" s="11">
        <f>ROUND('UBC DQN'!BA3,2)</f>
        <v>0</v>
      </c>
      <c r="X3" s="11">
        <f>ROUND('UBC DQN'!BB3,2)</f>
        <v>0</v>
      </c>
      <c r="Y3" s="12">
        <f>ROUND('UBC DQN'!BC3,2)</f>
        <v>0</v>
      </c>
      <c r="Z3" s="14">
        <v>1</v>
      </c>
      <c r="AA3" s="6">
        <f t="shared" ref="AA3:AD18" si="0">Q3+V3+AA2</f>
        <v>6</v>
      </c>
      <c r="AB3" s="7">
        <f t="shared" si="0"/>
        <v>6</v>
      </c>
      <c r="AC3" s="7">
        <f t="shared" si="0"/>
        <v>6</v>
      </c>
      <c r="AD3" s="7">
        <f t="shared" si="0"/>
        <v>6</v>
      </c>
    </row>
    <row r="4" spans="1:30" ht="15" thickBot="1" x14ac:dyDescent="0.4">
      <c r="A4" s="14">
        <v>2</v>
      </c>
      <c r="B4" s="18">
        <f>'Inventory DQN'!BA4</f>
        <v>8</v>
      </c>
      <c r="C4" s="19">
        <f>'Inventory DQN'!BB4</f>
        <v>8</v>
      </c>
      <c r="D4" s="19">
        <f>'Inventory DQN'!BC4</f>
        <v>8</v>
      </c>
      <c r="E4" s="20">
        <f>'Inventory DQN'!BD4</f>
        <v>8</v>
      </c>
      <c r="F4" s="30">
        <v>2</v>
      </c>
      <c r="G4" s="18">
        <f>'Backlog DQN'!BA4</f>
        <v>0</v>
      </c>
      <c r="H4" s="19">
        <f>'Backlog DQN'!BB4</f>
        <v>0</v>
      </c>
      <c r="I4" s="19">
        <f>'Backlog DQN'!BC4</f>
        <v>0</v>
      </c>
      <c r="J4" s="20">
        <f>'Backlog DQN'!BD4</f>
        <v>0</v>
      </c>
      <c r="K4" s="30">
        <v>2</v>
      </c>
      <c r="L4" s="18">
        <f>'Orders DQN'!AZ4</f>
        <v>6</v>
      </c>
      <c r="M4" s="18">
        <f>'Orders DQN'!BA4</f>
        <v>7</v>
      </c>
      <c r="N4" s="18">
        <f>'Orders DQN'!BB4</f>
        <v>7</v>
      </c>
      <c r="O4" s="18">
        <f>'Orders DQN'!BC4</f>
        <v>6</v>
      </c>
      <c r="P4" s="13">
        <v>2</v>
      </c>
      <c r="Q4" s="27">
        <f>ROUND('IHC DQN'!AZ4,2)</f>
        <v>4</v>
      </c>
      <c r="R4" s="27">
        <f>ROUND('IHC DQN'!BA4,2)</f>
        <v>4</v>
      </c>
      <c r="S4" s="27">
        <f>ROUND('IHC DQN'!BB4,2)</f>
        <v>4</v>
      </c>
      <c r="T4" s="27">
        <f>ROUND('IHC DQN'!BC4,2)</f>
        <v>4</v>
      </c>
      <c r="U4">
        <v>2</v>
      </c>
      <c r="V4" s="10">
        <f>ROUND('UBC DQN'!AZ4,2)</f>
        <v>0</v>
      </c>
      <c r="W4" s="11">
        <f>ROUND('UBC DQN'!BA4,2)</f>
        <v>0</v>
      </c>
      <c r="X4" s="11">
        <f>ROUND('UBC DQN'!BB4,2)</f>
        <v>0</v>
      </c>
      <c r="Y4" s="12">
        <f>ROUND('UBC DQN'!BC4,2)</f>
        <v>0</v>
      </c>
      <c r="Z4" s="14">
        <v>2</v>
      </c>
      <c r="AA4" s="6">
        <f t="shared" si="0"/>
        <v>10</v>
      </c>
      <c r="AB4" s="7">
        <f t="shared" si="0"/>
        <v>10</v>
      </c>
      <c r="AC4" s="7">
        <f t="shared" si="0"/>
        <v>10</v>
      </c>
      <c r="AD4" s="7">
        <f t="shared" si="0"/>
        <v>10</v>
      </c>
    </row>
    <row r="5" spans="1:30" ht="15" thickBot="1" x14ac:dyDescent="0.4">
      <c r="A5" s="14">
        <v>3</v>
      </c>
      <c r="B5" s="18">
        <f>'Inventory DQN'!BA5</f>
        <v>4</v>
      </c>
      <c r="C5" s="19">
        <f>'Inventory DQN'!BB5</f>
        <v>3</v>
      </c>
      <c r="D5" s="19">
        <f>'Inventory DQN'!BC5</f>
        <v>3</v>
      </c>
      <c r="E5" s="20">
        <f>'Inventory DQN'!BD5</f>
        <v>6</v>
      </c>
      <c r="F5" s="30">
        <v>3</v>
      </c>
      <c r="G5" s="18">
        <f>'Backlog DQN'!BA5</f>
        <v>0</v>
      </c>
      <c r="H5" s="19">
        <f>'Backlog DQN'!BB5</f>
        <v>0</v>
      </c>
      <c r="I5" s="19">
        <f>'Backlog DQN'!BC5</f>
        <v>0</v>
      </c>
      <c r="J5" s="20">
        <f>'Backlog DQN'!BD5</f>
        <v>0</v>
      </c>
      <c r="K5" s="30">
        <v>3</v>
      </c>
      <c r="L5" s="18">
        <f>'Orders DQN'!AZ5</f>
        <v>7</v>
      </c>
      <c r="M5" s="18">
        <f>'Orders DQN'!BA5</f>
        <v>9</v>
      </c>
      <c r="N5" s="18">
        <f>'Orders DQN'!BB5</f>
        <v>10</v>
      </c>
      <c r="O5" s="18">
        <f>'Orders DQN'!BC5</f>
        <v>8</v>
      </c>
      <c r="P5" s="13">
        <v>3</v>
      </c>
      <c r="Q5" s="27">
        <f>ROUND('IHC DQN'!AZ5,2)</f>
        <v>2</v>
      </c>
      <c r="R5" s="27">
        <f>ROUND('IHC DQN'!BA5,2)</f>
        <v>1.5</v>
      </c>
      <c r="S5" s="27">
        <f>ROUND('IHC DQN'!BB5,2)</f>
        <v>1.5</v>
      </c>
      <c r="T5" s="27">
        <f>ROUND('IHC DQN'!BC5,2)</f>
        <v>3</v>
      </c>
      <c r="U5">
        <v>3</v>
      </c>
      <c r="V5" s="10">
        <f>ROUND('UBC DQN'!AZ5,2)</f>
        <v>0</v>
      </c>
      <c r="W5" s="11">
        <f>ROUND('UBC DQN'!BA5,2)</f>
        <v>0</v>
      </c>
      <c r="X5" s="11">
        <f>ROUND('UBC DQN'!BB5,2)</f>
        <v>0</v>
      </c>
      <c r="Y5" s="12">
        <f>ROUND('UBC DQN'!BC5,2)</f>
        <v>0</v>
      </c>
      <c r="Z5" s="14">
        <v>3</v>
      </c>
      <c r="AA5" s="6">
        <f t="shared" si="0"/>
        <v>12</v>
      </c>
      <c r="AB5" s="7">
        <f t="shared" si="0"/>
        <v>11.5</v>
      </c>
      <c r="AC5" s="7">
        <f t="shared" si="0"/>
        <v>11.5</v>
      </c>
      <c r="AD5" s="7">
        <f t="shared" si="0"/>
        <v>13</v>
      </c>
    </row>
    <row r="6" spans="1:30" ht="15" thickBot="1" x14ac:dyDescent="0.4">
      <c r="A6" s="14">
        <v>4</v>
      </c>
      <c r="B6" s="18">
        <f>'Inventory DQN'!BA6</f>
        <v>4</v>
      </c>
      <c r="C6" s="19">
        <f>'Inventory DQN'!BB6</f>
        <v>1</v>
      </c>
      <c r="D6" s="19">
        <f>'Inventory DQN'!BC6</f>
        <v>0</v>
      </c>
      <c r="E6" s="20">
        <f>'Inventory DQN'!BD6</f>
        <v>5</v>
      </c>
      <c r="F6" s="30">
        <v>4</v>
      </c>
      <c r="G6" s="18">
        <f>'Backlog DQN'!BA6</f>
        <v>0</v>
      </c>
      <c r="H6" s="19">
        <f>'Backlog DQN'!BB6</f>
        <v>0</v>
      </c>
      <c r="I6" s="19">
        <f>'Backlog DQN'!BC6</f>
        <v>0</v>
      </c>
      <c r="J6" s="20">
        <f>'Backlog DQN'!BD6</f>
        <v>0</v>
      </c>
      <c r="K6" s="30">
        <v>4</v>
      </c>
      <c r="L6" s="18">
        <f>'Orders DQN'!AZ6</f>
        <v>6</v>
      </c>
      <c r="M6" s="18">
        <f>'Orders DQN'!BA6</f>
        <v>10</v>
      </c>
      <c r="N6" s="18">
        <f>'Orders DQN'!BB6</f>
        <v>12</v>
      </c>
      <c r="O6" s="18">
        <f>'Orders DQN'!BC6</f>
        <v>11</v>
      </c>
      <c r="P6" s="13">
        <v>4</v>
      </c>
      <c r="Q6" s="27">
        <f>ROUND('IHC DQN'!AZ6,2)</f>
        <v>2</v>
      </c>
      <c r="R6" s="27">
        <f>ROUND('IHC DQN'!BA6,2)</f>
        <v>0.5</v>
      </c>
      <c r="S6" s="27">
        <f>ROUND('IHC DQN'!BB6,2)</f>
        <v>0</v>
      </c>
      <c r="T6" s="27">
        <f>ROUND('IHC DQN'!BC6,2)</f>
        <v>2.5</v>
      </c>
      <c r="U6">
        <v>4</v>
      </c>
      <c r="V6" s="10">
        <f>ROUND('UBC DQN'!AZ6,2)</f>
        <v>0</v>
      </c>
      <c r="W6" s="11">
        <f>ROUND('UBC DQN'!BA6,2)</f>
        <v>0</v>
      </c>
      <c r="X6" s="11">
        <f>ROUND('UBC DQN'!BB6,2)</f>
        <v>0</v>
      </c>
      <c r="Y6" s="12">
        <f>ROUND('UBC DQN'!BC6,2)</f>
        <v>0</v>
      </c>
      <c r="Z6" s="14">
        <v>4</v>
      </c>
      <c r="AA6" s="6">
        <f t="shared" si="0"/>
        <v>14</v>
      </c>
      <c r="AB6" s="7">
        <f t="shared" si="0"/>
        <v>12</v>
      </c>
      <c r="AC6" s="7">
        <f t="shared" si="0"/>
        <v>11.5</v>
      </c>
      <c r="AD6" s="7">
        <f t="shared" si="0"/>
        <v>15.5</v>
      </c>
    </row>
    <row r="7" spans="1:30" ht="15" thickBot="1" x14ac:dyDescent="0.4">
      <c r="A7" s="14">
        <v>5</v>
      </c>
      <c r="B7" s="18">
        <f>'Inventory DQN'!BA7</f>
        <v>5</v>
      </c>
      <c r="C7" s="19">
        <f>'Inventory DQN'!BB7</f>
        <v>0</v>
      </c>
      <c r="D7" s="19">
        <f>'Inventory DQN'!BC7</f>
        <v>0</v>
      </c>
      <c r="E7" s="20">
        <f>'Inventory DQN'!BD7</f>
        <v>3</v>
      </c>
      <c r="F7" s="30">
        <v>5</v>
      </c>
      <c r="G7" s="18">
        <f>'Backlog DQN'!BA7</f>
        <v>0</v>
      </c>
      <c r="H7" s="19">
        <f>'Backlog DQN'!BB7</f>
        <v>1</v>
      </c>
      <c r="I7" s="19">
        <f>'Backlog DQN'!BC7</f>
        <v>4</v>
      </c>
      <c r="J7" s="20">
        <f>'Backlog DQN'!BD7</f>
        <v>0</v>
      </c>
      <c r="K7" s="30">
        <v>5</v>
      </c>
      <c r="L7" s="18">
        <f>'Orders DQN'!AZ7</f>
        <v>9</v>
      </c>
      <c r="M7" s="18">
        <f>'Orders DQN'!BA7</f>
        <v>9</v>
      </c>
      <c r="N7" s="18">
        <f>'Orders DQN'!BB7</f>
        <v>14</v>
      </c>
      <c r="O7" s="18">
        <f>'Orders DQN'!BC7</f>
        <v>14</v>
      </c>
      <c r="P7" s="13">
        <v>5</v>
      </c>
      <c r="Q7" s="27">
        <f>ROUND('IHC DQN'!AZ7,2)</f>
        <v>2.5</v>
      </c>
      <c r="R7" s="27">
        <f>ROUND('IHC DQN'!BA7,2)</f>
        <v>0</v>
      </c>
      <c r="S7" s="27">
        <f>ROUND('IHC DQN'!BB7,2)</f>
        <v>0</v>
      </c>
      <c r="T7" s="27">
        <f>ROUND('IHC DQN'!BC7,2)</f>
        <v>1.5</v>
      </c>
      <c r="U7">
        <v>5</v>
      </c>
      <c r="V7" s="10">
        <f>ROUND('UBC DQN'!AZ7,2)</f>
        <v>0</v>
      </c>
      <c r="W7" s="11">
        <f>ROUND('UBC DQN'!BA7,2)</f>
        <v>1</v>
      </c>
      <c r="X7" s="11">
        <f>ROUND('UBC DQN'!BB7,2)</f>
        <v>4</v>
      </c>
      <c r="Y7" s="12">
        <f>ROUND('UBC DQN'!BC7,2)</f>
        <v>0</v>
      </c>
      <c r="Z7" s="14">
        <v>5</v>
      </c>
      <c r="AA7" s="6">
        <f t="shared" si="0"/>
        <v>16.5</v>
      </c>
      <c r="AB7" s="7">
        <f t="shared" si="0"/>
        <v>13</v>
      </c>
      <c r="AC7" s="7">
        <f t="shared" si="0"/>
        <v>15.5</v>
      </c>
      <c r="AD7" s="7">
        <f t="shared" si="0"/>
        <v>17</v>
      </c>
    </row>
    <row r="8" spans="1:30" ht="15" thickBot="1" x14ac:dyDescent="0.4">
      <c r="A8" s="14">
        <v>6</v>
      </c>
      <c r="B8" s="18">
        <f>'Inventory DQN'!BA8</f>
        <v>3</v>
      </c>
      <c r="C8" s="19">
        <f>'Inventory DQN'!BB8</f>
        <v>0</v>
      </c>
      <c r="D8" s="19">
        <f>'Inventory DQN'!BC8</f>
        <v>0</v>
      </c>
      <c r="E8" s="20">
        <f>'Inventory DQN'!BD8</f>
        <v>2</v>
      </c>
      <c r="F8" s="30">
        <v>6</v>
      </c>
      <c r="G8" s="18">
        <f>'Backlog DQN'!BA8</f>
        <v>0</v>
      </c>
      <c r="H8" s="19">
        <f>'Backlog DQN'!BB8</f>
        <v>0</v>
      </c>
      <c r="I8" s="19">
        <f>'Backlog DQN'!BC8</f>
        <v>7</v>
      </c>
      <c r="J8" s="20">
        <f>'Backlog DQN'!BD8</f>
        <v>0</v>
      </c>
      <c r="K8" s="30">
        <v>6</v>
      </c>
      <c r="L8" s="18">
        <f>'Orders DQN'!AZ8</f>
        <v>10</v>
      </c>
      <c r="M8" s="18">
        <f>'Orders DQN'!BA8</f>
        <v>11</v>
      </c>
      <c r="N8" s="18">
        <f>'Orders DQN'!BB8</f>
        <v>13</v>
      </c>
      <c r="O8" s="18">
        <f>'Orders DQN'!BC8</f>
        <v>15</v>
      </c>
      <c r="P8" s="13">
        <v>6</v>
      </c>
      <c r="Q8" s="27">
        <f>ROUND('IHC DQN'!AZ8,2)</f>
        <v>1.5</v>
      </c>
      <c r="R8" s="27">
        <f>ROUND('IHC DQN'!BA8,2)</f>
        <v>0</v>
      </c>
      <c r="S8" s="27">
        <f>ROUND('IHC DQN'!BB8,2)</f>
        <v>0</v>
      </c>
      <c r="T8" s="27">
        <f>ROUND('IHC DQN'!BC8,2)</f>
        <v>1</v>
      </c>
      <c r="U8">
        <v>6</v>
      </c>
      <c r="V8" s="10">
        <f>ROUND('UBC DQN'!AZ8,2)</f>
        <v>0</v>
      </c>
      <c r="W8" s="11">
        <f>ROUND('UBC DQN'!BA8,2)</f>
        <v>0</v>
      </c>
      <c r="X8" s="11">
        <f>ROUND('UBC DQN'!BB8,2)</f>
        <v>7</v>
      </c>
      <c r="Y8" s="12">
        <f>ROUND('UBC DQN'!BC8,2)</f>
        <v>0</v>
      </c>
      <c r="Z8" s="14">
        <v>6</v>
      </c>
      <c r="AA8" s="6">
        <f t="shared" si="0"/>
        <v>18</v>
      </c>
      <c r="AB8" s="7">
        <f t="shared" si="0"/>
        <v>13</v>
      </c>
      <c r="AC8" s="7">
        <f t="shared" si="0"/>
        <v>22.5</v>
      </c>
      <c r="AD8" s="7">
        <f t="shared" si="0"/>
        <v>18</v>
      </c>
    </row>
    <row r="9" spans="1:30" ht="15" thickBot="1" x14ac:dyDescent="0.4">
      <c r="A9" s="14">
        <v>7</v>
      </c>
      <c r="B9" s="18">
        <f>'Inventory DQN'!BA9</f>
        <v>1</v>
      </c>
      <c r="C9" s="19">
        <f>'Inventory DQN'!BB9</f>
        <v>0</v>
      </c>
      <c r="D9" s="19">
        <f>'Inventory DQN'!BC9</f>
        <v>0</v>
      </c>
      <c r="E9" s="20">
        <f>'Inventory DQN'!BD9</f>
        <v>2</v>
      </c>
      <c r="F9" s="30">
        <v>7</v>
      </c>
      <c r="G9" s="18">
        <f>'Backlog DQN'!BA9</f>
        <v>0</v>
      </c>
      <c r="H9" s="19">
        <f>'Backlog DQN'!BB9</f>
        <v>4</v>
      </c>
      <c r="I9" s="19">
        <f>'Backlog DQN'!BC9</f>
        <v>6</v>
      </c>
      <c r="J9" s="20">
        <f>'Backlog DQN'!BD9</f>
        <v>0</v>
      </c>
      <c r="K9" s="30">
        <v>7</v>
      </c>
      <c r="L9" s="18">
        <f>'Orders DQN'!AZ9</f>
        <v>10</v>
      </c>
      <c r="M9" s="18">
        <f>'Orders DQN'!BA9</f>
        <v>13</v>
      </c>
      <c r="N9" s="18">
        <f>'Orders DQN'!BB9</f>
        <v>14</v>
      </c>
      <c r="O9" s="18">
        <f>'Orders DQN'!BC9</f>
        <v>14</v>
      </c>
      <c r="P9" s="13">
        <v>7</v>
      </c>
      <c r="Q9" s="27">
        <f>ROUND('IHC DQN'!AZ9,2)</f>
        <v>0.5</v>
      </c>
      <c r="R9" s="27">
        <f>ROUND('IHC DQN'!BA9,2)</f>
        <v>0</v>
      </c>
      <c r="S9" s="27">
        <f>ROUND('IHC DQN'!BB9,2)</f>
        <v>0</v>
      </c>
      <c r="T9" s="27">
        <f>ROUND('IHC DQN'!BC9,2)</f>
        <v>1</v>
      </c>
      <c r="U9">
        <v>7</v>
      </c>
      <c r="V9" s="10">
        <f>ROUND('UBC DQN'!AZ9,2)</f>
        <v>0</v>
      </c>
      <c r="W9" s="11">
        <f>ROUND('UBC DQN'!BA9,2)</f>
        <v>4</v>
      </c>
      <c r="X9" s="11">
        <f>ROUND('UBC DQN'!BB9,2)</f>
        <v>6</v>
      </c>
      <c r="Y9" s="12">
        <f>ROUND('UBC DQN'!BC9,2)</f>
        <v>0</v>
      </c>
      <c r="Z9" s="14">
        <v>7</v>
      </c>
      <c r="AA9" s="6">
        <f t="shared" si="0"/>
        <v>18.5</v>
      </c>
      <c r="AB9" s="7">
        <f t="shared" si="0"/>
        <v>17</v>
      </c>
      <c r="AC9" s="7">
        <f t="shared" si="0"/>
        <v>28.5</v>
      </c>
      <c r="AD9" s="7">
        <f t="shared" si="0"/>
        <v>19</v>
      </c>
    </row>
    <row r="10" spans="1:30" ht="15" thickBot="1" x14ac:dyDescent="0.4">
      <c r="A10" s="14">
        <v>8</v>
      </c>
      <c r="B10" s="18">
        <f>'Inventory DQN'!BA10</f>
        <v>0</v>
      </c>
      <c r="C10" s="19">
        <f>'Inventory DQN'!BB10</f>
        <v>0</v>
      </c>
      <c r="D10" s="19">
        <f>'Inventory DQN'!BC10</f>
        <v>0</v>
      </c>
      <c r="E10" s="20">
        <f>'Inventory DQN'!BD10</f>
        <v>4</v>
      </c>
      <c r="F10" s="30">
        <v>8</v>
      </c>
      <c r="G10" s="18">
        <f>'Backlog DQN'!BA10</f>
        <v>0</v>
      </c>
      <c r="H10" s="19">
        <f>'Backlog DQN'!BB10</f>
        <v>7</v>
      </c>
      <c r="I10" s="19">
        <f>'Backlog DQN'!BC10</f>
        <v>5</v>
      </c>
      <c r="J10" s="20">
        <f>'Backlog DQN'!BD10</f>
        <v>0</v>
      </c>
      <c r="K10" s="30">
        <v>8</v>
      </c>
      <c r="L10" s="18">
        <f>'Orders DQN'!AZ10</f>
        <v>10</v>
      </c>
      <c r="M10" s="18">
        <f>'Orders DQN'!BA10</f>
        <v>13</v>
      </c>
      <c r="N10" s="18">
        <f>'Orders DQN'!BB10</f>
        <v>15</v>
      </c>
      <c r="O10" s="18">
        <f>'Orders DQN'!BC10</f>
        <v>14</v>
      </c>
      <c r="P10" s="13">
        <v>8</v>
      </c>
      <c r="Q10" s="27">
        <f>ROUND('IHC DQN'!AZ10,2)</f>
        <v>0</v>
      </c>
      <c r="R10" s="27">
        <f>ROUND('IHC DQN'!BA10,2)</f>
        <v>0</v>
      </c>
      <c r="S10" s="27">
        <f>ROUND('IHC DQN'!BB10,2)</f>
        <v>0</v>
      </c>
      <c r="T10" s="27">
        <f>ROUND('IHC DQN'!BC10,2)</f>
        <v>2</v>
      </c>
      <c r="U10">
        <v>8</v>
      </c>
      <c r="V10" s="10">
        <f>ROUND('UBC DQN'!AZ10,2)</f>
        <v>0</v>
      </c>
      <c r="W10" s="11">
        <f>ROUND('UBC DQN'!BA10,2)</f>
        <v>7</v>
      </c>
      <c r="X10" s="11">
        <f>ROUND('UBC DQN'!BB10,2)</f>
        <v>5</v>
      </c>
      <c r="Y10" s="12">
        <f>ROUND('UBC DQN'!BC10,2)</f>
        <v>0</v>
      </c>
      <c r="Z10" s="14">
        <v>8</v>
      </c>
      <c r="AA10" s="6">
        <f t="shared" si="0"/>
        <v>18.5</v>
      </c>
      <c r="AB10" s="7">
        <f t="shared" si="0"/>
        <v>24</v>
      </c>
      <c r="AC10" s="7">
        <f t="shared" si="0"/>
        <v>33.5</v>
      </c>
      <c r="AD10" s="7">
        <f t="shared" si="0"/>
        <v>21</v>
      </c>
    </row>
    <row r="11" spans="1:30" ht="15" thickBot="1" x14ac:dyDescent="0.4">
      <c r="A11" s="14">
        <v>9</v>
      </c>
      <c r="B11" s="18">
        <f>'Inventory DQN'!BA11</f>
        <v>0</v>
      </c>
      <c r="C11" s="19">
        <f>'Inventory DQN'!BB11</f>
        <v>0</v>
      </c>
      <c r="D11" s="19">
        <f>'Inventory DQN'!BC11</f>
        <v>0</v>
      </c>
      <c r="E11" s="20">
        <f>'Inventory DQN'!BD11</f>
        <v>4</v>
      </c>
      <c r="F11" s="30">
        <v>9</v>
      </c>
      <c r="G11" s="18">
        <f>'Backlog DQN'!BA11</f>
        <v>3</v>
      </c>
      <c r="H11" s="19">
        <f>'Backlog DQN'!BB11</f>
        <v>7</v>
      </c>
      <c r="I11" s="19">
        <f>'Backlog DQN'!BC11</f>
        <v>4</v>
      </c>
      <c r="J11" s="20">
        <f>'Backlog DQN'!BD11</f>
        <v>0</v>
      </c>
      <c r="K11" s="30">
        <v>9</v>
      </c>
      <c r="L11" s="18">
        <f>'Orders DQN'!AZ11</f>
        <v>10</v>
      </c>
      <c r="M11" s="18">
        <f>'Orders DQN'!BA11</f>
        <v>12</v>
      </c>
      <c r="N11" s="18">
        <f>'Orders DQN'!BB11</f>
        <v>14</v>
      </c>
      <c r="O11" s="18">
        <f>'Orders DQN'!BC11</f>
        <v>15</v>
      </c>
      <c r="P11" s="13">
        <v>9</v>
      </c>
      <c r="Q11" s="27">
        <f>ROUND('IHC DQN'!AZ11,2)</f>
        <v>0</v>
      </c>
      <c r="R11" s="27">
        <f>ROUND('IHC DQN'!BA11,2)</f>
        <v>0</v>
      </c>
      <c r="S11" s="27">
        <f>ROUND('IHC DQN'!BB11,2)</f>
        <v>0</v>
      </c>
      <c r="T11" s="27">
        <f>ROUND('IHC DQN'!BC11,2)</f>
        <v>2</v>
      </c>
      <c r="U11">
        <v>9</v>
      </c>
      <c r="V11" s="10">
        <f>ROUND('UBC DQN'!AZ11,2)</f>
        <v>3</v>
      </c>
      <c r="W11" s="11">
        <f>ROUND('UBC DQN'!BA11,2)</f>
        <v>7</v>
      </c>
      <c r="X11" s="11">
        <f>ROUND('UBC DQN'!BB11,2)</f>
        <v>4</v>
      </c>
      <c r="Y11" s="12">
        <f>ROUND('UBC DQN'!BC11,2)</f>
        <v>0</v>
      </c>
      <c r="Z11" s="14">
        <v>9</v>
      </c>
      <c r="AA11" s="6">
        <f t="shared" si="0"/>
        <v>21.5</v>
      </c>
      <c r="AB11" s="7">
        <f t="shared" si="0"/>
        <v>31</v>
      </c>
      <c r="AC11" s="7">
        <f t="shared" si="0"/>
        <v>37.5</v>
      </c>
      <c r="AD11" s="7">
        <f t="shared" si="0"/>
        <v>23</v>
      </c>
    </row>
    <row r="12" spans="1:30" ht="15" thickBot="1" x14ac:dyDescent="0.4">
      <c r="A12" s="14">
        <v>10</v>
      </c>
      <c r="B12" s="18">
        <f>'Inventory DQN'!BA12</f>
        <v>0</v>
      </c>
      <c r="C12" s="19">
        <f>'Inventory DQN'!BB12</f>
        <v>0</v>
      </c>
      <c r="D12" s="19">
        <f>'Inventory DQN'!BC12</f>
        <v>0</v>
      </c>
      <c r="E12" s="20">
        <f>'Inventory DQN'!BD12</f>
        <v>3</v>
      </c>
      <c r="F12" s="30">
        <v>10</v>
      </c>
      <c r="G12" s="18">
        <f>'Backlog DQN'!BA12</f>
        <v>4</v>
      </c>
      <c r="H12" s="19">
        <f>'Backlog DQN'!BB12</f>
        <v>5</v>
      </c>
      <c r="I12" s="19">
        <f>'Backlog DQN'!BC12</f>
        <v>4</v>
      </c>
      <c r="J12" s="20">
        <f>'Backlog DQN'!BD12</f>
        <v>0</v>
      </c>
      <c r="K12" s="30">
        <v>10</v>
      </c>
      <c r="L12" s="18">
        <f>'Orders DQN'!AZ12</f>
        <v>10</v>
      </c>
      <c r="M12" s="18">
        <f>'Orders DQN'!BA12</f>
        <v>12</v>
      </c>
      <c r="N12" s="18">
        <f>'Orders DQN'!BB12</f>
        <v>13</v>
      </c>
      <c r="O12" s="18">
        <f>'Orders DQN'!BC12</f>
        <v>15</v>
      </c>
      <c r="P12" s="13">
        <v>10</v>
      </c>
      <c r="Q12" s="27">
        <f>ROUND('IHC DQN'!AZ12,2)</f>
        <v>0</v>
      </c>
      <c r="R12" s="27">
        <f>ROUND('IHC DQN'!BA12,2)</f>
        <v>0</v>
      </c>
      <c r="S12" s="27">
        <f>ROUND('IHC DQN'!BB12,2)</f>
        <v>0</v>
      </c>
      <c r="T12" s="27">
        <f>ROUND('IHC DQN'!BC12,2)</f>
        <v>1.5</v>
      </c>
      <c r="U12">
        <v>10</v>
      </c>
      <c r="V12" s="10">
        <f>ROUND('UBC DQN'!AZ12,2)</f>
        <v>4</v>
      </c>
      <c r="W12" s="11">
        <f>ROUND('UBC DQN'!BA12,2)</f>
        <v>5</v>
      </c>
      <c r="X12" s="11">
        <f>ROUND('UBC DQN'!BB12,2)</f>
        <v>4</v>
      </c>
      <c r="Y12" s="12">
        <f>ROUND('UBC DQN'!BC12,2)</f>
        <v>0</v>
      </c>
      <c r="Z12" s="14">
        <v>10</v>
      </c>
      <c r="AA12" s="6">
        <f t="shared" si="0"/>
        <v>25.5</v>
      </c>
      <c r="AB12" s="7">
        <f t="shared" si="0"/>
        <v>36</v>
      </c>
      <c r="AC12" s="7">
        <f t="shared" si="0"/>
        <v>41.5</v>
      </c>
      <c r="AD12" s="7">
        <f t="shared" si="0"/>
        <v>24.5</v>
      </c>
    </row>
    <row r="13" spans="1:30" ht="15" thickBot="1" x14ac:dyDescent="0.4">
      <c r="A13" s="14">
        <v>11</v>
      </c>
      <c r="B13" s="18">
        <f>'Inventory DQN'!BA13</f>
        <v>0</v>
      </c>
      <c r="C13" s="19">
        <f>'Inventory DQN'!BB13</f>
        <v>0</v>
      </c>
      <c r="D13" s="19">
        <f>'Inventory DQN'!BC13</f>
        <v>0</v>
      </c>
      <c r="E13" s="20">
        <f>'Inventory DQN'!BD13</f>
        <v>4</v>
      </c>
      <c r="F13" s="30">
        <v>11</v>
      </c>
      <c r="G13" s="18">
        <f>'Backlog DQN'!BA13</f>
        <v>2</v>
      </c>
      <c r="H13" s="19">
        <f>'Backlog DQN'!BB13</f>
        <v>1</v>
      </c>
      <c r="I13" s="19">
        <f>'Backlog DQN'!BC13</f>
        <v>2</v>
      </c>
      <c r="J13" s="20">
        <f>'Backlog DQN'!BD13</f>
        <v>0</v>
      </c>
      <c r="K13" s="30">
        <v>11</v>
      </c>
      <c r="L13" s="18">
        <f>'Orders DQN'!AZ13</f>
        <v>9</v>
      </c>
      <c r="M13" s="18">
        <f>'Orders DQN'!BA13</f>
        <v>10</v>
      </c>
      <c r="N13" s="18">
        <f>'Orders DQN'!BB13</f>
        <v>12</v>
      </c>
      <c r="O13" s="18">
        <f>'Orders DQN'!BC13</f>
        <v>13</v>
      </c>
      <c r="P13" s="13">
        <v>11</v>
      </c>
      <c r="Q13" s="27">
        <f>ROUND('IHC DQN'!AZ13,2)</f>
        <v>0</v>
      </c>
      <c r="R13" s="27">
        <f>ROUND('IHC DQN'!BA13,2)</f>
        <v>0</v>
      </c>
      <c r="S13" s="27">
        <f>ROUND('IHC DQN'!BB13,2)</f>
        <v>0</v>
      </c>
      <c r="T13" s="27">
        <f>ROUND('IHC DQN'!BC13,2)</f>
        <v>2</v>
      </c>
      <c r="U13">
        <v>11</v>
      </c>
      <c r="V13" s="10">
        <f>ROUND('UBC DQN'!AZ13,2)</f>
        <v>2</v>
      </c>
      <c r="W13" s="11">
        <f>ROUND('UBC DQN'!BA13,2)</f>
        <v>1</v>
      </c>
      <c r="X13" s="11">
        <f>ROUND('UBC DQN'!BB13,2)</f>
        <v>2</v>
      </c>
      <c r="Y13" s="12">
        <f>ROUND('UBC DQN'!BC13,2)</f>
        <v>0</v>
      </c>
      <c r="Z13" s="14">
        <v>11</v>
      </c>
      <c r="AA13" s="6">
        <f t="shared" si="0"/>
        <v>27.5</v>
      </c>
      <c r="AB13" s="7">
        <f t="shared" si="0"/>
        <v>37</v>
      </c>
      <c r="AC13" s="7">
        <f t="shared" si="0"/>
        <v>43.5</v>
      </c>
      <c r="AD13" s="7">
        <f t="shared" si="0"/>
        <v>26.5</v>
      </c>
    </row>
    <row r="14" spans="1:30" ht="15" thickBot="1" x14ac:dyDescent="0.4">
      <c r="A14" s="14">
        <v>12</v>
      </c>
      <c r="B14" s="18">
        <f>'Inventory DQN'!BA14</f>
        <v>2</v>
      </c>
      <c r="C14" s="19">
        <f>'Inventory DQN'!BB14</f>
        <v>2</v>
      </c>
      <c r="D14" s="19">
        <f>'Inventory DQN'!BC14</f>
        <v>1</v>
      </c>
      <c r="E14" s="20">
        <f>'Inventory DQN'!BD14</f>
        <v>6</v>
      </c>
      <c r="F14" s="30">
        <v>12</v>
      </c>
      <c r="G14" s="18">
        <f>'Backlog DQN'!BA14</f>
        <v>0</v>
      </c>
      <c r="H14" s="19">
        <f>'Backlog DQN'!BB14</f>
        <v>0</v>
      </c>
      <c r="I14" s="19">
        <f>'Backlog DQN'!BC14</f>
        <v>0</v>
      </c>
      <c r="J14" s="20">
        <f>'Backlog DQN'!BD14</f>
        <v>0</v>
      </c>
      <c r="K14" s="30">
        <v>12</v>
      </c>
      <c r="L14" s="18">
        <f>'Orders DQN'!AZ14</f>
        <v>8</v>
      </c>
      <c r="M14" s="18">
        <f>'Orders DQN'!BA14</f>
        <v>8</v>
      </c>
      <c r="N14" s="18">
        <f>'Orders DQN'!BB14</f>
        <v>9</v>
      </c>
      <c r="O14" s="18">
        <f>'Orders DQN'!BC14</f>
        <v>12</v>
      </c>
      <c r="P14" s="13">
        <v>12</v>
      </c>
      <c r="Q14" s="27">
        <f>ROUND('IHC DQN'!AZ14,2)</f>
        <v>1</v>
      </c>
      <c r="R14" s="27">
        <f>ROUND('IHC DQN'!BA14,2)</f>
        <v>1</v>
      </c>
      <c r="S14" s="27">
        <f>ROUND('IHC DQN'!BB14,2)</f>
        <v>0.5</v>
      </c>
      <c r="T14" s="27">
        <f>ROUND('IHC DQN'!BC14,2)</f>
        <v>3</v>
      </c>
      <c r="U14">
        <v>12</v>
      </c>
      <c r="V14" s="10">
        <f>ROUND('UBC DQN'!AZ14,2)</f>
        <v>0</v>
      </c>
      <c r="W14" s="11">
        <f>ROUND('UBC DQN'!BA14,2)</f>
        <v>0</v>
      </c>
      <c r="X14" s="11">
        <f>ROUND('UBC DQN'!BB14,2)</f>
        <v>0</v>
      </c>
      <c r="Y14" s="12">
        <f>ROUND('UBC DQN'!BC14,2)</f>
        <v>0</v>
      </c>
      <c r="Z14" s="14">
        <v>12</v>
      </c>
      <c r="AA14" s="6">
        <f t="shared" si="0"/>
        <v>28.5</v>
      </c>
      <c r="AB14" s="7">
        <f t="shared" si="0"/>
        <v>38</v>
      </c>
      <c r="AC14" s="7">
        <f t="shared" si="0"/>
        <v>44</v>
      </c>
      <c r="AD14" s="7">
        <f t="shared" si="0"/>
        <v>29.5</v>
      </c>
    </row>
    <row r="15" spans="1:30" ht="15" thickBot="1" x14ac:dyDescent="0.4">
      <c r="A15" s="14">
        <v>13</v>
      </c>
      <c r="B15" s="18">
        <f>'Inventory DQN'!BA15</f>
        <v>8</v>
      </c>
      <c r="C15" s="19">
        <f>'Inventory DQN'!BB15</f>
        <v>7</v>
      </c>
      <c r="D15" s="19">
        <f>'Inventory DQN'!BC15</f>
        <v>5</v>
      </c>
      <c r="E15" s="20">
        <f>'Inventory DQN'!BD15</f>
        <v>7</v>
      </c>
      <c r="F15" s="30">
        <v>13</v>
      </c>
      <c r="G15" s="18">
        <f>'Backlog DQN'!BA15</f>
        <v>0</v>
      </c>
      <c r="H15" s="19">
        <f>'Backlog DQN'!BB15</f>
        <v>0</v>
      </c>
      <c r="I15" s="19">
        <f>'Backlog DQN'!BC15</f>
        <v>0</v>
      </c>
      <c r="J15" s="20">
        <f>'Backlog DQN'!BD15</f>
        <v>0</v>
      </c>
      <c r="K15" s="30">
        <v>13</v>
      </c>
      <c r="L15" s="18">
        <f>'Orders DQN'!AZ15</f>
        <v>6</v>
      </c>
      <c r="M15" s="18">
        <f>'Orders DQN'!BA15</f>
        <v>6</v>
      </c>
      <c r="N15" s="18">
        <f>'Orders DQN'!BB15</f>
        <v>6</v>
      </c>
      <c r="O15" s="18">
        <f>'Orders DQN'!BC15</f>
        <v>8</v>
      </c>
      <c r="P15" s="13">
        <v>13</v>
      </c>
      <c r="Q15" s="27">
        <f>ROUND('IHC DQN'!AZ15,2)</f>
        <v>4</v>
      </c>
      <c r="R15" s="27">
        <f>ROUND('IHC DQN'!BA15,2)</f>
        <v>3.5</v>
      </c>
      <c r="S15" s="27">
        <f>ROUND('IHC DQN'!BB15,2)</f>
        <v>2.5</v>
      </c>
      <c r="T15" s="27">
        <f>ROUND('IHC DQN'!BC15,2)</f>
        <v>3.5</v>
      </c>
      <c r="U15">
        <v>13</v>
      </c>
      <c r="V15" s="10">
        <f>ROUND('UBC DQN'!AZ15,2)</f>
        <v>0</v>
      </c>
      <c r="W15" s="11">
        <f>ROUND('UBC DQN'!BA15,2)</f>
        <v>0</v>
      </c>
      <c r="X15" s="11">
        <f>ROUND('UBC DQN'!BB15,2)</f>
        <v>0</v>
      </c>
      <c r="Y15" s="12">
        <f>ROUND('UBC DQN'!BC15,2)</f>
        <v>0</v>
      </c>
      <c r="Z15" s="14">
        <v>13</v>
      </c>
      <c r="AA15" s="6">
        <f t="shared" si="0"/>
        <v>32.5</v>
      </c>
      <c r="AB15" s="7">
        <f t="shared" si="0"/>
        <v>41.5</v>
      </c>
      <c r="AC15" s="7">
        <f t="shared" si="0"/>
        <v>46.5</v>
      </c>
      <c r="AD15" s="7">
        <f t="shared" si="0"/>
        <v>33</v>
      </c>
    </row>
    <row r="16" spans="1:30" ht="15" thickBot="1" x14ac:dyDescent="0.4">
      <c r="A16" s="14">
        <v>14</v>
      </c>
      <c r="B16" s="18">
        <f>'Inventory DQN'!BA16</f>
        <v>11</v>
      </c>
      <c r="C16" s="19">
        <f>'Inventory DQN'!BB16</f>
        <v>13</v>
      </c>
      <c r="D16" s="19">
        <f>'Inventory DQN'!BC16</f>
        <v>10</v>
      </c>
      <c r="E16" s="20">
        <f>'Inventory DQN'!BD16</f>
        <v>10</v>
      </c>
      <c r="F16" s="30">
        <v>14</v>
      </c>
      <c r="G16" s="18">
        <f>'Backlog DQN'!BA16</f>
        <v>0</v>
      </c>
      <c r="H16" s="19">
        <f>'Backlog DQN'!BB16</f>
        <v>0</v>
      </c>
      <c r="I16" s="19">
        <f>'Backlog DQN'!BC16</f>
        <v>0</v>
      </c>
      <c r="J16" s="20">
        <f>'Backlog DQN'!BD16</f>
        <v>0</v>
      </c>
      <c r="K16" s="30">
        <v>14</v>
      </c>
      <c r="L16" s="18">
        <f>'Orders DQN'!AZ16</f>
        <v>6</v>
      </c>
      <c r="M16" s="18">
        <f>'Orders DQN'!BA16</f>
        <v>2</v>
      </c>
      <c r="N16" s="18">
        <f>'Orders DQN'!BB16</f>
        <v>3</v>
      </c>
      <c r="O16" s="18">
        <f>'Orders DQN'!BC16</f>
        <v>5</v>
      </c>
      <c r="P16" s="13">
        <v>14</v>
      </c>
      <c r="Q16" s="27">
        <f>ROUND('IHC DQN'!AZ16,2)</f>
        <v>5.5</v>
      </c>
      <c r="R16" s="27">
        <f>ROUND('IHC DQN'!BA16,2)</f>
        <v>6.5</v>
      </c>
      <c r="S16" s="27">
        <f>ROUND('IHC DQN'!BB16,2)</f>
        <v>5</v>
      </c>
      <c r="T16" s="27">
        <f>ROUND('IHC DQN'!BC16,2)</f>
        <v>5</v>
      </c>
      <c r="U16">
        <v>14</v>
      </c>
      <c r="V16" s="10">
        <f>ROUND('UBC DQN'!AZ16,2)</f>
        <v>0</v>
      </c>
      <c r="W16" s="11">
        <f>ROUND('UBC DQN'!BA16,2)</f>
        <v>0</v>
      </c>
      <c r="X16" s="11">
        <f>ROUND('UBC DQN'!BB16,2)</f>
        <v>0</v>
      </c>
      <c r="Y16" s="12">
        <f>ROUND('UBC DQN'!BC16,2)</f>
        <v>0</v>
      </c>
      <c r="Z16" s="14">
        <v>14</v>
      </c>
      <c r="AA16" s="6">
        <f t="shared" si="0"/>
        <v>38</v>
      </c>
      <c r="AB16" s="7">
        <f t="shared" si="0"/>
        <v>48</v>
      </c>
      <c r="AC16" s="7">
        <f t="shared" si="0"/>
        <v>51.5</v>
      </c>
      <c r="AD16" s="7">
        <f t="shared" si="0"/>
        <v>38</v>
      </c>
    </row>
    <row r="17" spans="1:30" ht="15" thickBot="1" x14ac:dyDescent="0.4">
      <c r="A17" s="14">
        <v>15</v>
      </c>
      <c r="B17" s="18">
        <f>'Inventory DQN'!BA17</f>
        <v>12</v>
      </c>
      <c r="C17" s="19">
        <f>'Inventory DQN'!BB17</f>
        <v>17</v>
      </c>
      <c r="D17" s="19">
        <f>'Inventory DQN'!BC17</f>
        <v>16</v>
      </c>
      <c r="E17" s="20">
        <f>'Inventory DQN'!BD17</f>
        <v>12</v>
      </c>
      <c r="F17" s="30">
        <v>15</v>
      </c>
      <c r="G17" s="18">
        <f>'Backlog DQN'!BA17</f>
        <v>0</v>
      </c>
      <c r="H17" s="19">
        <f>'Backlog DQN'!BB17</f>
        <v>0</v>
      </c>
      <c r="I17" s="19">
        <f>'Backlog DQN'!BC17</f>
        <v>0</v>
      </c>
      <c r="J17" s="20">
        <f>'Backlog DQN'!BD17</f>
        <v>0</v>
      </c>
      <c r="K17" s="30">
        <v>15</v>
      </c>
      <c r="L17" s="18">
        <f>'Orders DQN'!AZ17</f>
        <v>6</v>
      </c>
      <c r="M17" s="18">
        <f>'Orders DQN'!BA17</f>
        <v>2</v>
      </c>
      <c r="N17" s="18">
        <f>'Orders DQN'!BB17</f>
        <v>0</v>
      </c>
      <c r="O17" s="18">
        <f>'Orders DQN'!BC17</f>
        <v>1</v>
      </c>
      <c r="P17" s="13">
        <v>15</v>
      </c>
      <c r="Q17" s="27">
        <f>ROUND('IHC DQN'!AZ17,2)</f>
        <v>6</v>
      </c>
      <c r="R17" s="27">
        <f>ROUND('IHC DQN'!BA17,2)</f>
        <v>8.5</v>
      </c>
      <c r="S17" s="27">
        <f>ROUND('IHC DQN'!BB17,2)</f>
        <v>8</v>
      </c>
      <c r="T17" s="27">
        <f>ROUND('IHC DQN'!BC17,2)</f>
        <v>6</v>
      </c>
      <c r="U17">
        <v>15</v>
      </c>
      <c r="V17" s="10">
        <f>ROUND('UBC DQN'!AZ17,2)</f>
        <v>0</v>
      </c>
      <c r="W17" s="11">
        <f>ROUND('UBC DQN'!BA17,2)</f>
        <v>0</v>
      </c>
      <c r="X17" s="11">
        <f>ROUND('UBC DQN'!BB17,2)</f>
        <v>0</v>
      </c>
      <c r="Y17" s="12">
        <f>ROUND('UBC DQN'!BC17,2)</f>
        <v>0</v>
      </c>
      <c r="Z17" s="14">
        <v>15</v>
      </c>
      <c r="AA17" s="6">
        <f t="shared" si="0"/>
        <v>44</v>
      </c>
      <c r="AB17" s="7">
        <f t="shared" si="0"/>
        <v>56.5</v>
      </c>
      <c r="AC17" s="7">
        <f t="shared" si="0"/>
        <v>59.5</v>
      </c>
      <c r="AD17" s="7">
        <f t="shared" si="0"/>
        <v>44</v>
      </c>
    </row>
    <row r="18" spans="1:30" ht="15" thickBot="1" x14ac:dyDescent="0.4">
      <c r="A18" s="14">
        <v>16</v>
      </c>
      <c r="B18" s="18">
        <f>'Inventory DQN'!BA18</f>
        <v>12</v>
      </c>
      <c r="C18" s="19">
        <f>'Inventory DQN'!BB18</f>
        <v>19</v>
      </c>
      <c r="D18" s="19">
        <f>'Inventory DQN'!BC18</f>
        <v>23</v>
      </c>
      <c r="E18" s="20">
        <f>'Inventory DQN'!BD18</f>
        <v>14</v>
      </c>
      <c r="F18" s="30">
        <v>16</v>
      </c>
      <c r="G18" s="18">
        <f>'Backlog DQN'!BA18</f>
        <v>0</v>
      </c>
      <c r="H18" s="19">
        <f>'Backlog DQN'!BB18</f>
        <v>0</v>
      </c>
      <c r="I18" s="19">
        <f>'Backlog DQN'!BC18</f>
        <v>0</v>
      </c>
      <c r="J18" s="20">
        <f>'Backlog DQN'!BD18</f>
        <v>0</v>
      </c>
      <c r="K18" s="30">
        <v>16</v>
      </c>
      <c r="L18" s="18">
        <f>'Orders DQN'!AZ18</f>
        <v>6</v>
      </c>
      <c r="M18" s="18">
        <f>'Orders DQN'!BA18</f>
        <v>2</v>
      </c>
      <c r="N18" s="18">
        <f>'Orders DQN'!BB18</f>
        <v>0</v>
      </c>
      <c r="O18" s="18">
        <f>'Orders DQN'!BC18</f>
        <v>0</v>
      </c>
      <c r="P18" s="13">
        <v>16</v>
      </c>
      <c r="Q18" s="27">
        <f>ROUND('IHC DQN'!AZ18,2)</f>
        <v>6</v>
      </c>
      <c r="R18" s="27">
        <f>ROUND('IHC DQN'!BA18,2)</f>
        <v>9.5</v>
      </c>
      <c r="S18" s="27">
        <f>ROUND('IHC DQN'!BB18,2)</f>
        <v>11.5</v>
      </c>
      <c r="T18" s="27">
        <f>ROUND('IHC DQN'!BC18,2)</f>
        <v>7</v>
      </c>
      <c r="U18">
        <v>16</v>
      </c>
      <c r="V18" s="10">
        <f>ROUND('UBC DQN'!AZ18,2)</f>
        <v>0</v>
      </c>
      <c r="W18" s="11">
        <f>ROUND('UBC DQN'!BA18,2)</f>
        <v>0</v>
      </c>
      <c r="X18" s="11">
        <f>ROUND('UBC DQN'!BB18,2)</f>
        <v>0</v>
      </c>
      <c r="Y18" s="12">
        <f>ROUND('UBC DQN'!BC18,2)</f>
        <v>0</v>
      </c>
      <c r="Z18" s="14">
        <v>16</v>
      </c>
      <c r="AA18" s="6">
        <f t="shared" si="0"/>
        <v>50</v>
      </c>
      <c r="AB18" s="7">
        <f t="shared" si="0"/>
        <v>66</v>
      </c>
      <c r="AC18" s="7">
        <f t="shared" si="0"/>
        <v>71</v>
      </c>
      <c r="AD18" s="7">
        <f t="shared" si="0"/>
        <v>51</v>
      </c>
    </row>
    <row r="19" spans="1:30" ht="15" thickBot="1" x14ac:dyDescent="0.4">
      <c r="A19" s="14">
        <v>17</v>
      </c>
      <c r="B19" s="18">
        <f>'Inventory DQN'!BA19</f>
        <v>10</v>
      </c>
      <c r="C19" s="19">
        <f>'Inventory DQN'!BB19</f>
        <v>19</v>
      </c>
      <c r="D19" s="19">
        <f>'Inventory DQN'!BC19</f>
        <v>27</v>
      </c>
      <c r="E19" s="20">
        <f>'Inventory DQN'!BD19</f>
        <v>15</v>
      </c>
      <c r="F19" s="30">
        <v>17</v>
      </c>
      <c r="G19" s="18">
        <f>'Backlog DQN'!BA19</f>
        <v>0</v>
      </c>
      <c r="H19" s="19">
        <f>'Backlog DQN'!BB19</f>
        <v>0</v>
      </c>
      <c r="I19" s="19">
        <f>'Backlog DQN'!BC19</f>
        <v>0</v>
      </c>
      <c r="J19" s="20">
        <f>'Backlog DQN'!BD19</f>
        <v>0</v>
      </c>
      <c r="K19" s="30">
        <v>17</v>
      </c>
      <c r="L19" s="18">
        <f>'Orders DQN'!AZ19</f>
        <v>7</v>
      </c>
      <c r="M19" s="18">
        <f>'Orders DQN'!BA19</f>
        <v>3</v>
      </c>
      <c r="N19" s="18">
        <f>'Orders DQN'!BB19</f>
        <v>0</v>
      </c>
      <c r="O19" s="18">
        <f>'Orders DQN'!BC19</f>
        <v>0</v>
      </c>
      <c r="P19" s="13">
        <v>17</v>
      </c>
      <c r="Q19" s="27">
        <f>ROUND('IHC DQN'!AZ19,2)</f>
        <v>5</v>
      </c>
      <c r="R19" s="27">
        <f>ROUND('IHC DQN'!BA19,2)</f>
        <v>9.5</v>
      </c>
      <c r="S19" s="27">
        <f>ROUND('IHC DQN'!BB19,2)</f>
        <v>13.5</v>
      </c>
      <c r="T19" s="27">
        <f>ROUND('IHC DQN'!BC19,2)</f>
        <v>7.5</v>
      </c>
      <c r="U19">
        <v>17</v>
      </c>
      <c r="V19" s="10">
        <f>ROUND('UBC DQN'!AZ19,2)</f>
        <v>0</v>
      </c>
      <c r="W19" s="11">
        <f>ROUND('UBC DQN'!BA19,2)</f>
        <v>0</v>
      </c>
      <c r="X19" s="11">
        <f>ROUND('UBC DQN'!BB19,2)</f>
        <v>0</v>
      </c>
      <c r="Y19" s="12">
        <f>ROUND('UBC DQN'!BC19,2)</f>
        <v>0</v>
      </c>
      <c r="Z19" s="14">
        <v>17</v>
      </c>
      <c r="AA19" s="6">
        <f t="shared" ref="AA19:AD34" si="1">Q19+V19+AA18</f>
        <v>55</v>
      </c>
      <c r="AB19" s="7">
        <f t="shared" si="1"/>
        <v>75.5</v>
      </c>
      <c r="AC19" s="7">
        <f t="shared" si="1"/>
        <v>84.5</v>
      </c>
      <c r="AD19" s="7">
        <f t="shared" si="1"/>
        <v>58.5</v>
      </c>
    </row>
    <row r="20" spans="1:30" ht="15" thickBot="1" x14ac:dyDescent="0.4">
      <c r="A20" s="14">
        <v>18</v>
      </c>
      <c r="B20" s="18">
        <f>'Inventory DQN'!BA20</f>
        <v>8</v>
      </c>
      <c r="C20" s="19">
        <f>'Inventory DQN'!BB20</f>
        <v>15</v>
      </c>
      <c r="D20" s="19">
        <f>'Inventory DQN'!BC20</f>
        <v>28</v>
      </c>
      <c r="E20" s="20">
        <f>'Inventory DQN'!BD20</f>
        <v>15</v>
      </c>
      <c r="F20" s="30">
        <v>18</v>
      </c>
      <c r="G20" s="18">
        <f>'Backlog DQN'!BA20</f>
        <v>0</v>
      </c>
      <c r="H20" s="19">
        <f>'Backlog DQN'!BB20</f>
        <v>0</v>
      </c>
      <c r="I20" s="19">
        <f>'Backlog DQN'!BC20</f>
        <v>0</v>
      </c>
      <c r="J20" s="20">
        <f>'Backlog DQN'!BD20</f>
        <v>0</v>
      </c>
      <c r="K20" s="30">
        <v>18</v>
      </c>
      <c r="L20" s="18">
        <f>'Orders DQN'!AZ20</f>
        <v>8</v>
      </c>
      <c r="M20" s="18">
        <f>'Orders DQN'!BA20</f>
        <v>6</v>
      </c>
      <c r="N20" s="18">
        <f>'Orders DQN'!BB20</f>
        <v>0</v>
      </c>
      <c r="O20" s="18">
        <f>'Orders DQN'!BC20</f>
        <v>0</v>
      </c>
      <c r="P20" s="13">
        <v>18</v>
      </c>
      <c r="Q20" s="27">
        <f>ROUND('IHC DQN'!AZ20,2)</f>
        <v>4</v>
      </c>
      <c r="R20" s="27">
        <f>ROUND('IHC DQN'!BA20,2)</f>
        <v>7.5</v>
      </c>
      <c r="S20" s="27">
        <f>ROUND('IHC DQN'!BB20,2)</f>
        <v>14</v>
      </c>
      <c r="T20" s="27">
        <f>ROUND('IHC DQN'!BC20,2)</f>
        <v>7.5</v>
      </c>
      <c r="U20">
        <v>18</v>
      </c>
      <c r="V20" s="10">
        <f>ROUND('UBC DQN'!AZ20,2)</f>
        <v>0</v>
      </c>
      <c r="W20" s="11">
        <f>ROUND('UBC DQN'!BA20,2)</f>
        <v>0</v>
      </c>
      <c r="X20" s="11">
        <f>ROUND('UBC DQN'!BB20,2)</f>
        <v>0</v>
      </c>
      <c r="Y20" s="12">
        <f>ROUND('UBC DQN'!BC20,2)</f>
        <v>0</v>
      </c>
      <c r="Z20" s="14">
        <v>18</v>
      </c>
      <c r="AA20" s="6">
        <f t="shared" si="1"/>
        <v>59</v>
      </c>
      <c r="AB20" s="7">
        <f t="shared" si="1"/>
        <v>83</v>
      </c>
      <c r="AC20" s="7">
        <f t="shared" si="1"/>
        <v>98.5</v>
      </c>
      <c r="AD20" s="7">
        <f t="shared" si="1"/>
        <v>66</v>
      </c>
    </row>
    <row r="21" spans="1:30" ht="15" thickBot="1" x14ac:dyDescent="0.4">
      <c r="A21" s="14">
        <v>19</v>
      </c>
      <c r="B21" s="18">
        <f>'Inventory DQN'!BA21</f>
        <v>6</v>
      </c>
      <c r="C21" s="19">
        <f>'Inventory DQN'!BB21</f>
        <v>10</v>
      </c>
      <c r="D21" s="19">
        <f>'Inventory DQN'!BC21</f>
        <v>25</v>
      </c>
      <c r="E21" s="20">
        <f>'Inventory DQN'!BD21</f>
        <v>15</v>
      </c>
      <c r="F21" s="30">
        <v>19</v>
      </c>
      <c r="G21" s="18">
        <f>'Backlog DQN'!BA21</f>
        <v>0</v>
      </c>
      <c r="H21" s="19">
        <f>'Backlog DQN'!BB21</f>
        <v>0</v>
      </c>
      <c r="I21" s="19">
        <f>'Backlog DQN'!BC21</f>
        <v>0</v>
      </c>
      <c r="J21" s="20">
        <f>'Backlog DQN'!BD21</f>
        <v>0</v>
      </c>
      <c r="K21" s="30">
        <v>19</v>
      </c>
      <c r="L21" s="18">
        <f>'Orders DQN'!AZ21</f>
        <v>8</v>
      </c>
      <c r="M21" s="18">
        <f>'Orders DQN'!BA21</f>
        <v>8</v>
      </c>
      <c r="N21" s="18">
        <f>'Orders DQN'!BB21</f>
        <v>1</v>
      </c>
      <c r="O21" s="18">
        <f>'Orders DQN'!BC21</f>
        <v>0</v>
      </c>
      <c r="P21" s="13">
        <v>19</v>
      </c>
      <c r="Q21" s="27">
        <f>ROUND('IHC DQN'!AZ21,2)</f>
        <v>3</v>
      </c>
      <c r="R21" s="27">
        <f>ROUND('IHC DQN'!BA21,2)</f>
        <v>5</v>
      </c>
      <c r="S21" s="27">
        <f>ROUND('IHC DQN'!BB21,2)</f>
        <v>12.5</v>
      </c>
      <c r="T21" s="27">
        <f>ROUND('IHC DQN'!BC21,2)</f>
        <v>7.5</v>
      </c>
      <c r="U21">
        <v>19</v>
      </c>
      <c r="V21" s="10">
        <f>ROUND('UBC DQN'!AZ21,2)</f>
        <v>0</v>
      </c>
      <c r="W21" s="11">
        <f>ROUND('UBC DQN'!BA21,2)</f>
        <v>0</v>
      </c>
      <c r="X21" s="11">
        <f>ROUND('UBC DQN'!BB21,2)</f>
        <v>0</v>
      </c>
      <c r="Y21" s="12">
        <f>ROUND('UBC DQN'!BC21,2)</f>
        <v>0</v>
      </c>
      <c r="Z21" s="14">
        <v>19</v>
      </c>
      <c r="AA21" s="6">
        <f t="shared" si="1"/>
        <v>62</v>
      </c>
      <c r="AB21" s="7">
        <f t="shared" si="1"/>
        <v>88</v>
      </c>
      <c r="AC21" s="7">
        <f t="shared" si="1"/>
        <v>111</v>
      </c>
      <c r="AD21" s="7">
        <f t="shared" si="1"/>
        <v>73.5</v>
      </c>
    </row>
    <row r="22" spans="1:30" ht="15" thickBot="1" x14ac:dyDescent="0.4">
      <c r="A22" s="14">
        <v>20</v>
      </c>
      <c r="B22" s="18">
        <f>'Inventory DQN'!BA22</f>
        <v>4</v>
      </c>
      <c r="C22" s="19">
        <f>'Inventory DQN'!BB22</f>
        <v>4</v>
      </c>
      <c r="D22" s="19">
        <f>'Inventory DQN'!BC22</f>
        <v>19</v>
      </c>
      <c r="E22" s="20">
        <f>'Inventory DQN'!BD22</f>
        <v>15</v>
      </c>
      <c r="F22" s="30">
        <v>20</v>
      </c>
      <c r="G22" s="18">
        <f>'Backlog DQN'!BA22</f>
        <v>0</v>
      </c>
      <c r="H22" s="19">
        <f>'Backlog DQN'!BB22</f>
        <v>0</v>
      </c>
      <c r="I22" s="19">
        <f>'Backlog DQN'!BC22</f>
        <v>0</v>
      </c>
      <c r="J22" s="20">
        <f>'Backlog DQN'!BD22</f>
        <v>0</v>
      </c>
      <c r="K22" s="30">
        <v>20</v>
      </c>
      <c r="L22" s="18">
        <f>'Orders DQN'!AZ22</f>
        <v>9</v>
      </c>
      <c r="M22" s="18">
        <f>'Orders DQN'!BA22</f>
        <v>10</v>
      </c>
      <c r="N22" s="18">
        <f>'Orders DQN'!BB22</f>
        <v>6</v>
      </c>
      <c r="O22" s="18">
        <f>'Orders DQN'!BC22</f>
        <v>0</v>
      </c>
      <c r="P22" s="13">
        <v>20</v>
      </c>
      <c r="Q22" s="27">
        <f>ROUND('IHC DQN'!AZ22,2)</f>
        <v>2</v>
      </c>
      <c r="R22" s="27">
        <f>ROUND('IHC DQN'!BA22,2)</f>
        <v>2</v>
      </c>
      <c r="S22" s="27">
        <f>ROUND('IHC DQN'!BB22,2)</f>
        <v>9.5</v>
      </c>
      <c r="T22" s="27">
        <f>ROUND('IHC DQN'!BC22,2)</f>
        <v>7.5</v>
      </c>
      <c r="U22">
        <v>20</v>
      </c>
      <c r="V22" s="10">
        <f>ROUND('UBC DQN'!AZ22,2)</f>
        <v>0</v>
      </c>
      <c r="W22" s="11">
        <f>ROUND('UBC DQN'!BA22,2)</f>
        <v>0</v>
      </c>
      <c r="X22" s="11">
        <f>ROUND('UBC DQN'!BB22,2)</f>
        <v>0</v>
      </c>
      <c r="Y22" s="12">
        <f>ROUND('UBC DQN'!BC22,2)</f>
        <v>0</v>
      </c>
      <c r="Z22" s="14">
        <v>20</v>
      </c>
      <c r="AA22" s="6">
        <f t="shared" si="1"/>
        <v>64</v>
      </c>
      <c r="AB22" s="7">
        <f t="shared" si="1"/>
        <v>90</v>
      </c>
      <c r="AC22" s="7">
        <f t="shared" si="1"/>
        <v>120.5</v>
      </c>
      <c r="AD22" s="7">
        <f t="shared" si="1"/>
        <v>81</v>
      </c>
    </row>
    <row r="23" spans="1:30" ht="15" thickBot="1" x14ac:dyDescent="0.4">
      <c r="A23" s="14">
        <v>21</v>
      </c>
      <c r="B23" s="18">
        <f>'Inventory DQN'!BA23</f>
        <v>3</v>
      </c>
      <c r="C23" s="19">
        <f>'Inventory DQN'!BB23</f>
        <v>0</v>
      </c>
      <c r="D23" s="19">
        <f>'Inventory DQN'!BC23</f>
        <v>11</v>
      </c>
      <c r="E23" s="20">
        <f>'Inventory DQN'!BD23</f>
        <v>14</v>
      </c>
      <c r="F23" s="30">
        <v>21</v>
      </c>
      <c r="G23" s="18">
        <f>'Backlog DQN'!BA23</f>
        <v>0</v>
      </c>
      <c r="H23" s="19">
        <f>'Backlog DQN'!BB23</f>
        <v>1</v>
      </c>
      <c r="I23" s="19">
        <f>'Backlog DQN'!BC23</f>
        <v>0</v>
      </c>
      <c r="J23" s="20">
        <f>'Backlog DQN'!BD23</f>
        <v>0</v>
      </c>
      <c r="K23" s="30">
        <v>21</v>
      </c>
      <c r="L23" s="18">
        <f>'Orders DQN'!AZ23</f>
        <v>9</v>
      </c>
      <c r="M23" s="18">
        <f>'Orders DQN'!BA23</f>
        <v>12</v>
      </c>
      <c r="N23" s="18">
        <f>'Orders DQN'!BB23</f>
        <v>11</v>
      </c>
      <c r="O23" s="18">
        <f>'Orders DQN'!BC23</f>
        <v>4</v>
      </c>
      <c r="P23" s="13">
        <v>21</v>
      </c>
      <c r="Q23" s="27">
        <f>ROUND('IHC DQN'!AZ23,2)</f>
        <v>1.5</v>
      </c>
      <c r="R23" s="27">
        <f>ROUND('IHC DQN'!BA23,2)</f>
        <v>0</v>
      </c>
      <c r="S23" s="27">
        <f>ROUND('IHC DQN'!BB23,2)</f>
        <v>5.5</v>
      </c>
      <c r="T23" s="27">
        <f>ROUND('IHC DQN'!BC23,2)</f>
        <v>7</v>
      </c>
      <c r="U23">
        <v>21</v>
      </c>
      <c r="V23" s="10">
        <f>ROUND('UBC DQN'!AZ23,2)</f>
        <v>0</v>
      </c>
      <c r="W23" s="11">
        <f>ROUND('UBC DQN'!BA23,2)</f>
        <v>1</v>
      </c>
      <c r="X23" s="11">
        <f>ROUND('UBC DQN'!BB23,2)</f>
        <v>0</v>
      </c>
      <c r="Y23" s="12">
        <f>ROUND('UBC DQN'!BC23,2)</f>
        <v>0</v>
      </c>
      <c r="Z23" s="14">
        <v>21</v>
      </c>
      <c r="AA23" s="6">
        <f t="shared" si="1"/>
        <v>65.5</v>
      </c>
      <c r="AB23" s="7">
        <f t="shared" si="1"/>
        <v>91</v>
      </c>
      <c r="AC23" s="7">
        <f t="shared" si="1"/>
        <v>126</v>
      </c>
      <c r="AD23" s="7">
        <f t="shared" si="1"/>
        <v>88</v>
      </c>
    </row>
    <row r="24" spans="1:30" ht="15" thickBot="1" x14ac:dyDescent="0.4">
      <c r="A24" s="14">
        <v>22</v>
      </c>
      <c r="B24" s="18">
        <f>'Inventory DQN'!BA24</f>
        <v>3</v>
      </c>
      <c r="C24" s="19">
        <f>'Inventory DQN'!BB24</f>
        <v>0</v>
      </c>
      <c r="D24" s="19">
        <f>'Inventory DQN'!BC24</f>
        <v>1</v>
      </c>
      <c r="E24" s="20">
        <f>'Inventory DQN'!BD24</f>
        <v>8</v>
      </c>
      <c r="F24" s="30">
        <v>22</v>
      </c>
      <c r="G24" s="18">
        <f>'Backlog DQN'!BA24</f>
        <v>0</v>
      </c>
      <c r="H24" s="19">
        <f>'Backlog DQN'!BB24</f>
        <v>4</v>
      </c>
      <c r="I24" s="19">
        <f>'Backlog DQN'!BC24</f>
        <v>0</v>
      </c>
      <c r="J24" s="20">
        <f>'Backlog DQN'!BD24</f>
        <v>0</v>
      </c>
      <c r="K24" s="30">
        <v>22</v>
      </c>
      <c r="L24" s="18">
        <f>'Orders DQN'!AZ24</f>
        <v>9</v>
      </c>
      <c r="M24" s="18">
        <f>'Orders DQN'!BA24</f>
        <v>13</v>
      </c>
      <c r="N24" s="18">
        <f>'Orders DQN'!BB24</f>
        <v>16</v>
      </c>
      <c r="O24" s="18">
        <f>'Orders DQN'!BC24</f>
        <v>11</v>
      </c>
      <c r="P24" s="13">
        <v>22</v>
      </c>
      <c r="Q24" s="27">
        <f>ROUND('IHC DQN'!AZ24,2)</f>
        <v>1.5</v>
      </c>
      <c r="R24" s="27">
        <f>ROUND('IHC DQN'!BA24,2)</f>
        <v>0</v>
      </c>
      <c r="S24" s="27">
        <f>ROUND('IHC DQN'!BB24,2)</f>
        <v>0.5</v>
      </c>
      <c r="T24" s="27">
        <f>ROUND('IHC DQN'!BC24,2)</f>
        <v>4</v>
      </c>
      <c r="U24">
        <v>22</v>
      </c>
      <c r="V24" s="10">
        <f>ROUND('UBC DQN'!AZ24,2)</f>
        <v>0</v>
      </c>
      <c r="W24" s="11">
        <f>ROUND('UBC DQN'!BA24,2)</f>
        <v>4</v>
      </c>
      <c r="X24" s="11">
        <f>ROUND('UBC DQN'!BB24,2)</f>
        <v>0</v>
      </c>
      <c r="Y24" s="12">
        <f>ROUND('UBC DQN'!BC24,2)</f>
        <v>0</v>
      </c>
      <c r="Z24" s="14">
        <v>22</v>
      </c>
      <c r="AA24" s="6">
        <f t="shared" si="1"/>
        <v>67</v>
      </c>
      <c r="AB24" s="7">
        <f t="shared" si="1"/>
        <v>95</v>
      </c>
      <c r="AC24" s="7">
        <f t="shared" si="1"/>
        <v>126.5</v>
      </c>
      <c r="AD24" s="7">
        <f t="shared" si="1"/>
        <v>92</v>
      </c>
    </row>
    <row r="25" spans="1:30" ht="15" thickBot="1" x14ac:dyDescent="0.4">
      <c r="A25" s="14">
        <v>23</v>
      </c>
      <c r="B25" s="18">
        <f>'Inventory DQN'!BA25</f>
        <v>2</v>
      </c>
      <c r="C25" s="19">
        <f>'Inventory DQN'!BB25</f>
        <v>0</v>
      </c>
      <c r="D25" s="19">
        <f>'Inventory DQN'!BC25</f>
        <v>0</v>
      </c>
      <c r="E25" s="20">
        <f>'Inventory DQN'!BD25</f>
        <v>1</v>
      </c>
      <c r="F25" s="30">
        <v>23</v>
      </c>
      <c r="G25" s="18">
        <f>'Backlog DQN'!BA25</f>
        <v>0</v>
      </c>
      <c r="H25" s="19">
        <f>'Backlog DQN'!BB25</f>
        <v>5</v>
      </c>
      <c r="I25" s="19">
        <f>'Backlog DQN'!BC25</f>
        <v>10</v>
      </c>
      <c r="J25" s="20">
        <f>'Backlog DQN'!BD25</f>
        <v>0</v>
      </c>
      <c r="K25" s="30">
        <v>23</v>
      </c>
      <c r="L25" s="18">
        <f>'Orders DQN'!AZ25</f>
        <v>9</v>
      </c>
      <c r="M25" s="18">
        <f>'Orders DQN'!BA25</f>
        <v>12</v>
      </c>
      <c r="N25" s="18">
        <f>'Orders DQN'!BB25</f>
        <v>19</v>
      </c>
      <c r="O25" s="18">
        <f>'Orders DQN'!BC25</f>
        <v>18</v>
      </c>
      <c r="P25" s="13">
        <v>23</v>
      </c>
      <c r="Q25" s="27">
        <f>ROUND('IHC DQN'!AZ25,2)</f>
        <v>1</v>
      </c>
      <c r="R25" s="27">
        <f>ROUND('IHC DQN'!BA25,2)</f>
        <v>0</v>
      </c>
      <c r="S25" s="27">
        <f>ROUND('IHC DQN'!BB25,2)</f>
        <v>0</v>
      </c>
      <c r="T25" s="27">
        <f>ROUND('IHC DQN'!BC25,2)</f>
        <v>0.5</v>
      </c>
      <c r="U25">
        <v>23</v>
      </c>
      <c r="V25" s="10">
        <f>ROUND('UBC DQN'!AZ25,2)</f>
        <v>0</v>
      </c>
      <c r="W25" s="11">
        <f>ROUND('UBC DQN'!BA25,2)</f>
        <v>5</v>
      </c>
      <c r="X25" s="11">
        <f>ROUND('UBC DQN'!BB25,2)</f>
        <v>10</v>
      </c>
      <c r="Y25" s="12">
        <f>ROUND('UBC DQN'!BC25,2)</f>
        <v>0</v>
      </c>
      <c r="Z25" s="14">
        <v>23</v>
      </c>
      <c r="AA25" s="6">
        <f t="shared" si="1"/>
        <v>68</v>
      </c>
      <c r="AB25" s="7">
        <f t="shared" si="1"/>
        <v>100</v>
      </c>
      <c r="AC25" s="7">
        <f t="shared" si="1"/>
        <v>136.5</v>
      </c>
      <c r="AD25" s="7">
        <f t="shared" si="1"/>
        <v>92.5</v>
      </c>
    </row>
    <row r="26" spans="1:30" ht="15" thickBot="1" x14ac:dyDescent="0.4">
      <c r="A26" s="14">
        <v>24</v>
      </c>
      <c r="B26" s="18">
        <f>'Inventory DQN'!BA26</f>
        <v>0</v>
      </c>
      <c r="C26" s="19">
        <f>'Inventory DQN'!BB26</f>
        <v>0</v>
      </c>
      <c r="D26" s="19">
        <f>'Inventory DQN'!BC26</f>
        <v>0</v>
      </c>
      <c r="E26" s="20">
        <f>'Inventory DQN'!BD26</f>
        <v>0</v>
      </c>
      <c r="F26" s="30">
        <v>24</v>
      </c>
      <c r="G26" s="18">
        <f>'Backlog DQN'!BA26</f>
        <v>0</v>
      </c>
      <c r="H26" s="19">
        <f>'Backlog DQN'!BB26</f>
        <v>4</v>
      </c>
      <c r="I26" s="19">
        <f>'Backlog DQN'!BC26</f>
        <v>17</v>
      </c>
      <c r="J26" s="20">
        <f>'Backlog DQN'!BD26</f>
        <v>4</v>
      </c>
      <c r="K26" s="30">
        <v>24</v>
      </c>
      <c r="L26" s="18">
        <f>'Orders DQN'!AZ26</f>
        <v>9</v>
      </c>
      <c r="M26" s="18">
        <f>'Orders DQN'!BA26</f>
        <v>11</v>
      </c>
      <c r="N26" s="18">
        <f>'Orders DQN'!BB26</f>
        <v>19</v>
      </c>
      <c r="O26" s="18">
        <f>'Orders DQN'!BC26</f>
        <v>23</v>
      </c>
      <c r="P26" s="13">
        <v>24</v>
      </c>
      <c r="Q26" s="27">
        <f>ROUND('IHC DQN'!AZ26,2)</f>
        <v>0</v>
      </c>
      <c r="R26" s="27">
        <f>ROUND('IHC DQN'!BA26,2)</f>
        <v>0</v>
      </c>
      <c r="S26" s="27">
        <f>ROUND('IHC DQN'!BB26,2)</f>
        <v>0</v>
      </c>
      <c r="T26" s="27">
        <f>ROUND('IHC DQN'!BC26,2)</f>
        <v>0</v>
      </c>
      <c r="U26">
        <v>24</v>
      </c>
      <c r="V26" s="10">
        <f>ROUND('UBC DQN'!AZ26,2)</f>
        <v>0</v>
      </c>
      <c r="W26" s="11">
        <f>ROUND('UBC DQN'!BA26,2)</f>
        <v>4</v>
      </c>
      <c r="X26" s="11">
        <f>ROUND('UBC DQN'!BB26,2)</f>
        <v>17</v>
      </c>
      <c r="Y26" s="12">
        <f>ROUND('UBC DQN'!BC26,2)</f>
        <v>4</v>
      </c>
      <c r="Z26" s="14">
        <v>24</v>
      </c>
      <c r="AA26" s="6">
        <f t="shared" si="1"/>
        <v>68</v>
      </c>
      <c r="AB26" s="7">
        <f t="shared" si="1"/>
        <v>104</v>
      </c>
      <c r="AC26" s="7">
        <f t="shared" si="1"/>
        <v>153.5</v>
      </c>
      <c r="AD26" s="7">
        <f t="shared" si="1"/>
        <v>96.5</v>
      </c>
    </row>
    <row r="27" spans="1:30" ht="15" thickBot="1" x14ac:dyDescent="0.4">
      <c r="A27" s="14">
        <v>25</v>
      </c>
      <c r="B27" s="18">
        <f>'Inventory DQN'!BA27</f>
        <v>0</v>
      </c>
      <c r="C27" s="19">
        <f>'Inventory DQN'!BB27</f>
        <v>0</v>
      </c>
      <c r="D27" s="19">
        <f>'Inventory DQN'!BC27</f>
        <v>0</v>
      </c>
      <c r="E27" s="20">
        <f>'Inventory DQN'!BD27</f>
        <v>0</v>
      </c>
      <c r="F27" s="30">
        <v>25</v>
      </c>
      <c r="G27" s="18">
        <f>'Backlog DQN'!BA27</f>
        <v>0</v>
      </c>
      <c r="H27" s="19">
        <f>'Backlog DQN'!BB27</f>
        <v>11</v>
      </c>
      <c r="I27" s="19">
        <f>'Backlog DQN'!BC27</f>
        <v>18</v>
      </c>
      <c r="J27" s="20">
        <f>'Backlog DQN'!BD27</f>
        <v>5</v>
      </c>
      <c r="K27" s="30">
        <v>25</v>
      </c>
      <c r="L27" s="18">
        <f>'Orders DQN'!AZ27</f>
        <v>9</v>
      </c>
      <c r="M27" s="18">
        <f>'Orders DQN'!BA27</f>
        <v>13</v>
      </c>
      <c r="N27" s="18">
        <f>'Orders DQN'!BB27</f>
        <v>17</v>
      </c>
      <c r="O27" s="18">
        <f>'Orders DQN'!BC27</f>
        <v>22</v>
      </c>
      <c r="P27" s="13">
        <v>25</v>
      </c>
      <c r="Q27" s="27">
        <f>ROUND('IHC DQN'!AZ27,2)</f>
        <v>0</v>
      </c>
      <c r="R27" s="27">
        <f>ROUND('IHC DQN'!BA27,2)</f>
        <v>0</v>
      </c>
      <c r="S27" s="27">
        <f>ROUND('IHC DQN'!BB27,2)</f>
        <v>0</v>
      </c>
      <c r="T27" s="27">
        <f>ROUND('IHC DQN'!BC27,2)</f>
        <v>0</v>
      </c>
      <c r="U27">
        <v>25</v>
      </c>
      <c r="V27" s="10">
        <f>ROUND('UBC DQN'!AZ27,2)</f>
        <v>0</v>
      </c>
      <c r="W27" s="11">
        <f>ROUND('UBC DQN'!BA27,2)</f>
        <v>11</v>
      </c>
      <c r="X27" s="11">
        <f>ROUND('UBC DQN'!BB27,2)</f>
        <v>18</v>
      </c>
      <c r="Y27" s="12">
        <f>ROUND('UBC DQN'!BC27,2)</f>
        <v>5</v>
      </c>
      <c r="Z27" s="14">
        <v>25</v>
      </c>
      <c r="AA27" s="6">
        <f t="shared" si="1"/>
        <v>68</v>
      </c>
      <c r="AB27" s="7">
        <f t="shared" si="1"/>
        <v>115</v>
      </c>
      <c r="AC27" s="7">
        <f t="shared" si="1"/>
        <v>171.5</v>
      </c>
      <c r="AD27" s="7">
        <f t="shared" si="1"/>
        <v>101.5</v>
      </c>
    </row>
    <row r="28" spans="1:30" ht="15" thickBot="1" x14ac:dyDescent="0.4">
      <c r="A28" s="14">
        <v>26</v>
      </c>
      <c r="B28" s="18">
        <f>'Inventory DQN'!BA28</f>
        <v>2</v>
      </c>
      <c r="C28" s="19">
        <f>'Inventory DQN'!BB28</f>
        <v>0</v>
      </c>
      <c r="D28" s="19">
        <f>'Inventory DQN'!BC28</f>
        <v>0</v>
      </c>
      <c r="E28" s="20">
        <f>'Inventory DQN'!BD28</f>
        <v>0</v>
      </c>
      <c r="F28" s="30">
        <v>26</v>
      </c>
      <c r="G28" s="18">
        <f>'Backlog DQN'!BA28</f>
        <v>0</v>
      </c>
      <c r="H28" s="19">
        <f>'Backlog DQN'!BB28</f>
        <v>14</v>
      </c>
      <c r="I28" s="19">
        <f>'Backlog DQN'!BC28</f>
        <v>17</v>
      </c>
      <c r="J28" s="20">
        <f>'Backlog DQN'!BD28</f>
        <v>1</v>
      </c>
      <c r="K28" s="30">
        <v>26</v>
      </c>
      <c r="L28" s="18">
        <f>'Orders DQN'!AZ28</f>
        <v>8</v>
      </c>
      <c r="M28" s="18">
        <f>'Orders DQN'!BA28</f>
        <v>13</v>
      </c>
      <c r="N28" s="18">
        <f>'Orders DQN'!BB28</f>
        <v>17</v>
      </c>
      <c r="O28" s="18">
        <f>'Orders DQN'!BC28</f>
        <v>18</v>
      </c>
      <c r="P28" s="13">
        <v>26</v>
      </c>
      <c r="Q28" s="27">
        <f>ROUND('IHC DQN'!AZ28,2)</f>
        <v>1</v>
      </c>
      <c r="R28" s="27">
        <f>ROUND('IHC DQN'!BA28,2)</f>
        <v>0</v>
      </c>
      <c r="S28" s="27">
        <f>ROUND('IHC DQN'!BB28,2)</f>
        <v>0</v>
      </c>
      <c r="T28" s="27">
        <f>ROUND('IHC DQN'!BC28,2)</f>
        <v>0</v>
      </c>
      <c r="U28">
        <v>26</v>
      </c>
      <c r="V28" s="10">
        <f>ROUND('UBC DQN'!AZ28,2)</f>
        <v>0</v>
      </c>
      <c r="W28" s="11">
        <f>ROUND('UBC DQN'!BA28,2)</f>
        <v>14</v>
      </c>
      <c r="X28" s="11">
        <f>ROUND('UBC DQN'!BB28,2)</f>
        <v>17</v>
      </c>
      <c r="Y28" s="12">
        <f>ROUND('UBC DQN'!BC28,2)</f>
        <v>1</v>
      </c>
      <c r="Z28" s="14">
        <v>26</v>
      </c>
      <c r="AA28" s="6">
        <f t="shared" si="1"/>
        <v>69</v>
      </c>
      <c r="AB28" s="7">
        <f t="shared" si="1"/>
        <v>129</v>
      </c>
      <c r="AC28" s="7">
        <f t="shared" si="1"/>
        <v>188.5</v>
      </c>
      <c r="AD28" s="7">
        <f t="shared" si="1"/>
        <v>102.5</v>
      </c>
    </row>
    <row r="29" spans="1:30" ht="15" thickBot="1" x14ac:dyDescent="0.4">
      <c r="A29" s="14">
        <v>27</v>
      </c>
      <c r="B29" s="18">
        <f>'Inventory DQN'!BA29</f>
        <v>0</v>
      </c>
      <c r="C29" s="19">
        <f>'Inventory DQN'!BB29</f>
        <v>0</v>
      </c>
      <c r="D29" s="19">
        <f>'Inventory DQN'!BC29</f>
        <v>0</v>
      </c>
      <c r="E29" s="20">
        <f>'Inventory DQN'!BD29</f>
        <v>4</v>
      </c>
      <c r="F29" s="30">
        <v>27</v>
      </c>
      <c r="G29" s="18">
        <f>'Backlog DQN'!BA29</f>
        <v>4</v>
      </c>
      <c r="H29" s="19">
        <f>'Backlog DQN'!BB29</f>
        <v>12</v>
      </c>
      <c r="I29" s="19">
        <f>'Backlog DQN'!BC29</f>
        <v>12</v>
      </c>
      <c r="J29" s="20">
        <f>'Backlog DQN'!BD29</f>
        <v>0</v>
      </c>
      <c r="K29" s="30">
        <v>27</v>
      </c>
      <c r="L29" s="18">
        <f>'Orders DQN'!AZ29</f>
        <v>10</v>
      </c>
      <c r="M29" s="18">
        <f>'Orders DQN'!BA29</f>
        <v>11</v>
      </c>
      <c r="N29" s="18">
        <f>'Orders DQN'!BB29</f>
        <v>15</v>
      </c>
      <c r="O29" s="18">
        <f>'Orders DQN'!BC29</f>
        <v>17</v>
      </c>
      <c r="P29" s="13">
        <v>27</v>
      </c>
      <c r="Q29" s="27">
        <f>ROUND('IHC DQN'!AZ29,2)</f>
        <v>0</v>
      </c>
      <c r="R29" s="27">
        <f>ROUND('IHC DQN'!BA29,2)</f>
        <v>0</v>
      </c>
      <c r="S29" s="27">
        <f>ROUND('IHC DQN'!BB29,2)</f>
        <v>0</v>
      </c>
      <c r="T29" s="27">
        <f>ROUND('IHC DQN'!BC29,2)</f>
        <v>2</v>
      </c>
      <c r="U29">
        <v>27</v>
      </c>
      <c r="V29" s="10">
        <f>ROUND('UBC DQN'!AZ29,2)</f>
        <v>4</v>
      </c>
      <c r="W29" s="11">
        <f>ROUND('UBC DQN'!BA29,2)</f>
        <v>12</v>
      </c>
      <c r="X29" s="11">
        <f>ROUND('UBC DQN'!BB29,2)</f>
        <v>12</v>
      </c>
      <c r="Y29" s="12">
        <f>ROUND('UBC DQN'!BC29,2)</f>
        <v>0</v>
      </c>
      <c r="Z29" s="14">
        <v>27</v>
      </c>
      <c r="AA29" s="6">
        <f t="shared" si="1"/>
        <v>73</v>
      </c>
      <c r="AB29" s="7">
        <f t="shared" si="1"/>
        <v>141</v>
      </c>
      <c r="AC29" s="7">
        <f t="shared" si="1"/>
        <v>200.5</v>
      </c>
      <c r="AD29" s="7">
        <f t="shared" si="1"/>
        <v>104.5</v>
      </c>
    </row>
    <row r="30" spans="1:30" ht="15" thickBot="1" x14ac:dyDescent="0.4">
      <c r="A30" s="14">
        <v>28</v>
      </c>
      <c r="B30" s="18">
        <f>'Inventory DQN'!BA30</f>
        <v>0</v>
      </c>
      <c r="C30" s="19">
        <f>'Inventory DQN'!BB30</f>
        <v>0</v>
      </c>
      <c r="D30" s="19">
        <f>'Inventory DQN'!BC30</f>
        <v>0</v>
      </c>
      <c r="E30" s="20">
        <f>'Inventory DQN'!BD30</f>
        <v>5</v>
      </c>
      <c r="F30" s="30">
        <v>28</v>
      </c>
      <c r="G30" s="18">
        <f>'Backlog DQN'!BA30</f>
        <v>6</v>
      </c>
      <c r="H30" s="19">
        <f>'Backlog DQN'!BB30</f>
        <v>8</v>
      </c>
      <c r="I30" s="19">
        <f>'Backlog DQN'!BC30</f>
        <v>2</v>
      </c>
      <c r="J30" s="20">
        <f>'Backlog DQN'!BD30</f>
        <v>0</v>
      </c>
      <c r="K30" s="30">
        <v>28</v>
      </c>
      <c r="L30" s="18">
        <f>'Orders DQN'!AZ30</f>
        <v>10</v>
      </c>
      <c r="M30" s="18">
        <f>'Orders DQN'!BA30</f>
        <v>11</v>
      </c>
      <c r="N30" s="18">
        <f>'Orders DQN'!BB30</f>
        <v>10</v>
      </c>
      <c r="O30" s="18">
        <f>'Orders DQN'!BC30</f>
        <v>14</v>
      </c>
      <c r="P30" s="13">
        <v>28</v>
      </c>
      <c r="Q30" s="27">
        <f>ROUND('IHC DQN'!AZ30,2)</f>
        <v>0</v>
      </c>
      <c r="R30" s="27">
        <f>ROUND('IHC DQN'!BA30,2)</f>
        <v>0</v>
      </c>
      <c r="S30" s="27">
        <f>ROUND('IHC DQN'!BB30,2)</f>
        <v>0</v>
      </c>
      <c r="T30" s="27">
        <f>ROUND('IHC DQN'!BC30,2)</f>
        <v>2.5</v>
      </c>
      <c r="U30">
        <v>28</v>
      </c>
      <c r="V30" s="10">
        <f>ROUND('UBC DQN'!AZ30,2)</f>
        <v>6</v>
      </c>
      <c r="W30" s="11">
        <f>ROUND('UBC DQN'!BA30,2)</f>
        <v>8</v>
      </c>
      <c r="X30" s="11">
        <f>ROUND('UBC DQN'!BB30,2)</f>
        <v>2</v>
      </c>
      <c r="Y30" s="12">
        <f>ROUND('UBC DQN'!BC30,2)</f>
        <v>0</v>
      </c>
      <c r="Z30" s="14">
        <v>28</v>
      </c>
      <c r="AA30" s="6">
        <f t="shared" si="1"/>
        <v>79</v>
      </c>
      <c r="AB30" s="7">
        <f t="shared" si="1"/>
        <v>149</v>
      </c>
      <c r="AC30" s="7">
        <f t="shared" si="1"/>
        <v>202.5</v>
      </c>
      <c r="AD30" s="7">
        <f t="shared" si="1"/>
        <v>107</v>
      </c>
    </row>
    <row r="31" spans="1:30" ht="15" thickBot="1" x14ac:dyDescent="0.4">
      <c r="A31" s="14">
        <v>29</v>
      </c>
      <c r="B31" s="18">
        <f>'Inventory DQN'!BA31</f>
        <v>0</v>
      </c>
      <c r="C31" s="19">
        <f>'Inventory DQN'!BB31</f>
        <v>0</v>
      </c>
      <c r="D31" s="19">
        <f>'Inventory DQN'!BC31</f>
        <v>5</v>
      </c>
      <c r="E31" s="20">
        <f>'Inventory DQN'!BD31</f>
        <v>7</v>
      </c>
      <c r="F31" s="30">
        <v>29</v>
      </c>
      <c r="G31" s="18">
        <f>'Backlog DQN'!BA31</f>
        <v>3</v>
      </c>
      <c r="H31" s="19">
        <f>'Backlog DQN'!BB31</f>
        <v>0</v>
      </c>
      <c r="I31" s="19">
        <f>'Backlog DQN'!BC31</f>
        <v>0</v>
      </c>
      <c r="J31" s="20">
        <f>'Backlog DQN'!BD31</f>
        <v>0</v>
      </c>
      <c r="K31" s="30">
        <v>29</v>
      </c>
      <c r="L31" s="18">
        <f>'Orders DQN'!AZ31</f>
        <v>9</v>
      </c>
      <c r="M31" s="18">
        <f>'Orders DQN'!BA31</f>
        <v>8</v>
      </c>
      <c r="N31" s="18">
        <f>'Orders DQN'!BB31</f>
        <v>8</v>
      </c>
      <c r="O31" s="18">
        <f>'Orders DQN'!BC31</f>
        <v>9</v>
      </c>
      <c r="P31" s="13">
        <v>29</v>
      </c>
      <c r="Q31" s="27">
        <f>ROUND('IHC DQN'!AZ31,2)</f>
        <v>0</v>
      </c>
      <c r="R31" s="27">
        <f>ROUND('IHC DQN'!BA31,2)</f>
        <v>0</v>
      </c>
      <c r="S31" s="27">
        <f>ROUND('IHC DQN'!BB31,2)</f>
        <v>2.5</v>
      </c>
      <c r="T31" s="27">
        <f>ROUND('IHC DQN'!BC31,2)</f>
        <v>3.5</v>
      </c>
      <c r="U31">
        <v>29</v>
      </c>
      <c r="V31" s="10">
        <f>ROUND('UBC DQN'!AZ31,2)</f>
        <v>3</v>
      </c>
      <c r="W31" s="11">
        <f>ROUND('UBC DQN'!BA31,2)</f>
        <v>0</v>
      </c>
      <c r="X31" s="11">
        <f>ROUND('UBC DQN'!BB31,2)</f>
        <v>0</v>
      </c>
      <c r="Y31" s="12">
        <f>ROUND('UBC DQN'!BC31,2)</f>
        <v>0</v>
      </c>
      <c r="Z31" s="14">
        <v>29</v>
      </c>
      <c r="AA31" s="6">
        <f t="shared" si="1"/>
        <v>82</v>
      </c>
      <c r="AB31" s="7">
        <f t="shared" si="1"/>
        <v>149</v>
      </c>
      <c r="AC31" s="7">
        <f t="shared" si="1"/>
        <v>205</v>
      </c>
      <c r="AD31" s="7">
        <f t="shared" si="1"/>
        <v>110.5</v>
      </c>
    </row>
    <row r="32" spans="1:30" ht="15" thickBot="1" x14ac:dyDescent="0.4">
      <c r="A32" s="14">
        <v>30</v>
      </c>
      <c r="B32" s="18">
        <f>'Inventory DQN'!BA32</f>
        <v>1</v>
      </c>
      <c r="C32" s="19">
        <f>'Inventory DQN'!BB32</f>
        <v>13</v>
      </c>
      <c r="D32" s="19">
        <f>'Inventory DQN'!BC32</f>
        <v>11</v>
      </c>
      <c r="E32" s="20">
        <f>'Inventory DQN'!BD32</f>
        <v>11</v>
      </c>
      <c r="F32" s="30">
        <v>30</v>
      </c>
      <c r="G32" s="18">
        <f>'Backlog DQN'!BA32</f>
        <v>0</v>
      </c>
      <c r="H32" s="19">
        <f>'Backlog DQN'!BB32</f>
        <v>0</v>
      </c>
      <c r="I32" s="19">
        <f>'Backlog DQN'!BC32</f>
        <v>0</v>
      </c>
      <c r="J32" s="20">
        <f>'Backlog DQN'!BD32</f>
        <v>0</v>
      </c>
      <c r="K32" s="30">
        <v>30</v>
      </c>
      <c r="L32" s="18">
        <f>'Orders DQN'!AZ32</f>
        <v>8</v>
      </c>
      <c r="M32" s="18">
        <f>'Orders DQN'!BA32</f>
        <v>4</v>
      </c>
      <c r="N32" s="18">
        <f>'Orders DQN'!BB32</f>
        <v>4</v>
      </c>
      <c r="O32" s="18">
        <f>'Orders DQN'!BC32</f>
        <v>6</v>
      </c>
      <c r="P32" s="13">
        <v>30</v>
      </c>
      <c r="Q32" s="27">
        <f>ROUND('IHC DQN'!AZ32,2)</f>
        <v>0.5</v>
      </c>
      <c r="R32" s="27">
        <f>ROUND('IHC DQN'!BA32,2)</f>
        <v>6.5</v>
      </c>
      <c r="S32" s="27">
        <f>ROUND('IHC DQN'!BB32,2)</f>
        <v>5.5</v>
      </c>
      <c r="T32" s="27">
        <f>ROUND('IHC DQN'!BC32,2)</f>
        <v>5.5</v>
      </c>
      <c r="U32">
        <v>30</v>
      </c>
      <c r="V32" s="10">
        <f>ROUND('UBC DQN'!AZ32,2)</f>
        <v>0</v>
      </c>
      <c r="W32" s="11">
        <f>ROUND('UBC DQN'!BA32,2)</f>
        <v>0</v>
      </c>
      <c r="X32" s="11">
        <f>ROUND('UBC DQN'!BB32,2)</f>
        <v>0</v>
      </c>
      <c r="Y32" s="12">
        <f>ROUND('UBC DQN'!BC32,2)</f>
        <v>0</v>
      </c>
      <c r="Z32" s="14">
        <v>30</v>
      </c>
      <c r="AA32" s="6">
        <f t="shared" si="1"/>
        <v>82.5</v>
      </c>
      <c r="AB32" s="7">
        <f t="shared" si="1"/>
        <v>155.5</v>
      </c>
      <c r="AC32" s="7">
        <f t="shared" si="1"/>
        <v>210.5</v>
      </c>
      <c r="AD32" s="7">
        <f t="shared" si="1"/>
        <v>116</v>
      </c>
    </row>
    <row r="33" spans="1:30" ht="15" thickBot="1" x14ac:dyDescent="0.4">
      <c r="A33" s="14">
        <v>31</v>
      </c>
      <c r="B33" s="18">
        <f>'Inventory DQN'!BA33</f>
        <v>11</v>
      </c>
      <c r="C33" s="19">
        <f>'Inventory DQN'!BB33</f>
        <v>17</v>
      </c>
      <c r="D33" s="19">
        <f>'Inventory DQN'!BC33</f>
        <v>18</v>
      </c>
      <c r="E33" s="20">
        <f>'Inventory DQN'!BD33</f>
        <v>12</v>
      </c>
      <c r="F33" s="30">
        <v>31</v>
      </c>
      <c r="G33" s="18">
        <f>'Backlog DQN'!BA33</f>
        <v>0</v>
      </c>
      <c r="H33" s="19">
        <f>'Backlog DQN'!BB33</f>
        <v>0</v>
      </c>
      <c r="I33" s="19">
        <f>'Backlog DQN'!BC33</f>
        <v>0</v>
      </c>
      <c r="J33" s="20">
        <f>'Backlog DQN'!BD33</f>
        <v>0</v>
      </c>
      <c r="K33" s="30">
        <v>31</v>
      </c>
      <c r="L33" s="18">
        <f>'Orders DQN'!AZ33</f>
        <v>5</v>
      </c>
      <c r="M33" s="18">
        <f>'Orders DQN'!BA33</f>
        <v>2</v>
      </c>
      <c r="N33" s="18">
        <f>'Orders DQN'!BB33</f>
        <v>0</v>
      </c>
      <c r="O33" s="18">
        <f>'Orders DQN'!BC33</f>
        <v>2</v>
      </c>
      <c r="P33" s="13">
        <v>31</v>
      </c>
      <c r="Q33" s="27">
        <f>ROUND('IHC DQN'!AZ33,2)</f>
        <v>5.5</v>
      </c>
      <c r="R33" s="27">
        <f>ROUND('IHC DQN'!BA33,2)</f>
        <v>8.5</v>
      </c>
      <c r="S33" s="27">
        <f>ROUND('IHC DQN'!BB33,2)</f>
        <v>9</v>
      </c>
      <c r="T33" s="27">
        <f>ROUND('IHC DQN'!BC33,2)</f>
        <v>6</v>
      </c>
      <c r="U33">
        <v>31</v>
      </c>
      <c r="V33" s="10">
        <f>ROUND('UBC DQN'!AZ33,2)</f>
        <v>0</v>
      </c>
      <c r="W33" s="11">
        <f>ROUND('UBC DQN'!BA33,2)</f>
        <v>0</v>
      </c>
      <c r="X33" s="11">
        <f>ROUND('UBC DQN'!BB33,2)</f>
        <v>0</v>
      </c>
      <c r="Y33" s="12">
        <f>ROUND('UBC DQN'!BC33,2)</f>
        <v>0</v>
      </c>
      <c r="Z33" s="14">
        <v>31</v>
      </c>
      <c r="AA33" s="6">
        <f t="shared" si="1"/>
        <v>88</v>
      </c>
      <c r="AB33" s="7">
        <f t="shared" si="1"/>
        <v>164</v>
      </c>
      <c r="AC33" s="7">
        <f t="shared" si="1"/>
        <v>219.5</v>
      </c>
      <c r="AD33" s="7">
        <f t="shared" si="1"/>
        <v>122</v>
      </c>
    </row>
    <row r="34" spans="1:30" ht="15" thickBot="1" x14ac:dyDescent="0.4">
      <c r="A34" s="14">
        <v>32</v>
      </c>
      <c r="B34" s="18">
        <f>'Inventory DQN'!BA34</f>
        <v>13</v>
      </c>
      <c r="C34" s="19">
        <f>'Inventory DQN'!BB34</f>
        <v>20</v>
      </c>
      <c r="D34" s="19">
        <f>'Inventory DQN'!BC34</f>
        <v>24</v>
      </c>
      <c r="E34" s="20">
        <f>'Inventory DQN'!BD34</f>
        <v>14</v>
      </c>
      <c r="F34" s="30">
        <v>32</v>
      </c>
      <c r="G34" s="18">
        <f>'Backlog DQN'!BA34</f>
        <v>0</v>
      </c>
      <c r="H34" s="19">
        <f>'Backlog DQN'!BB34</f>
        <v>0</v>
      </c>
      <c r="I34" s="19">
        <f>'Backlog DQN'!BC34</f>
        <v>0</v>
      </c>
      <c r="J34" s="20">
        <f>'Backlog DQN'!BD34</f>
        <v>0</v>
      </c>
      <c r="K34" s="30">
        <v>32</v>
      </c>
      <c r="L34" s="18">
        <f>'Orders DQN'!AZ34</f>
        <v>5</v>
      </c>
      <c r="M34" s="18">
        <f>'Orders DQN'!BA34</f>
        <v>0</v>
      </c>
      <c r="N34" s="18">
        <f>'Orders DQN'!BB34</f>
        <v>0</v>
      </c>
      <c r="O34" s="18">
        <f>'Orders DQN'!BC34</f>
        <v>0</v>
      </c>
      <c r="P34" s="13">
        <v>32</v>
      </c>
      <c r="Q34" s="27">
        <f>ROUND('IHC DQN'!AZ34,2)</f>
        <v>6.5</v>
      </c>
      <c r="R34" s="27">
        <f>ROUND('IHC DQN'!BA34,2)</f>
        <v>10</v>
      </c>
      <c r="S34" s="27">
        <f>ROUND('IHC DQN'!BB34,2)</f>
        <v>12</v>
      </c>
      <c r="T34" s="27">
        <f>ROUND('IHC DQN'!BC34,2)</f>
        <v>7</v>
      </c>
      <c r="U34">
        <v>32</v>
      </c>
      <c r="V34" s="10">
        <f>ROUND('UBC DQN'!AZ34,2)</f>
        <v>0</v>
      </c>
      <c r="W34" s="11">
        <f>ROUND('UBC DQN'!BA34,2)</f>
        <v>0</v>
      </c>
      <c r="X34" s="11">
        <f>ROUND('UBC DQN'!BB34,2)</f>
        <v>0</v>
      </c>
      <c r="Y34" s="12">
        <f>ROUND('UBC DQN'!BC34,2)</f>
        <v>0</v>
      </c>
      <c r="Z34" s="14">
        <v>32</v>
      </c>
      <c r="AA34" s="6">
        <f t="shared" si="1"/>
        <v>94.5</v>
      </c>
      <c r="AB34" s="7">
        <f t="shared" si="1"/>
        <v>174</v>
      </c>
      <c r="AC34" s="7">
        <f t="shared" si="1"/>
        <v>231.5</v>
      </c>
      <c r="AD34" s="7">
        <f t="shared" si="1"/>
        <v>129</v>
      </c>
    </row>
    <row r="35" spans="1:30" ht="15" thickBot="1" x14ac:dyDescent="0.4">
      <c r="A35" s="14">
        <v>33</v>
      </c>
      <c r="B35" s="18">
        <f>'Inventory DQN'!BA35</f>
        <v>14</v>
      </c>
      <c r="C35" s="19">
        <f>'Inventory DQN'!BB35</f>
        <v>23</v>
      </c>
      <c r="D35" s="19">
        <f>'Inventory DQN'!BC35</f>
        <v>30</v>
      </c>
      <c r="E35" s="20">
        <f>'Inventory DQN'!BD35</f>
        <v>16</v>
      </c>
      <c r="F35" s="30">
        <v>33</v>
      </c>
      <c r="G35" s="18">
        <f>'Backlog DQN'!BA35</f>
        <v>0</v>
      </c>
      <c r="H35" s="19">
        <f>'Backlog DQN'!BB35</f>
        <v>0</v>
      </c>
      <c r="I35" s="19">
        <f>'Backlog DQN'!BC35</f>
        <v>0</v>
      </c>
      <c r="J35" s="20">
        <f>'Backlog DQN'!BD35</f>
        <v>0</v>
      </c>
      <c r="K35" s="30">
        <v>33</v>
      </c>
      <c r="L35" s="18">
        <f>'Orders DQN'!AZ35</f>
        <v>5</v>
      </c>
      <c r="M35" s="18">
        <f>'Orders DQN'!BA35</f>
        <v>0</v>
      </c>
      <c r="N35" s="18">
        <f>'Orders DQN'!BB35</f>
        <v>0</v>
      </c>
      <c r="O35" s="18">
        <f>'Orders DQN'!BC35</f>
        <v>0</v>
      </c>
      <c r="P35" s="13">
        <v>33</v>
      </c>
      <c r="Q35" s="27">
        <f>ROUND('IHC DQN'!AZ35,2)</f>
        <v>7</v>
      </c>
      <c r="R35" s="27">
        <f>ROUND('IHC DQN'!BA35,2)</f>
        <v>11.5</v>
      </c>
      <c r="S35" s="27">
        <f>ROUND('IHC DQN'!BB35,2)</f>
        <v>15</v>
      </c>
      <c r="T35" s="27">
        <f>ROUND('IHC DQN'!BC35,2)</f>
        <v>8</v>
      </c>
      <c r="U35">
        <v>33</v>
      </c>
      <c r="V35" s="10">
        <f>ROUND('UBC DQN'!AZ35,2)</f>
        <v>0</v>
      </c>
      <c r="W35" s="11">
        <f>ROUND('UBC DQN'!BA35,2)</f>
        <v>0</v>
      </c>
      <c r="X35" s="11">
        <f>ROUND('UBC DQN'!BB35,2)</f>
        <v>0</v>
      </c>
      <c r="Y35" s="12">
        <f>ROUND('UBC DQN'!BC35,2)</f>
        <v>0</v>
      </c>
      <c r="Z35" s="14">
        <v>33</v>
      </c>
      <c r="AA35" s="6">
        <f t="shared" ref="AA35:AD38" si="2">Q35+V35+AA34</f>
        <v>101.5</v>
      </c>
      <c r="AB35" s="7">
        <f t="shared" si="2"/>
        <v>185.5</v>
      </c>
      <c r="AC35" s="7">
        <f t="shared" si="2"/>
        <v>246.5</v>
      </c>
      <c r="AD35" s="7">
        <f t="shared" si="2"/>
        <v>137</v>
      </c>
    </row>
    <row r="36" spans="1:30" ht="15" thickBot="1" x14ac:dyDescent="0.4">
      <c r="A36" s="14">
        <v>34</v>
      </c>
      <c r="B36" s="18">
        <f>'Inventory DQN'!BA36</f>
        <v>14</v>
      </c>
      <c r="C36" s="19">
        <f>'Inventory DQN'!BB36</f>
        <v>22</v>
      </c>
      <c r="D36" s="19">
        <f>'Inventory DQN'!BC36</f>
        <v>34</v>
      </c>
      <c r="E36" s="20">
        <f>'Inventory DQN'!BD36</f>
        <v>16</v>
      </c>
      <c r="F36" s="30">
        <v>34</v>
      </c>
      <c r="G36" s="18">
        <f>'Backlog DQN'!BA36</f>
        <v>0</v>
      </c>
      <c r="H36" s="19">
        <f>'Backlog DQN'!BB36</f>
        <v>0</v>
      </c>
      <c r="I36" s="19">
        <f>'Backlog DQN'!BC36</f>
        <v>0</v>
      </c>
      <c r="J36" s="20">
        <f>'Backlog DQN'!BD36</f>
        <v>0</v>
      </c>
      <c r="K36" s="30">
        <v>34</v>
      </c>
      <c r="L36" s="18">
        <f>'Orders DQN'!AZ36</f>
        <v>6</v>
      </c>
      <c r="M36" s="18">
        <f>'Orders DQN'!BA36</f>
        <v>1</v>
      </c>
      <c r="N36" s="18">
        <f>'Orders DQN'!BB36</f>
        <v>0</v>
      </c>
      <c r="O36" s="18">
        <f>'Orders DQN'!BC36</f>
        <v>0</v>
      </c>
      <c r="P36" s="13">
        <v>34</v>
      </c>
      <c r="Q36" s="27">
        <f>ROUND('IHC DQN'!AZ36,2)</f>
        <v>7</v>
      </c>
      <c r="R36" s="27">
        <f>ROUND('IHC DQN'!BA36,2)</f>
        <v>11</v>
      </c>
      <c r="S36" s="27">
        <f>ROUND('IHC DQN'!BB36,2)</f>
        <v>17</v>
      </c>
      <c r="T36" s="27">
        <f>ROUND('IHC DQN'!BC36,2)</f>
        <v>8</v>
      </c>
      <c r="U36">
        <v>34</v>
      </c>
      <c r="V36" s="10">
        <f>ROUND('UBC DQN'!AZ36,2)</f>
        <v>0</v>
      </c>
      <c r="W36" s="11">
        <f>ROUND('UBC DQN'!BA36,2)</f>
        <v>0</v>
      </c>
      <c r="X36" s="11">
        <f>ROUND('UBC DQN'!BB36,2)</f>
        <v>0</v>
      </c>
      <c r="Y36" s="12">
        <f>ROUND('UBC DQN'!BC36,2)</f>
        <v>0</v>
      </c>
      <c r="Z36" s="14">
        <v>34</v>
      </c>
      <c r="AA36" s="6">
        <f t="shared" si="2"/>
        <v>108.5</v>
      </c>
      <c r="AB36" s="7">
        <f t="shared" si="2"/>
        <v>196.5</v>
      </c>
      <c r="AC36" s="7">
        <f t="shared" si="2"/>
        <v>263.5</v>
      </c>
      <c r="AD36" s="7">
        <f t="shared" si="2"/>
        <v>145</v>
      </c>
    </row>
    <row r="37" spans="1:30" ht="15" thickBot="1" x14ac:dyDescent="0.4">
      <c r="A37" s="14">
        <v>35</v>
      </c>
      <c r="B37" s="18">
        <f>'Inventory DQN'!BA37</f>
        <v>11</v>
      </c>
      <c r="C37" s="19">
        <f>'Inventory DQN'!BB37</f>
        <v>19</v>
      </c>
      <c r="D37" s="19">
        <f>'Inventory DQN'!BC37</f>
        <v>34</v>
      </c>
      <c r="E37" s="20">
        <f>'Inventory DQN'!BD37</f>
        <v>16</v>
      </c>
      <c r="F37" s="30">
        <v>35</v>
      </c>
      <c r="G37" s="18">
        <f>'Backlog DQN'!BA37</f>
        <v>0</v>
      </c>
      <c r="H37" s="19">
        <f>'Backlog DQN'!BB37</f>
        <v>0</v>
      </c>
      <c r="I37" s="19">
        <f>'Backlog DQN'!BC37</f>
        <v>0</v>
      </c>
      <c r="J37" s="20">
        <f>'Backlog DQN'!BD37</f>
        <v>0</v>
      </c>
      <c r="K37" s="30">
        <v>35</v>
      </c>
      <c r="L37" s="18">
        <f>'Orders DQN'!AZ37</f>
        <v>7</v>
      </c>
      <c r="M37" s="18">
        <f>'Orders DQN'!BA37</f>
        <v>4</v>
      </c>
      <c r="N37" s="18">
        <f>'Orders DQN'!BB37</f>
        <v>0</v>
      </c>
      <c r="O37" s="18">
        <f>'Orders DQN'!BC37</f>
        <v>0</v>
      </c>
      <c r="P37" s="13">
        <v>35</v>
      </c>
      <c r="Q37" s="27">
        <f>ROUND('IHC DQN'!AZ37,2)</f>
        <v>5.5</v>
      </c>
      <c r="R37" s="27">
        <f>ROUND('IHC DQN'!BA37,2)</f>
        <v>9.5</v>
      </c>
      <c r="S37" s="27">
        <f>ROUND('IHC DQN'!BB37,2)</f>
        <v>17</v>
      </c>
      <c r="T37" s="27">
        <f>ROUND('IHC DQN'!BC37,2)</f>
        <v>8</v>
      </c>
      <c r="U37">
        <v>35</v>
      </c>
      <c r="V37" s="10">
        <f>ROUND('UBC DQN'!AZ37,2)</f>
        <v>0</v>
      </c>
      <c r="W37" s="11">
        <f>ROUND('UBC DQN'!BA37,2)</f>
        <v>0</v>
      </c>
      <c r="X37" s="11">
        <f>ROUND('UBC DQN'!BB37,2)</f>
        <v>0</v>
      </c>
      <c r="Y37" s="12">
        <f>ROUND('UBC DQN'!BC37,2)</f>
        <v>0</v>
      </c>
      <c r="Z37" s="14">
        <v>35</v>
      </c>
      <c r="AA37" s="6">
        <f t="shared" si="2"/>
        <v>114</v>
      </c>
      <c r="AB37" s="7">
        <f t="shared" si="2"/>
        <v>206</v>
      </c>
      <c r="AC37" s="7">
        <f t="shared" si="2"/>
        <v>280.5</v>
      </c>
      <c r="AD37" s="7">
        <f t="shared" si="2"/>
        <v>153</v>
      </c>
    </row>
    <row r="38" spans="1:30" x14ac:dyDescent="0.35">
      <c r="A38" s="14">
        <v>36</v>
      </c>
      <c r="B38" s="18">
        <f>'Inventory DQN'!BA38</f>
        <v>8</v>
      </c>
      <c r="C38" s="19">
        <f>'Inventory DQN'!BB38</f>
        <v>13</v>
      </c>
      <c r="D38" s="19">
        <f>'Inventory DQN'!BC38</f>
        <v>33</v>
      </c>
      <c r="E38" s="20">
        <f>'Inventory DQN'!BD38</f>
        <v>16</v>
      </c>
      <c r="F38" s="30">
        <v>36</v>
      </c>
      <c r="G38" s="18">
        <f>'Backlog DQN'!BA38</f>
        <v>0</v>
      </c>
      <c r="H38" s="19">
        <f>'Backlog DQN'!BB38</f>
        <v>0</v>
      </c>
      <c r="I38" s="19">
        <f>'Backlog DQN'!BC38</f>
        <v>0</v>
      </c>
      <c r="J38" s="20">
        <f>'Backlog DQN'!BD38</f>
        <v>0</v>
      </c>
      <c r="K38" s="30">
        <v>36</v>
      </c>
      <c r="L38" s="18">
        <f>'Orders DQN'!AZ38</f>
        <v>8</v>
      </c>
      <c r="M38" s="18">
        <f>'Orders DQN'!BA38</f>
        <v>7</v>
      </c>
      <c r="N38" s="18">
        <f>'Orders DQN'!BB38</f>
        <v>0</v>
      </c>
      <c r="O38" s="18">
        <f>'Orders DQN'!BC38</f>
        <v>0</v>
      </c>
      <c r="P38" s="13">
        <v>36</v>
      </c>
      <c r="Q38" s="27">
        <f>ROUND('IHC DQN'!AZ38,2)</f>
        <v>4</v>
      </c>
      <c r="R38" s="27">
        <f>ROUND('IHC DQN'!BA38,2)</f>
        <v>6.5</v>
      </c>
      <c r="S38" s="27">
        <f>ROUND('IHC DQN'!BB38,2)</f>
        <v>16.5</v>
      </c>
      <c r="T38" s="27">
        <f>ROUND('IHC DQN'!BC38,2)</f>
        <v>8</v>
      </c>
      <c r="U38">
        <v>36</v>
      </c>
      <c r="V38" s="10">
        <f>ROUND('UBC DQN'!AZ38,2)</f>
        <v>0</v>
      </c>
      <c r="W38" s="11">
        <f>ROUND('UBC DQN'!BA38,2)</f>
        <v>0</v>
      </c>
      <c r="X38" s="11">
        <f>ROUND('UBC DQN'!BB38,2)</f>
        <v>0</v>
      </c>
      <c r="Y38" s="12">
        <f>ROUND('UBC DQN'!BC38,2)</f>
        <v>0</v>
      </c>
      <c r="Z38" s="14">
        <v>36</v>
      </c>
      <c r="AA38" s="6">
        <f t="shared" si="2"/>
        <v>118</v>
      </c>
      <c r="AB38" s="7">
        <f t="shared" si="2"/>
        <v>212.5</v>
      </c>
      <c r="AC38" s="7">
        <f t="shared" si="2"/>
        <v>297</v>
      </c>
      <c r="AD38" s="7">
        <f t="shared" si="2"/>
        <v>161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FC2E-D93B-4B6C-B9D3-0AE44C3092C1}">
  <dimension ref="A1:BD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E2" sqref="BE2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1" max="52" width="8.7265625" style="5"/>
  </cols>
  <sheetData>
    <row r="1" spans="1:56" x14ac:dyDescent="0.35">
      <c r="A1" t="s">
        <v>19</v>
      </c>
      <c r="B1" t="s">
        <v>23</v>
      </c>
      <c r="C1" t="s">
        <v>24</v>
      </c>
      <c r="D1" t="s">
        <v>25</v>
      </c>
      <c r="E1" t="s">
        <v>26</v>
      </c>
      <c r="F1" s="5">
        <v>1</v>
      </c>
      <c r="G1" t="s">
        <v>23</v>
      </c>
      <c r="H1" t="s">
        <v>24</v>
      </c>
      <c r="I1" t="s">
        <v>25</v>
      </c>
      <c r="J1" t="s">
        <v>26</v>
      </c>
      <c r="K1" s="5">
        <v>2</v>
      </c>
      <c r="L1" t="s">
        <v>23</v>
      </c>
      <c r="M1" t="s">
        <v>24</v>
      </c>
      <c r="N1" t="s">
        <v>25</v>
      </c>
      <c r="O1" t="s">
        <v>26</v>
      </c>
      <c r="P1" s="5">
        <v>3</v>
      </c>
      <c r="Q1" t="s">
        <v>23</v>
      </c>
      <c r="R1" t="s">
        <v>24</v>
      </c>
      <c r="S1" t="s">
        <v>25</v>
      </c>
      <c r="T1" t="s">
        <v>26</v>
      </c>
      <c r="U1" s="5">
        <v>4</v>
      </c>
      <c r="V1" t="s">
        <v>23</v>
      </c>
      <c r="W1" t="s">
        <v>24</v>
      </c>
      <c r="X1" t="s">
        <v>25</v>
      </c>
      <c r="Y1" t="s">
        <v>26</v>
      </c>
      <c r="Z1" s="5">
        <v>5</v>
      </c>
      <c r="AA1" t="s">
        <v>23</v>
      </c>
      <c r="AB1" t="s">
        <v>24</v>
      </c>
      <c r="AC1" t="s">
        <v>25</v>
      </c>
      <c r="AD1" t="s">
        <v>26</v>
      </c>
      <c r="AE1" s="5">
        <v>6</v>
      </c>
      <c r="AF1" t="s">
        <v>23</v>
      </c>
      <c r="AG1" t="s">
        <v>24</v>
      </c>
      <c r="AH1" t="s">
        <v>25</v>
      </c>
      <c r="AI1" t="s">
        <v>26</v>
      </c>
      <c r="AJ1" s="5">
        <v>7</v>
      </c>
      <c r="AK1" t="s">
        <v>23</v>
      </c>
      <c r="AL1" t="s">
        <v>24</v>
      </c>
      <c r="AM1" t="s">
        <v>25</v>
      </c>
      <c r="AN1" t="s">
        <v>26</v>
      </c>
      <c r="AO1" s="5">
        <v>8</v>
      </c>
      <c r="AP1" t="s">
        <v>23</v>
      </c>
      <c r="AQ1" t="s">
        <v>24</v>
      </c>
      <c r="AR1" t="s">
        <v>25</v>
      </c>
      <c r="AS1" t="s">
        <v>26</v>
      </c>
      <c r="AT1" s="5">
        <v>9</v>
      </c>
      <c r="AU1" t="s">
        <v>23</v>
      </c>
      <c r="AV1" t="s">
        <v>24</v>
      </c>
      <c r="AW1" t="s">
        <v>25</v>
      </c>
      <c r="AX1" t="s">
        <v>26</v>
      </c>
      <c r="AY1" s="5">
        <v>10</v>
      </c>
      <c r="BA1" t="s">
        <v>35</v>
      </c>
      <c r="BB1" t="s">
        <v>36</v>
      </c>
      <c r="BC1" t="s">
        <v>37</v>
      </c>
      <c r="BD1" t="s">
        <v>46</v>
      </c>
    </row>
    <row r="2" spans="1:56" x14ac:dyDescent="0.35">
      <c r="A2">
        <v>0</v>
      </c>
      <c r="BA2">
        <v>12</v>
      </c>
      <c r="BB2">
        <v>12</v>
      </c>
      <c r="BC2">
        <v>12</v>
      </c>
      <c r="BD2">
        <v>12</v>
      </c>
    </row>
    <row r="3" spans="1:56" x14ac:dyDescent="0.35">
      <c r="A3">
        <v>1</v>
      </c>
      <c r="BA3">
        <v>12</v>
      </c>
      <c r="BB3">
        <v>12</v>
      </c>
      <c r="BC3">
        <v>12</v>
      </c>
      <c r="BD3">
        <v>12</v>
      </c>
    </row>
    <row r="4" spans="1:56" x14ac:dyDescent="0.35">
      <c r="A4">
        <v>2</v>
      </c>
      <c r="BA4">
        <v>8</v>
      </c>
      <c r="BB4">
        <v>8</v>
      </c>
      <c r="BC4">
        <v>8</v>
      </c>
      <c r="BD4">
        <v>8</v>
      </c>
    </row>
    <row r="5" spans="1:56" x14ac:dyDescent="0.35">
      <c r="A5">
        <v>3</v>
      </c>
      <c r="BA5">
        <v>4</v>
      </c>
      <c r="BB5">
        <v>3</v>
      </c>
      <c r="BC5">
        <v>3</v>
      </c>
      <c r="BD5">
        <v>6</v>
      </c>
    </row>
    <row r="6" spans="1:56" x14ac:dyDescent="0.35">
      <c r="A6">
        <v>4</v>
      </c>
      <c r="BA6">
        <v>4</v>
      </c>
      <c r="BB6">
        <v>1</v>
      </c>
      <c r="BC6">
        <v>0</v>
      </c>
      <c r="BD6">
        <v>5</v>
      </c>
    </row>
    <row r="7" spans="1:56" x14ac:dyDescent="0.35">
      <c r="A7">
        <v>5</v>
      </c>
      <c r="BA7">
        <v>5</v>
      </c>
      <c r="BB7">
        <v>0</v>
      </c>
      <c r="BC7">
        <v>0</v>
      </c>
      <c r="BD7">
        <v>3</v>
      </c>
    </row>
    <row r="8" spans="1:56" x14ac:dyDescent="0.35">
      <c r="A8">
        <v>6</v>
      </c>
      <c r="BA8">
        <v>3</v>
      </c>
      <c r="BB8">
        <v>0</v>
      </c>
      <c r="BC8">
        <v>0</v>
      </c>
      <c r="BD8">
        <v>2</v>
      </c>
    </row>
    <row r="9" spans="1:56" x14ac:dyDescent="0.35">
      <c r="A9">
        <v>7</v>
      </c>
      <c r="BA9">
        <v>1</v>
      </c>
      <c r="BB9">
        <v>0</v>
      </c>
      <c r="BC9">
        <v>0</v>
      </c>
      <c r="BD9">
        <v>2</v>
      </c>
    </row>
    <row r="10" spans="1:56" x14ac:dyDescent="0.35">
      <c r="A10">
        <v>8</v>
      </c>
      <c r="BA10">
        <v>0</v>
      </c>
      <c r="BB10">
        <v>0</v>
      </c>
      <c r="BC10">
        <v>0</v>
      </c>
      <c r="BD10">
        <v>4</v>
      </c>
    </row>
    <row r="11" spans="1:56" x14ac:dyDescent="0.35">
      <c r="A11">
        <v>9</v>
      </c>
      <c r="BA11">
        <v>0</v>
      </c>
      <c r="BB11">
        <v>0</v>
      </c>
      <c r="BC11">
        <v>0</v>
      </c>
      <c r="BD11">
        <v>4</v>
      </c>
    </row>
    <row r="12" spans="1:56" x14ac:dyDescent="0.35">
      <c r="A12">
        <v>10</v>
      </c>
      <c r="BA12">
        <v>0</v>
      </c>
      <c r="BB12">
        <v>0</v>
      </c>
      <c r="BC12">
        <v>0</v>
      </c>
      <c r="BD12">
        <v>3</v>
      </c>
    </row>
    <row r="13" spans="1:56" x14ac:dyDescent="0.35">
      <c r="A13">
        <v>11</v>
      </c>
      <c r="BA13">
        <v>0</v>
      </c>
      <c r="BB13">
        <v>0</v>
      </c>
      <c r="BC13">
        <v>0</v>
      </c>
      <c r="BD13">
        <v>4</v>
      </c>
    </row>
    <row r="14" spans="1:56" x14ac:dyDescent="0.35">
      <c r="A14">
        <v>12</v>
      </c>
      <c r="BA14">
        <v>2</v>
      </c>
      <c r="BB14">
        <v>2</v>
      </c>
      <c r="BC14">
        <v>1</v>
      </c>
      <c r="BD14">
        <v>6</v>
      </c>
    </row>
    <row r="15" spans="1:56" x14ac:dyDescent="0.35">
      <c r="A15">
        <v>13</v>
      </c>
      <c r="BA15">
        <v>8</v>
      </c>
      <c r="BB15">
        <v>7</v>
      </c>
      <c r="BC15">
        <v>5</v>
      </c>
      <c r="BD15">
        <v>7</v>
      </c>
    </row>
    <row r="16" spans="1:56" x14ac:dyDescent="0.35">
      <c r="A16">
        <v>14</v>
      </c>
      <c r="BA16">
        <v>11</v>
      </c>
      <c r="BB16">
        <v>13</v>
      </c>
      <c r="BC16">
        <v>10</v>
      </c>
      <c r="BD16">
        <v>10</v>
      </c>
    </row>
    <row r="17" spans="1:56" x14ac:dyDescent="0.35">
      <c r="A17">
        <v>15</v>
      </c>
      <c r="BA17">
        <v>12</v>
      </c>
      <c r="BB17">
        <v>17</v>
      </c>
      <c r="BC17">
        <v>16</v>
      </c>
      <c r="BD17">
        <v>12</v>
      </c>
    </row>
    <row r="18" spans="1:56" x14ac:dyDescent="0.35">
      <c r="A18">
        <v>16</v>
      </c>
      <c r="BA18">
        <v>12</v>
      </c>
      <c r="BB18">
        <v>19</v>
      </c>
      <c r="BC18">
        <v>23</v>
      </c>
      <c r="BD18">
        <v>14</v>
      </c>
    </row>
    <row r="19" spans="1:56" x14ac:dyDescent="0.35">
      <c r="A19">
        <v>17</v>
      </c>
      <c r="BA19">
        <v>10</v>
      </c>
      <c r="BB19">
        <v>19</v>
      </c>
      <c r="BC19">
        <v>27</v>
      </c>
      <c r="BD19">
        <v>15</v>
      </c>
    </row>
    <row r="20" spans="1:56" x14ac:dyDescent="0.35">
      <c r="A20">
        <v>18</v>
      </c>
      <c r="BA20">
        <v>8</v>
      </c>
      <c r="BB20">
        <v>15</v>
      </c>
      <c r="BC20">
        <v>28</v>
      </c>
      <c r="BD20">
        <v>15</v>
      </c>
    </row>
    <row r="21" spans="1:56" x14ac:dyDescent="0.35">
      <c r="A21">
        <v>19</v>
      </c>
      <c r="BA21">
        <v>6</v>
      </c>
      <c r="BB21">
        <v>10</v>
      </c>
      <c r="BC21">
        <v>25</v>
      </c>
      <c r="BD21">
        <v>15</v>
      </c>
    </row>
    <row r="22" spans="1:56" x14ac:dyDescent="0.35">
      <c r="A22">
        <v>20</v>
      </c>
      <c r="BA22">
        <v>4</v>
      </c>
      <c r="BB22">
        <v>4</v>
      </c>
      <c r="BC22">
        <v>19</v>
      </c>
      <c r="BD22">
        <v>15</v>
      </c>
    </row>
    <row r="23" spans="1:56" x14ac:dyDescent="0.35">
      <c r="A23">
        <v>21</v>
      </c>
      <c r="BA23">
        <v>3</v>
      </c>
      <c r="BB23">
        <v>0</v>
      </c>
      <c r="BC23">
        <v>11</v>
      </c>
      <c r="BD23">
        <v>14</v>
      </c>
    </row>
    <row r="24" spans="1:56" x14ac:dyDescent="0.35">
      <c r="A24">
        <v>22</v>
      </c>
      <c r="BA24">
        <v>3</v>
      </c>
      <c r="BB24">
        <v>0</v>
      </c>
      <c r="BC24">
        <v>1</v>
      </c>
      <c r="BD24">
        <v>8</v>
      </c>
    </row>
    <row r="25" spans="1:56" x14ac:dyDescent="0.35">
      <c r="A25">
        <v>23</v>
      </c>
      <c r="BA25">
        <v>2</v>
      </c>
      <c r="BB25">
        <v>0</v>
      </c>
      <c r="BC25">
        <v>0</v>
      </c>
      <c r="BD25">
        <v>1</v>
      </c>
    </row>
    <row r="26" spans="1:56" x14ac:dyDescent="0.35">
      <c r="A26">
        <v>24</v>
      </c>
      <c r="BA26">
        <v>0</v>
      </c>
      <c r="BB26">
        <v>0</v>
      </c>
      <c r="BC26">
        <v>0</v>
      </c>
      <c r="BD26">
        <v>0</v>
      </c>
    </row>
    <row r="27" spans="1:56" x14ac:dyDescent="0.35">
      <c r="A27">
        <v>25</v>
      </c>
      <c r="BA27">
        <v>0</v>
      </c>
      <c r="BB27">
        <v>0</v>
      </c>
      <c r="BC27">
        <v>0</v>
      </c>
      <c r="BD27">
        <v>0</v>
      </c>
    </row>
    <row r="28" spans="1:56" x14ac:dyDescent="0.35">
      <c r="A28">
        <v>26</v>
      </c>
      <c r="BA28">
        <v>2</v>
      </c>
      <c r="BB28">
        <v>0</v>
      </c>
      <c r="BC28">
        <v>0</v>
      </c>
      <c r="BD28">
        <v>0</v>
      </c>
    </row>
    <row r="29" spans="1:56" x14ac:dyDescent="0.35">
      <c r="A29">
        <v>27</v>
      </c>
      <c r="BA29">
        <v>0</v>
      </c>
      <c r="BB29">
        <v>0</v>
      </c>
      <c r="BC29">
        <v>0</v>
      </c>
      <c r="BD29">
        <v>4</v>
      </c>
    </row>
    <row r="30" spans="1:56" x14ac:dyDescent="0.35">
      <c r="A30">
        <v>28</v>
      </c>
      <c r="BA30">
        <v>0</v>
      </c>
      <c r="BB30">
        <v>0</v>
      </c>
      <c r="BC30">
        <v>0</v>
      </c>
      <c r="BD30">
        <v>5</v>
      </c>
    </row>
    <row r="31" spans="1:56" x14ac:dyDescent="0.35">
      <c r="A31">
        <v>29</v>
      </c>
      <c r="BA31">
        <v>0</v>
      </c>
      <c r="BB31">
        <v>0</v>
      </c>
      <c r="BC31">
        <v>5</v>
      </c>
      <c r="BD31">
        <v>7</v>
      </c>
    </row>
    <row r="32" spans="1:56" x14ac:dyDescent="0.35">
      <c r="A32">
        <v>30</v>
      </c>
      <c r="BA32">
        <v>1</v>
      </c>
      <c r="BB32">
        <v>13</v>
      </c>
      <c r="BC32">
        <v>11</v>
      </c>
      <c r="BD32">
        <v>11</v>
      </c>
    </row>
    <row r="33" spans="1:56" x14ac:dyDescent="0.35">
      <c r="A33">
        <v>31</v>
      </c>
      <c r="BA33">
        <v>11</v>
      </c>
      <c r="BB33">
        <v>17</v>
      </c>
      <c r="BC33">
        <v>18</v>
      </c>
      <c r="BD33">
        <v>12</v>
      </c>
    </row>
    <row r="34" spans="1:56" x14ac:dyDescent="0.35">
      <c r="A34">
        <v>32</v>
      </c>
      <c r="BA34">
        <v>13</v>
      </c>
      <c r="BB34">
        <v>20</v>
      </c>
      <c r="BC34">
        <v>24</v>
      </c>
      <c r="BD34">
        <v>14</v>
      </c>
    </row>
    <row r="35" spans="1:56" x14ac:dyDescent="0.35">
      <c r="A35">
        <v>33</v>
      </c>
      <c r="BA35">
        <v>14</v>
      </c>
      <c r="BB35">
        <v>23</v>
      </c>
      <c r="BC35">
        <v>30</v>
      </c>
      <c r="BD35">
        <v>16</v>
      </c>
    </row>
    <row r="36" spans="1:56" x14ac:dyDescent="0.35">
      <c r="A36">
        <v>34</v>
      </c>
      <c r="BA36">
        <v>14</v>
      </c>
      <c r="BB36">
        <v>22</v>
      </c>
      <c r="BC36">
        <v>34</v>
      </c>
      <c r="BD36">
        <v>16</v>
      </c>
    </row>
    <row r="37" spans="1:56" x14ac:dyDescent="0.35">
      <c r="A37">
        <v>35</v>
      </c>
      <c r="BA37">
        <v>11</v>
      </c>
      <c r="BB37">
        <v>19</v>
      </c>
      <c r="BC37">
        <v>34</v>
      </c>
      <c r="BD37">
        <v>16</v>
      </c>
    </row>
    <row r="38" spans="1:56" x14ac:dyDescent="0.35">
      <c r="A38">
        <v>36</v>
      </c>
      <c r="BA38">
        <v>8</v>
      </c>
      <c r="BB38">
        <v>13</v>
      </c>
      <c r="BC38">
        <v>33</v>
      </c>
      <c r="BD38">
        <v>16</v>
      </c>
    </row>
    <row r="40" spans="1:56" x14ac:dyDescent="0.35">
      <c r="A40" t="s">
        <v>9</v>
      </c>
      <c r="BA40">
        <f>SUM(BA2:BA38)</f>
        <v>204</v>
      </c>
      <c r="BB40">
        <f t="shared" ref="BB40:BD40" si="0">SUM(BB2:BB38)</f>
        <v>269</v>
      </c>
      <c r="BC40">
        <f t="shared" si="0"/>
        <v>390</v>
      </c>
      <c r="BD40">
        <f t="shared" si="0"/>
        <v>314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FD44-A7C4-4915-A019-7B5FC3A0E541}">
  <dimension ref="A1:BD40"/>
  <sheetViews>
    <sheetView topLeftCell="AN13" workbookViewId="0">
      <selection activeCell="BD3" sqref="BD3:BD38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1" max="52" width="8.7265625" style="5"/>
  </cols>
  <sheetData>
    <row r="1" spans="1:56" x14ac:dyDescent="0.35">
      <c r="A1" t="s">
        <v>19</v>
      </c>
      <c r="B1" t="s">
        <v>27</v>
      </c>
      <c r="C1" t="s">
        <v>28</v>
      </c>
      <c r="D1" t="s">
        <v>29</v>
      </c>
      <c r="E1" t="s">
        <v>30</v>
      </c>
      <c r="F1" s="5">
        <v>1</v>
      </c>
      <c r="G1" t="s">
        <v>27</v>
      </c>
      <c r="H1" t="s">
        <v>28</v>
      </c>
      <c r="I1" t="s">
        <v>29</v>
      </c>
      <c r="J1" t="s">
        <v>30</v>
      </c>
      <c r="K1" s="5">
        <v>2</v>
      </c>
      <c r="L1" t="s">
        <v>27</v>
      </c>
      <c r="M1" t="s">
        <v>28</v>
      </c>
      <c r="N1" t="s">
        <v>29</v>
      </c>
      <c r="O1" t="s">
        <v>30</v>
      </c>
      <c r="P1" s="5">
        <v>3</v>
      </c>
      <c r="Q1" t="s">
        <v>27</v>
      </c>
      <c r="R1" t="s">
        <v>28</v>
      </c>
      <c r="S1" t="s">
        <v>29</v>
      </c>
      <c r="T1" t="s">
        <v>30</v>
      </c>
      <c r="U1" s="5">
        <v>4</v>
      </c>
      <c r="V1" t="s">
        <v>27</v>
      </c>
      <c r="W1" t="s">
        <v>28</v>
      </c>
      <c r="X1" t="s">
        <v>29</v>
      </c>
      <c r="Y1" t="s">
        <v>30</v>
      </c>
      <c r="Z1" s="5">
        <v>5</v>
      </c>
      <c r="AA1" t="s">
        <v>27</v>
      </c>
      <c r="AB1" t="s">
        <v>28</v>
      </c>
      <c r="AC1" t="s">
        <v>29</v>
      </c>
      <c r="AD1" t="s">
        <v>30</v>
      </c>
      <c r="AE1" s="5">
        <v>6</v>
      </c>
      <c r="AF1" t="s">
        <v>27</v>
      </c>
      <c r="AG1" t="s">
        <v>28</v>
      </c>
      <c r="AH1" t="s">
        <v>29</v>
      </c>
      <c r="AI1" t="s">
        <v>30</v>
      </c>
      <c r="AJ1" s="5">
        <v>7</v>
      </c>
      <c r="AK1" t="s">
        <v>27</v>
      </c>
      <c r="AL1" t="s">
        <v>28</v>
      </c>
      <c r="AM1" t="s">
        <v>29</v>
      </c>
      <c r="AN1" t="s">
        <v>30</v>
      </c>
      <c r="AO1" s="5">
        <v>8</v>
      </c>
      <c r="AP1" t="s">
        <v>27</v>
      </c>
      <c r="AQ1" t="s">
        <v>28</v>
      </c>
      <c r="AR1" t="s">
        <v>29</v>
      </c>
      <c r="AS1" t="s">
        <v>30</v>
      </c>
      <c r="AT1" s="5">
        <v>9</v>
      </c>
      <c r="AU1" t="s">
        <v>27</v>
      </c>
      <c r="AV1" t="s">
        <v>28</v>
      </c>
      <c r="AW1" t="s">
        <v>29</v>
      </c>
      <c r="AX1" t="s">
        <v>30</v>
      </c>
      <c r="AY1" s="5">
        <v>10</v>
      </c>
      <c r="BA1" t="s">
        <v>38</v>
      </c>
      <c r="BB1" t="s">
        <v>39</v>
      </c>
      <c r="BC1" t="s">
        <v>40</v>
      </c>
      <c r="BD1" t="s">
        <v>41</v>
      </c>
    </row>
    <row r="2" spans="1:56" x14ac:dyDescent="0.35">
      <c r="A2">
        <v>0</v>
      </c>
      <c r="BA2">
        <v>0</v>
      </c>
      <c r="BB2">
        <v>0</v>
      </c>
      <c r="BC2">
        <v>0</v>
      </c>
      <c r="BD2">
        <v>0</v>
      </c>
    </row>
    <row r="3" spans="1:56" x14ac:dyDescent="0.35">
      <c r="A3">
        <v>1</v>
      </c>
      <c r="BA3">
        <v>0</v>
      </c>
      <c r="BB3">
        <v>0</v>
      </c>
      <c r="BC3">
        <v>0</v>
      </c>
      <c r="BD3">
        <v>0</v>
      </c>
    </row>
    <row r="4" spans="1:56" x14ac:dyDescent="0.35">
      <c r="A4">
        <v>2</v>
      </c>
      <c r="BA4">
        <v>0</v>
      </c>
      <c r="BB4">
        <v>0</v>
      </c>
      <c r="BC4">
        <v>0</v>
      </c>
      <c r="BD4">
        <v>0</v>
      </c>
    </row>
    <row r="5" spans="1:56" x14ac:dyDescent="0.35">
      <c r="A5">
        <v>3</v>
      </c>
      <c r="BA5">
        <v>0</v>
      </c>
      <c r="BB5">
        <v>0</v>
      </c>
      <c r="BC5">
        <v>0</v>
      </c>
      <c r="BD5">
        <v>0</v>
      </c>
    </row>
    <row r="6" spans="1:56" x14ac:dyDescent="0.35">
      <c r="A6">
        <v>4</v>
      </c>
      <c r="BA6">
        <v>0</v>
      </c>
      <c r="BB6">
        <v>0</v>
      </c>
      <c r="BC6">
        <v>0</v>
      </c>
      <c r="BD6">
        <v>0</v>
      </c>
    </row>
    <row r="7" spans="1:56" x14ac:dyDescent="0.35">
      <c r="A7">
        <v>5</v>
      </c>
      <c r="BA7">
        <v>0</v>
      </c>
      <c r="BB7">
        <v>1</v>
      </c>
      <c r="BC7">
        <v>4</v>
      </c>
      <c r="BD7">
        <v>0</v>
      </c>
    </row>
    <row r="8" spans="1:56" x14ac:dyDescent="0.35">
      <c r="A8">
        <v>6</v>
      </c>
      <c r="BA8">
        <v>0</v>
      </c>
      <c r="BB8">
        <v>0</v>
      </c>
      <c r="BC8">
        <v>7</v>
      </c>
      <c r="BD8">
        <v>0</v>
      </c>
    </row>
    <row r="9" spans="1:56" x14ac:dyDescent="0.35">
      <c r="A9">
        <v>7</v>
      </c>
      <c r="BA9">
        <v>0</v>
      </c>
      <c r="BB9">
        <v>4</v>
      </c>
      <c r="BC9">
        <v>6</v>
      </c>
      <c r="BD9">
        <v>0</v>
      </c>
    </row>
    <row r="10" spans="1:56" x14ac:dyDescent="0.35">
      <c r="A10">
        <v>8</v>
      </c>
      <c r="BA10">
        <v>0</v>
      </c>
      <c r="BB10">
        <v>7</v>
      </c>
      <c r="BC10">
        <v>5</v>
      </c>
      <c r="BD10">
        <v>0</v>
      </c>
    </row>
    <row r="11" spans="1:56" x14ac:dyDescent="0.35">
      <c r="A11">
        <v>9</v>
      </c>
      <c r="BA11">
        <v>3</v>
      </c>
      <c r="BB11">
        <v>7</v>
      </c>
      <c r="BC11">
        <v>4</v>
      </c>
      <c r="BD11">
        <v>0</v>
      </c>
    </row>
    <row r="12" spans="1:56" x14ac:dyDescent="0.35">
      <c r="A12">
        <v>10</v>
      </c>
      <c r="BA12">
        <v>4</v>
      </c>
      <c r="BB12">
        <v>5</v>
      </c>
      <c r="BC12">
        <v>4</v>
      </c>
      <c r="BD12">
        <v>0</v>
      </c>
    </row>
    <row r="13" spans="1:56" x14ac:dyDescent="0.35">
      <c r="A13">
        <v>11</v>
      </c>
      <c r="BA13">
        <v>2</v>
      </c>
      <c r="BB13">
        <v>1</v>
      </c>
      <c r="BC13">
        <v>2</v>
      </c>
      <c r="BD13">
        <v>0</v>
      </c>
    </row>
    <row r="14" spans="1:56" x14ac:dyDescent="0.35">
      <c r="A14">
        <v>12</v>
      </c>
      <c r="BA14">
        <v>0</v>
      </c>
      <c r="BB14">
        <v>0</v>
      </c>
      <c r="BC14">
        <v>0</v>
      </c>
      <c r="BD14">
        <v>0</v>
      </c>
    </row>
    <row r="15" spans="1:56" x14ac:dyDescent="0.35">
      <c r="A15">
        <v>13</v>
      </c>
      <c r="BA15">
        <v>0</v>
      </c>
      <c r="BB15">
        <v>0</v>
      </c>
      <c r="BC15">
        <v>0</v>
      </c>
      <c r="BD15">
        <v>0</v>
      </c>
    </row>
    <row r="16" spans="1:56" x14ac:dyDescent="0.35">
      <c r="A16">
        <v>14</v>
      </c>
      <c r="BA16">
        <v>0</v>
      </c>
      <c r="BB16">
        <v>0</v>
      </c>
      <c r="BC16">
        <v>0</v>
      </c>
      <c r="BD16">
        <v>0</v>
      </c>
    </row>
    <row r="17" spans="1:56" x14ac:dyDescent="0.35">
      <c r="A17">
        <v>15</v>
      </c>
      <c r="BA17">
        <v>0</v>
      </c>
      <c r="BB17">
        <v>0</v>
      </c>
      <c r="BC17">
        <v>0</v>
      </c>
      <c r="BD17">
        <v>0</v>
      </c>
    </row>
    <row r="18" spans="1:56" x14ac:dyDescent="0.35">
      <c r="A18">
        <v>16</v>
      </c>
      <c r="BA18">
        <v>0</v>
      </c>
      <c r="BB18">
        <v>0</v>
      </c>
      <c r="BC18">
        <v>0</v>
      </c>
      <c r="BD18">
        <v>0</v>
      </c>
    </row>
    <row r="19" spans="1:56" x14ac:dyDescent="0.35">
      <c r="A19">
        <v>17</v>
      </c>
      <c r="BA19">
        <v>0</v>
      </c>
      <c r="BB19">
        <v>0</v>
      </c>
      <c r="BC19">
        <v>0</v>
      </c>
      <c r="BD19">
        <v>0</v>
      </c>
    </row>
    <row r="20" spans="1:56" x14ac:dyDescent="0.35">
      <c r="A20">
        <v>18</v>
      </c>
      <c r="BA20">
        <v>0</v>
      </c>
      <c r="BB20">
        <v>0</v>
      </c>
      <c r="BC20">
        <v>0</v>
      </c>
      <c r="BD20">
        <v>0</v>
      </c>
    </row>
    <row r="21" spans="1:56" x14ac:dyDescent="0.35">
      <c r="A21">
        <v>19</v>
      </c>
      <c r="BA21">
        <v>0</v>
      </c>
      <c r="BB21">
        <v>0</v>
      </c>
      <c r="BC21">
        <v>0</v>
      </c>
      <c r="BD21">
        <v>0</v>
      </c>
    </row>
    <row r="22" spans="1:56" x14ac:dyDescent="0.35">
      <c r="A22">
        <v>20</v>
      </c>
      <c r="BA22">
        <v>0</v>
      </c>
      <c r="BB22">
        <v>0</v>
      </c>
      <c r="BC22">
        <v>0</v>
      </c>
      <c r="BD22">
        <v>0</v>
      </c>
    </row>
    <row r="23" spans="1:56" x14ac:dyDescent="0.35">
      <c r="A23">
        <v>21</v>
      </c>
      <c r="BA23">
        <v>0</v>
      </c>
      <c r="BB23">
        <v>1</v>
      </c>
      <c r="BC23">
        <v>0</v>
      </c>
      <c r="BD23">
        <v>0</v>
      </c>
    </row>
    <row r="24" spans="1:56" x14ac:dyDescent="0.35">
      <c r="A24">
        <v>22</v>
      </c>
      <c r="BA24">
        <v>0</v>
      </c>
      <c r="BB24">
        <v>4</v>
      </c>
      <c r="BC24">
        <v>0</v>
      </c>
      <c r="BD24">
        <v>0</v>
      </c>
    </row>
    <row r="25" spans="1:56" x14ac:dyDescent="0.35">
      <c r="A25">
        <v>23</v>
      </c>
      <c r="BA25">
        <v>0</v>
      </c>
      <c r="BB25">
        <v>5</v>
      </c>
      <c r="BC25">
        <v>10</v>
      </c>
      <c r="BD25">
        <v>0</v>
      </c>
    </row>
    <row r="26" spans="1:56" x14ac:dyDescent="0.35">
      <c r="A26">
        <v>24</v>
      </c>
      <c r="BA26">
        <v>0</v>
      </c>
      <c r="BB26">
        <v>4</v>
      </c>
      <c r="BC26">
        <v>17</v>
      </c>
      <c r="BD26">
        <v>4</v>
      </c>
    </row>
    <row r="27" spans="1:56" x14ac:dyDescent="0.35">
      <c r="A27">
        <v>25</v>
      </c>
      <c r="BA27">
        <v>0</v>
      </c>
      <c r="BB27">
        <v>11</v>
      </c>
      <c r="BC27">
        <v>18</v>
      </c>
      <c r="BD27">
        <v>5</v>
      </c>
    </row>
    <row r="28" spans="1:56" x14ac:dyDescent="0.35">
      <c r="A28">
        <v>26</v>
      </c>
      <c r="BA28">
        <v>0</v>
      </c>
      <c r="BB28">
        <v>14</v>
      </c>
      <c r="BC28">
        <v>17</v>
      </c>
      <c r="BD28">
        <v>1</v>
      </c>
    </row>
    <row r="29" spans="1:56" x14ac:dyDescent="0.35">
      <c r="A29">
        <v>27</v>
      </c>
      <c r="BA29">
        <v>4</v>
      </c>
      <c r="BB29">
        <v>12</v>
      </c>
      <c r="BC29">
        <v>12</v>
      </c>
      <c r="BD29">
        <v>0</v>
      </c>
    </row>
    <row r="30" spans="1:56" x14ac:dyDescent="0.35">
      <c r="A30">
        <v>28</v>
      </c>
      <c r="BA30">
        <v>6</v>
      </c>
      <c r="BB30">
        <v>8</v>
      </c>
      <c r="BC30">
        <v>2</v>
      </c>
      <c r="BD30">
        <v>0</v>
      </c>
    </row>
    <row r="31" spans="1:56" x14ac:dyDescent="0.35">
      <c r="A31">
        <v>29</v>
      </c>
      <c r="BA31">
        <v>3</v>
      </c>
      <c r="BB31">
        <v>0</v>
      </c>
      <c r="BC31">
        <v>0</v>
      </c>
      <c r="BD31">
        <v>0</v>
      </c>
    </row>
    <row r="32" spans="1:56" x14ac:dyDescent="0.35">
      <c r="A32">
        <v>30</v>
      </c>
      <c r="BA32">
        <v>0</v>
      </c>
      <c r="BB32">
        <v>0</v>
      </c>
      <c r="BC32">
        <v>0</v>
      </c>
      <c r="BD32">
        <v>0</v>
      </c>
    </row>
    <row r="33" spans="1:56" x14ac:dyDescent="0.35">
      <c r="A33">
        <v>31</v>
      </c>
      <c r="BA33">
        <v>0</v>
      </c>
      <c r="BB33">
        <v>0</v>
      </c>
      <c r="BC33">
        <v>0</v>
      </c>
      <c r="BD33">
        <v>0</v>
      </c>
    </row>
    <row r="34" spans="1:56" x14ac:dyDescent="0.35">
      <c r="A34">
        <v>32</v>
      </c>
      <c r="BA34">
        <v>0</v>
      </c>
      <c r="BB34">
        <v>0</v>
      </c>
      <c r="BC34">
        <v>0</v>
      </c>
      <c r="BD34">
        <v>0</v>
      </c>
    </row>
    <row r="35" spans="1:56" x14ac:dyDescent="0.35">
      <c r="A35">
        <v>33</v>
      </c>
      <c r="BA35">
        <v>0</v>
      </c>
      <c r="BB35">
        <v>0</v>
      </c>
      <c r="BC35">
        <v>0</v>
      </c>
      <c r="BD35">
        <v>0</v>
      </c>
    </row>
    <row r="36" spans="1:56" x14ac:dyDescent="0.35">
      <c r="A36">
        <v>34</v>
      </c>
      <c r="BA36">
        <v>0</v>
      </c>
      <c r="BB36">
        <v>0</v>
      </c>
      <c r="BC36">
        <v>0</v>
      </c>
      <c r="BD36">
        <v>0</v>
      </c>
    </row>
    <row r="37" spans="1:56" x14ac:dyDescent="0.35">
      <c r="A37">
        <v>35</v>
      </c>
      <c r="BA37">
        <v>0</v>
      </c>
      <c r="BB37">
        <v>0</v>
      </c>
      <c r="BC37">
        <v>0</v>
      </c>
      <c r="BD37">
        <v>0</v>
      </c>
    </row>
    <row r="38" spans="1:56" x14ac:dyDescent="0.35">
      <c r="A38">
        <v>36</v>
      </c>
      <c r="BA38">
        <v>0</v>
      </c>
      <c r="BB38">
        <v>0</v>
      </c>
      <c r="BC38">
        <v>0</v>
      </c>
      <c r="BD38">
        <v>0</v>
      </c>
    </row>
    <row r="40" spans="1:56" x14ac:dyDescent="0.35">
      <c r="A40" t="s">
        <v>9</v>
      </c>
      <c r="B40">
        <f>SUM(B2:B38)</f>
        <v>0</v>
      </c>
      <c r="C40">
        <f t="shared" ref="C40:E40" si="0">SUM(C2:C38)</f>
        <v>0</v>
      </c>
      <c r="D40">
        <f t="shared" si="0"/>
        <v>0</v>
      </c>
      <c r="E40">
        <f t="shared" si="0"/>
        <v>0</v>
      </c>
      <c r="G40">
        <f>SUM(G2:G38)</f>
        <v>0</v>
      </c>
      <c r="H40">
        <f t="shared" ref="H40:J40" si="1">SUM(H2:H38)</f>
        <v>0</v>
      </c>
      <c r="I40">
        <f t="shared" si="1"/>
        <v>0</v>
      </c>
      <c r="J40">
        <f t="shared" si="1"/>
        <v>0</v>
      </c>
      <c r="L40">
        <f>SUM(L2:L38)</f>
        <v>0</v>
      </c>
      <c r="M40">
        <f t="shared" ref="M40:O40" si="2">SUM(M2:M38)</f>
        <v>0</v>
      </c>
      <c r="N40">
        <f t="shared" si="2"/>
        <v>0</v>
      </c>
      <c r="O40">
        <f t="shared" si="2"/>
        <v>0</v>
      </c>
      <c r="Q40">
        <f>SUM(Q2:Q38)</f>
        <v>0</v>
      </c>
      <c r="R40">
        <f t="shared" ref="R40:T40" si="3">SUM(R2:R38)</f>
        <v>0</v>
      </c>
      <c r="S40">
        <f t="shared" si="3"/>
        <v>0</v>
      </c>
      <c r="T40">
        <f t="shared" si="3"/>
        <v>0</v>
      </c>
      <c r="V40">
        <f>SUM(V2:V38)</f>
        <v>0</v>
      </c>
      <c r="W40">
        <f t="shared" ref="W40:Y40" si="4">SUM(W2:W38)</f>
        <v>0</v>
      </c>
      <c r="X40">
        <f t="shared" si="4"/>
        <v>0</v>
      </c>
      <c r="Y40">
        <f t="shared" si="4"/>
        <v>0</v>
      </c>
      <c r="AA40">
        <f>SUM(AA2:AA38)</f>
        <v>0</v>
      </c>
      <c r="AB40">
        <f t="shared" ref="AB40:AD40" si="5">SUM(AB2:AB38)</f>
        <v>0</v>
      </c>
      <c r="AC40">
        <f t="shared" si="5"/>
        <v>0</v>
      </c>
      <c r="AD40">
        <f t="shared" si="5"/>
        <v>0</v>
      </c>
      <c r="AF40">
        <f>SUM(AF2:AF38)</f>
        <v>0</v>
      </c>
      <c r="AG40">
        <f t="shared" ref="AG40:AI40" si="6">SUM(AG2:AG38)</f>
        <v>0</v>
      </c>
      <c r="AH40">
        <f t="shared" si="6"/>
        <v>0</v>
      </c>
      <c r="AI40">
        <f t="shared" si="6"/>
        <v>0</v>
      </c>
      <c r="AK40">
        <f>SUM(AK2:AK38)</f>
        <v>0</v>
      </c>
      <c r="AL40">
        <f t="shared" ref="AL40:AN40" si="7">SUM(AL2:AL38)</f>
        <v>0</v>
      </c>
      <c r="AM40">
        <f t="shared" si="7"/>
        <v>0</v>
      </c>
      <c r="AN40">
        <f t="shared" si="7"/>
        <v>0</v>
      </c>
      <c r="AP40">
        <f>SUM(AP2:AP38)</f>
        <v>0</v>
      </c>
      <c r="AQ40">
        <f t="shared" ref="AQ40:AS40" si="8">SUM(AQ2:AQ38)</f>
        <v>0</v>
      </c>
      <c r="AR40">
        <f t="shared" si="8"/>
        <v>0</v>
      </c>
      <c r="AS40">
        <f t="shared" si="8"/>
        <v>0</v>
      </c>
      <c r="AU40">
        <f>SUM(AU2:AU38)</f>
        <v>0</v>
      </c>
      <c r="AV40">
        <f t="shared" ref="AV40:AX40" si="9">SUM(AV2:AV38)</f>
        <v>0</v>
      </c>
      <c r="AW40">
        <f t="shared" si="9"/>
        <v>0</v>
      </c>
      <c r="AX40">
        <f t="shared" si="9"/>
        <v>0</v>
      </c>
      <c r="BA40">
        <f>SUM(BA2:BA38)</f>
        <v>22</v>
      </c>
      <c r="BB40">
        <f t="shared" ref="BB40:BD40" si="10">SUM(BB2:BB38)</f>
        <v>84</v>
      </c>
      <c r="BC40">
        <f t="shared" si="10"/>
        <v>108</v>
      </c>
      <c r="BD40">
        <f t="shared" si="10"/>
        <v>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8E35-9D75-4160-B217-1D1F152E3D5A}">
  <dimension ref="A1:BD40"/>
  <sheetViews>
    <sheetView topLeftCell="AF1" workbookViewId="0">
      <selection activeCell="AZ2" sqref="AZ2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1" max="51" width="8.7265625" style="5"/>
  </cols>
  <sheetData>
    <row r="1" spans="1:55" x14ac:dyDescent="0.35">
      <c r="A1" t="s">
        <v>19</v>
      </c>
      <c r="B1" t="s">
        <v>34</v>
      </c>
      <c r="C1" s="4" t="s">
        <v>31</v>
      </c>
      <c r="D1" s="4" t="s">
        <v>32</v>
      </c>
      <c r="E1" s="4" t="s">
        <v>33</v>
      </c>
      <c r="F1" s="5">
        <v>1</v>
      </c>
      <c r="G1" t="s">
        <v>34</v>
      </c>
      <c r="H1" t="s">
        <v>31</v>
      </c>
      <c r="I1" t="s">
        <v>32</v>
      </c>
      <c r="J1" t="s">
        <v>33</v>
      </c>
      <c r="K1" s="5">
        <v>2</v>
      </c>
      <c r="L1" t="s">
        <v>34</v>
      </c>
      <c r="M1" t="s">
        <v>31</v>
      </c>
      <c r="N1" t="s">
        <v>32</v>
      </c>
      <c r="O1" t="s">
        <v>33</v>
      </c>
      <c r="P1" s="5">
        <v>3</v>
      </c>
      <c r="Q1" t="s">
        <v>34</v>
      </c>
      <c r="R1" s="4" t="s">
        <v>31</v>
      </c>
      <c r="S1" s="4" t="s">
        <v>32</v>
      </c>
      <c r="T1" s="4" t="s">
        <v>33</v>
      </c>
      <c r="U1" s="5">
        <v>4</v>
      </c>
      <c r="V1" t="s">
        <v>34</v>
      </c>
      <c r="W1" s="4" t="s">
        <v>31</v>
      </c>
      <c r="X1" s="4" t="s">
        <v>32</v>
      </c>
      <c r="Y1" s="4" t="s">
        <v>33</v>
      </c>
      <c r="Z1" s="5">
        <v>5</v>
      </c>
      <c r="AA1" t="s">
        <v>34</v>
      </c>
      <c r="AB1" s="4" t="s">
        <v>31</v>
      </c>
      <c r="AC1" s="4" t="s">
        <v>32</v>
      </c>
      <c r="AD1" s="4" t="s">
        <v>33</v>
      </c>
      <c r="AE1" s="5">
        <v>6</v>
      </c>
      <c r="AF1" t="s">
        <v>34</v>
      </c>
      <c r="AG1" s="4" t="s">
        <v>31</v>
      </c>
      <c r="AH1" s="4" t="s">
        <v>32</v>
      </c>
      <c r="AI1" s="4" t="s">
        <v>33</v>
      </c>
      <c r="AJ1" s="5">
        <v>7</v>
      </c>
      <c r="AK1" t="s">
        <v>34</v>
      </c>
      <c r="AL1" s="4" t="s">
        <v>31</v>
      </c>
      <c r="AM1" s="4" t="s">
        <v>32</v>
      </c>
      <c r="AN1" s="4" t="s">
        <v>33</v>
      </c>
      <c r="AO1" s="5">
        <v>8</v>
      </c>
      <c r="AP1" t="s">
        <v>34</v>
      </c>
      <c r="AQ1" s="4" t="s">
        <v>31</v>
      </c>
      <c r="AR1" s="4" t="s">
        <v>32</v>
      </c>
      <c r="AS1" s="4" t="s">
        <v>33</v>
      </c>
      <c r="AT1" s="5">
        <v>9</v>
      </c>
      <c r="AU1" t="s">
        <v>34</v>
      </c>
      <c r="AV1" s="4" t="s">
        <v>31</v>
      </c>
      <c r="AW1" s="4" t="s">
        <v>32</v>
      </c>
      <c r="AX1" s="4" t="s">
        <v>33</v>
      </c>
      <c r="AY1" s="5">
        <v>10</v>
      </c>
      <c r="AZ1" t="s">
        <v>42</v>
      </c>
      <c r="BA1" t="s">
        <v>43</v>
      </c>
      <c r="BB1" t="s">
        <v>44</v>
      </c>
      <c r="BC1" t="s">
        <v>45</v>
      </c>
    </row>
    <row r="2" spans="1:55" x14ac:dyDescent="0.35">
      <c r="A2">
        <v>0</v>
      </c>
      <c r="AZ2">
        <v>0</v>
      </c>
      <c r="BA2">
        <v>0</v>
      </c>
      <c r="BB2">
        <v>0</v>
      </c>
      <c r="BC2">
        <v>0</v>
      </c>
    </row>
    <row r="3" spans="1:55" x14ac:dyDescent="0.35">
      <c r="A3">
        <v>1</v>
      </c>
      <c r="AZ3">
        <v>5</v>
      </c>
      <c r="BA3">
        <v>5</v>
      </c>
      <c r="BB3">
        <v>5</v>
      </c>
      <c r="BC3">
        <v>3</v>
      </c>
    </row>
    <row r="4" spans="1:55" x14ac:dyDescent="0.35">
      <c r="A4">
        <v>2</v>
      </c>
      <c r="AZ4">
        <v>6</v>
      </c>
      <c r="BA4">
        <v>7</v>
      </c>
      <c r="BB4">
        <v>7</v>
      </c>
      <c r="BC4">
        <v>6</v>
      </c>
    </row>
    <row r="5" spans="1:55" x14ac:dyDescent="0.35">
      <c r="A5">
        <v>3</v>
      </c>
      <c r="AZ5">
        <v>7</v>
      </c>
      <c r="BA5">
        <v>9</v>
      </c>
      <c r="BB5">
        <v>10</v>
      </c>
      <c r="BC5">
        <v>8</v>
      </c>
    </row>
    <row r="6" spans="1:55" x14ac:dyDescent="0.35">
      <c r="A6">
        <v>4</v>
      </c>
      <c r="AZ6">
        <v>6</v>
      </c>
      <c r="BA6">
        <v>10</v>
      </c>
      <c r="BB6">
        <v>12</v>
      </c>
      <c r="BC6">
        <v>11</v>
      </c>
    </row>
    <row r="7" spans="1:55" x14ac:dyDescent="0.35">
      <c r="A7">
        <v>5</v>
      </c>
      <c r="AZ7">
        <v>9</v>
      </c>
      <c r="BA7">
        <v>9</v>
      </c>
      <c r="BB7">
        <v>14</v>
      </c>
      <c r="BC7">
        <v>14</v>
      </c>
    </row>
    <row r="8" spans="1:55" x14ac:dyDescent="0.35">
      <c r="A8">
        <v>6</v>
      </c>
      <c r="AZ8">
        <v>10</v>
      </c>
      <c r="BA8">
        <v>11</v>
      </c>
      <c r="BB8">
        <v>13</v>
      </c>
      <c r="BC8">
        <v>15</v>
      </c>
    </row>
    <row r="9" spans="1:55" x14ac:dyDescent="0.35">
      <c r="A9">
        <v>7</v>
      </c>
      <c r="AZ9">
        <v>10</v>
      </c>
      <c r="BA9">
        <v>13</v>
      </c>
      <c r="BB9">
        <v>14</v>
      </c>
      <c r="BC9">
        <v>14</v>
      </c>
    </row>
    <row r="10" spans="1:55" x14ac:dyDescent="0.35">
      <c r="A10">
        <v>8</v>
      </c>
      <c r="AZ10">
        <v>10</v>
      </c>
      <c r="BA10">
        <v>13</v>
      </c>
      <c r="BB10">
        <v>15</v>
      </c>
      <c r="BC10">
        <v>14</v>
      </c>
    </row>
    <row r="11" spans="1:55" x14ac:dyDescent="0.35">
      <c r="A11">
        <v>9</v>
      </c>
      <c r="AZ11">
        <v>10</v>
      </c>
      <c r="BA11">
        <v>12</v>
      </c>
      <c r="BB11">
        <v>14</v>
      </c>
      <c r="BC11">
        <v>15</v>
      </c>
    </row>
    <row r="12" spans="1:55" x14ac:dyDescent="0.35">
      <c r="A12">
        <v>10</v>
      </c>
      <c r="AZ12">
        <v>10</v>
      </c>
      <c r="BA12">
        <v>12</v>
      </c>
      <c r="BB12">
        <v>13</v>
      </c>
      <c r="BC12">
        <v>15</v>
      </c>
    </row>
    <row r="13" spans="1:55" x14ac:dyDescent="0.35">
      <c r="A13">
        <v>11</v>
      </c>
      <c r="AZ13">
        <v>9</v>
      </c>
      <c r="BA13">
        <v>10</v>
      </c>
      <c r="BB13">
        <v>12</v>
      </c>
      <c r="BC13">
        <v>13</v>
      </c>
    </row>
    <row r="14" spans="1:55" x14ac:dyDescent="0.35">
      <c r="A14">
        <v>12</v>
      </c>
      <c r="AZ14">
        <v>8</v>
      </c>
      <c r="BA14">
        <v>8</v>
      </c>
      <c r="BB14">
        <v>9</v>
      </c>
      <c r="BC14">
        <v>12</v>
      </c>
    </row>
    <row r="15" spans="1:55" x14ac:dyDescent="0.35">
      <c r="A15">
        <v>13</v>
      </c>
      <c r="AZ15">
        <v>6</v>
      </c>
      <c r="BA15">
        <v>6</v>
      </c>
      <c r="BB15">
        <v>6</v>
      </c>
      <c r="BC15">
        <v>8</v>
      </c>
    </row>
    <row r="16" spans="1:55" x14ac:dyDescent="0.35">
      <c r="A16">
        <v>14</v>
      </c>
      <c r="AZ16">
        <v>6</v>
      </c>
      <c r="BA16">
        <v>2</v>
      </c>
      <c r="BB16">
        <v>3</v>
      </c>
      <c r="BC16">
        <v>5</v>
      </c>
    </row>
    <row r="17" spans="1:55" x14ac:dyDescent="0.35">
      <c r="A17">
        <v>15</v>
      </c>
      <c r="AZ17">
        <v>6</v>
      </c>
      <c r="BA17">
        <v>2</v>
      </c>
      <c r="BB17">
        <v>0</v>
      </c>
      <c r="BC17">
        <v>1</v>
      </c>
    </row>
    <row r="18" spans="1:55" x14ac:dyDescent="0.35">
      <c r="A18">
        <v>16</v>
      </c>
      <c r="AZ18">
        <v>6</v>
      </c>
      <c r="BA18">
        <v>2</v>
      </c>
      <c r="BB18">
        <v>0</v>
      </c>
      <c r="BC18">
        <v>0</v>
      </c>
    </row>
    <row r="19" spans="1:55" x14ac:dyDescent="0.35">
      <c r="A19">
        <v>17</v>
      </c>
      <c r="AZ19">
        <v>7</v>
      </c>
      <c r="BA19">
        <v>3</v>
      </c>
      <c r="BB19">
        <v>0</v>
      </c>
      <c r="BC19">
        <v>0</v>
      </c>
    </row>
    <row r="20" spans="1:55" x14ac:dyDescent="0.35">
      <c r="A20">
        <v>18</v>
      </c>
      <c r="AZ20">
        <v>8</v>
      </c>
      <c r="BA20">
        <v>6</v>
      </c>
      <c r="BB20">
        <v>0</v>
      </c>
      <c r="BC20">
        <v>0</v>
      </c>
    </row>
    <row r="21" spans="1:55" x14ac:dyDescent="0.35">
      <c r="A21">
        <v>19</v>
      </c>
      <c r="AZ21">
        <v>8</v>
      </c>
      <c r="BA21">
        <v>8</v>
      </c>
      <c r="BB21">
        <v>1</v>
      </c>
      <c r="BC21">
        <v>0</v>
      </c>
    </row>
    <row r="22" spans="1:55" x14ac:dyDescent="0.35">
      <c r="A22">
        <v>20</v>
      </c>
      <c r="AZ22">
        <v>9</v>
      </c>
      <c r="BA22">
        <v>10</v>
      </c>
      <c r="BB22">
        <v>6</v>
      </c>
      <c r="BC22">
        <v>0</v>
      </c>
    </row>
    <row r="23" spans="1:55" x14ac:dyDescent="0.35">
      <c r="A23">
        <v>21</v>
      </c>
      <c r="AZ23">
        <v>9</v>
      </c>
      <c r="BA23">
        <v>12</v>
      </c>
      <c r="BB23">
        <v>11</v>
      </c>
      <c r="BC23">
        <v>4</v>
      </c>
    </row>
    <row r="24" spans="1:55" x14ac:dyDescent="0.35">
      <c r="A24">
        <v>22</v>
      </c>
      <c r="AZ24">
        <v>9</v>
      </c>
      <c r="BA24">
        <v>13</v>
      </c>
      <c r="BB24">
        <v>16</v>
      </c>
      <c r="BC24">
        <v>11</v>
      </c>
    </row>
    <row r="25" spans="1:55" x14ac:dyDescent="0.35">
      <c r="A25">
        <v>23</v>
      </c>
      <c r="AZ25">
        <v>9</v>
      </c>
      <c r="BA25">
        <v>12</v>
      </c>
      <c r="BB25">
        <v>19</v>
      </c>
      <c r="BC25">
        <v>18</v>
      </c>
    </row>
    <row r="26" spans="1:55" x14ac:dyDescent="0.35">
      <c r="A26">
        <v>24</v>
      </c>
      <c r="AZ26">
        <v>9</v>
      </c>
      <c r="BA26">
        <v>11</v>
      </c>
      <c r="BB26">
        <v>19</v>
      </c>
      <c r="BC26">
        <v>23</v>
      </c>
    </row>
    <row r="27" spans="1:55" x14ac:dyDescent="0.35">
      <c r="A27">
        <v>25</v>
      </c>
      <c r="AZ27">
        <v>9</v>
      </c>
      <c r="BA27">
        <v>13</v>
      </c>
      <c r="BB27">
        <v>17</v>
      </c>
      <c r="BC27">
        <v>22</v>
      </c>
    </row>
    <row r="28" spans="1:55" x14ac:dyDescent="0.35">
      <c r="A28">
        <v>26</v>
      </c>
      <c r="AZ28">
        <v>8</v>
      </c>
      <c r="BA28">
        <v>13</v>
      </c>
      <c r="BB28">
        <v>17</v>
      </c>
      <c r="BC28">
        <v>18</v>
      </c>
    </row>
    <row r="29" spans="1:55" x14ac:dyDescent="0.35">
      <c r="A29">
        <v>27</v>
      </c>
      <c r="AZ29">
        <v>10</v>
      </c>
      <c r="BA29">
        <v>11</v>
      </c>
      <c r="BB29">
        <v>15</v>
      </c>
      <c r="BC29">
        <v>17</v>
      </c>
    </row>
    <row r="30" spans="1:55" x14ac:dyDescent="0.35">
      <c r="A30">
        <v>28</v>
      </c>
      <c r="AZ30">
        <v>10</v>
      </c>
      <c r="BA30">
        <v>11</v>
      </c>
      <c r="BB30">
        <v>10</v>
      </c>
      <c r="BC30">
        <v>14</v>
      </c>
    </row>
    <row r="31" spans="1:55" x14ac:dyDescent="0.35">
      <c r="A31">
        <v>29</v>
      </c>
      <c r="AZ31">
        <v>9</v>
      </c>
      <c r="BA31">
        <v>8</v>
      </c>
      <c r="BB31">
        <v>8</v>
      </c>
      <c r="BC31">
        <v>9</v>
      </c>
    </row>
    <row r="32" spans="1:55" x14ac:dyDescent="0.35">
      <c r="A32">
        <v>30</v>
      </c>
      <c r="AZ32">
        <v>8</v>
      </c>
      <c r="BA32">
        <v>4</v>
      </c>
      <c r="BB32">
        <v>4</v>
      </c>
      <c r="BC32">
        <v>6</v>
      </c>
    </row>
    <row r="33" spans="1:56" x14ac:dyDescent="0.35">
      <c r="A33">
        <v>31</v>
      </c>
      <c r="AZ33">
        <v>5</v>
      </c>
      <c r="BA33">
        <v>2</v>
      </c>
      <c r="BB33">
        <v>0</v>
      </c>
      <c r="BC33">
        <v>2</v>
      </c>
    </row>
    <row r="34" spans="1:56" x14ac:dyDescent="0.35">
      <c r="A34">
        <v>32</v>
      </c>
      <c r="AZ34">
        <v>5</v>
      </c>
      <c r="BA34">
        <v>0</v>
      </c>
      <c r="BB34">
        <v>0</v>
      </c>
      <c r="BC34">
        <v>0</v>
      </c>
    </row>
    <row r="35" spans="1:56" x14ac:dyDescent="0.35">
      <c r="A35">
        <v>33</v>
      </c>
      <c r="AZ35">
        <v>5</v>
      </c>
      <c r="BA35">
        <v>0</v>
      </c>
      <c r="BB35">
        <v>0</v>
      </c>
      <c r="BC35">
        <v>0</v>
      </c>
    </row>
    <row r="36" spans="1:56" x14ac:dyDescent="0.35">
      <c r="A36">
        <v>34</v>
      </c>
      <c r="AZ36">
        <v>6</v>
      </c>
      <c r="BA36">
        <v>1</v>
      </c>
      <c r="BB36">
        <v>0</v>
      </c>
      <c r="BC36">
        <v>0</v>
      </c>
    </row>
    <row r="37" spans="1:56" x14ac:dyDescent="0.35">
      <c r="A37">
        <v>35</v>
      </c>
      <c r="AZ37">
        <v>7</v>
      </c>
      <c r="BA37">
        <v>4</v>
      </c>
      <c r="BB37">
        <v>0</v>
      </c>
      <c r="BC37">
        <v>0</v>
      </c>
    </row>
    <row r="38" spans="1:56" x14ac:dyDescent="0.35">
      <c r="A38">
        <v>36</v>
      </c>
      <c r="AZ38">
        <v>8</v>
      </c>
      <c r="BA38">
        <v>7</v>
      </c>
      <c r="BB38">
        <v>0</v>
      </c>
      <c r="BC38">
        <v>0</v>
      </c>
    </row>
    <row r="40" spans="1:56" x14ac:dyDescent="0.35">
      <c r="A40" t="s">
        <v>9</v>
      </c>
      <c r="AZ40">
        <f>SUM(AZ3:AZ38)</f>
        <v>282</v>
      </c>
      <c r="BA40">
        <f>SUM(BA3:BA38)</f>
        <v>280</v>
      </c>
      <c r="BB40">
        <f>SUM(BB3:BB38)</f>
        <v>290</v>
      </c>
      <c r="BC40">
        <f>SUM(BC3:BC38)</f>
        <v>298</v>
      </c>
      <c r="BD40">
        <f t="shared" ref="BD40" si="0">SUM(BD2:BD38)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8EA9C-5080-4F87-8D27-DE034AE58EF1}">
  <dimension ref="A1:BD40"/>
  <sheetViews>
    <sheetView topLeftCell="AL1" workbookViewId="0">
      <selection activeCell="BF6" sqref="BF6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0" max="51" width="8.7265625" style="5"/>
  </cols>
  <sheetData>
    <row r="1" spans="1:55" x14ac:dyDescent="0.35">
      <c r="A1" t="s">
        <v>19</v>
      </c>
      <c r="B1" t="s">
        <v>47</v>
      </c>
      <c r="C1" t="s">
        <v>48</v>
      </c>
      <c r="D1" t="s">
        <v>49</v>
      </c>
      <c r="E1" t="s">
        <v>50</v>
      </c>
      <c r="F1" s="5">
        <v>1</v>
      </c>
      <c r="G1" t="s">
        <v>47</v>
      </c>
      <c r="H1" t="s">
        <v>48</v>
      </c>
      <c r="I1" t="s">
        <v>49</v>
      </c>
      <c r="J1" t="s">
        <v>50</v>
      </c>
      <c r="K1" s="5">
        <v>2</v>
      </c>
      <c r="L1" t="s">
        <v>47</v>
      </c>
      <c r="M1" t="s">
        <v>48</v>
      </c>
      <c r="N1" t="s">
        <v>49</v>
      </c>
      <c r="O1" t="s">
        <v>50</v>
      </c>
      <c r="P1" s="5">
        <v>3</v>
      </c>
      <c r="Q1" t="s">
        <v>47</v>
      </c>
      <c r="R1" t="s">
        <v>48</v>
      </c>
      <c r="S1" t="s">
        <v>49</v>
      </c>
      <c r="T1" t="s">
        <v>50</v>
      </c>
      <c r="U1" s="5">
        <v>4</v>
      </c>
      <c r="V1" t="s">
        <v>47</v>
      </c>
      <c r="W1" t="s">
        <v>48</v>
      </c>
      <c r="X1" t="s">
        <v>49</v>
      </c>
      <c r="Y1" t="s">
        <v>50</v>
      </c>
      <c r="Z1" s="5">
        <v>5</v>
      </c>
      <c r="AA1" t="s">
        <v>47</v>
      </c>
      <c r="AB1" t="s">
        <v>48</v>
      </c>
      <c r="AC1" t="s">
        <v>49</v>
      </c>
      <c r="AD1" t="s">
        <v>50</v>
      </c>
      <c r="AE1" s="5">
        <v>6</v>
      </c>
      <c r="AF1" t="s">
        <v>47</v>
      </c>
      <c r="AG1" t="s">
        <v>48</v>
      </c>
      <c r="AH1" t="s">
        <v>49</v>
      </c>
      <c r="AI1" t="s">
        <v>50</v>
      </c>
      <c r="AJ1" s="5">
        <v>7</v>
      </c>
      <c r="AK1" t="s">
        <v>47</v>
      </c>
      <c r="AL1" t="s">
        <v>48</v>
      </c>
      <c r="AM1" t="s">
        <v>49</v>
      </c>
      <c r="AN1" t="s">
        <v>50</v>
      </c>
      <c r="AO1" s="5">
        <v>8</v>
      </c>
      <c r="AP1" t="s">
        <v>47</v>
      </c>
      <c r="AQ1" t="s">
        <v>48</v>
      </c>
      <c r="AR1" t="s">
        <v>49</v>
      </c>
      <c r="AS1" t="s">
        <v>50</v>
      </c>
      <c r="AT1" s="5">
        <v>9</v>
      </c>
      <c r="AU1" t="s">
        <v>47</v>
      </c>
      <c r="AV1" t="s">
        <v>48</v>
      </c>
      <c r="AW1" t="s">
        <v>49</v>
      </c>
      <c r="AX1" t="s">
        <v>50</v>
      </c>
      <c r="AY1" s="5">
        <v>10</v>
      </c>
      <c r="AZ1" t="s">
        <v>105</v>
      </c>
      <c r="BA1" t="s">
        <v>106</v>
      </c>
      <c r="BB1" t="s">
        <v>107</v>
      </c>
      <c r="BC1" t="s">
        <v>108</v>
      </c>
    </row>
    <row r="2" spans="1:55" x14ac:dyDescent="0.35">
      <c r="A2">
        <v>0</v>
      </c>
      <c r="AX2"/>
      <c r="AZ2">
        <v>0</v>
      </c>
      <c r="BA2">
        <v>0</v>
      </c>
      <c r="BB2">
        <v>0</v>
      </c>
      <c r="BC2">
        <v>0</v>
      </c>
    </row>
    <row r="3" spans="1:55" x14ac:dyDescent="0.35">
      <c r="A3">
        <v>1</v>
      </c>
      <c r="AX3"/>
      <c r="AZ3">
        <f>'Inventory DQN'!BA3*0.5</f>
        <v>6</v>
      </c>
      <c r="BA3">
        <f>'Inventory DQN'!BB3*0.5</f>
        <v>6</v>
      </c>
      <c r="BB3">
        <f>'Inventory DQN'!BC3*0.5</f>
        <v>6</v>
      </c>
      <c r="BC3">
        <f>'Inventory DQN'!BD3*0.5</f>
        <v>6</v>
      </c>
    </row>
    <row r="4" spans="1:55" x14ac:dyDescent="0.35">
      <c r="A4">
        <v>2</v>
      </c>
      <c r="AX4"/>
      <c r="AZ4">
        <f>'Inventory DQN'!BA4*0.5</f>
        <v>4</v>
      </c>
      <c r="BA4">
        <f>'Inventory DQN'!BB4*0.5</f>
        <v>4</v>
      </c>
      <c r="BB4">
        <f>'Inventory DQN'!BC4*0.5</f>
        <v>4</v>
      </c>
      <c r="BC4">
        <f>'Inventory DQN'!BD4*0.5</f>
        <v>4</v>
      </c>
    </row>
    <row r="5" spans="1:55" x14ac:dyDescent="0.35">
      <c r="A5">
        <v>3</v>
      </c>
      <c r="AX5"/>
      <c r="AZ5">
        <f>'Inventory DQN'!BA5*0.5</f>
        <v>2</v>
      </c>
      <c r="BA5">
        <f>'Inventory DQN'!BB5*0.5</f>
        <v>1.5</v>
      </c>
      <c r="BB5">
        <f>'Inventory DQN'!BC5*0.5</f>
        <v>1.5</v>
      </c>
      <c r="BC5">
        <f>'Inventory DQN'!BD5*0.5</f>
        <v>3</v>
      </c>
    </row>
    <row r="6" spans="1:55" x14ac:dyDescent="0.35">
      <c r="A6">
        <v>4</v>
      </c>
      <c r="AX6"/>
      <c r="AZ6">
        <f>'Inventory DQN'!BA6*0.5</f>
        <v>2</v>
      </c>
      <c r="BA6">
        <f>'Inventory DQN'!BB6*0.5</f>
        <v>0.5</v>
      </c>
      <c r="BB6">
        <f>'Inventory DQN'!BC6*0.5</f>
        <v>0</v>
      </c>
      <c r="BC6">
        <f>'Inventory DQN'!BD6*0.5</f>
        <v>2.5</v>
      </c>
    </row>
    <row r="7" spans="1:55" x14ac:dyDescent="0.35">
      <c r="A7">
        <v>5</v>
      </c>
      <c r="AX7"/>
      <c r="AZ7">
        <f>'Inventory DQN'!BA7*0.5</f>
        <v>2.5</v>
      </c>
      <c r="BA7">
        <f>'Inventory DQN'!BB7*0.5</f>
        <v>0</v>
      </c>
      <c r="BB7">
        <f>'Inventory DQN'!BC7*0.5</f>
        <v>0</v>
      </c>
      <c r="BC7">
        <f>'Inventory DQN'!BD7*0.5</f>
        <v>1.5</v>
      </c>
    </row>
    <row r="8" spans="1:55" x14ac:dyDescent="0.35">
      <c r="A8">
        <v>6</v>
      </c>
      <c r="AX8"/>
      <c r="AZ8">
        <f>'Inventory DQN'!BA8*0.5</f>
        <v>1.5</v>
      </c>
      <c r="BA8">
        <f>'Inventory DQN'!BB8*0.5</f>
        <v>0</v>
      </c>
      <c r="BB8">
        <f>'Inventory DQN'!BC8*0.5</f>
        <v>0</v>
      </c>
      <c r="BC8">
        <f>'Inventory DQN'!BD8*0.5</f>
        <v>1</v>
      </c>
    </row>
    <row r="9" spans="1:55" x14ac:dyDescent="0.35">
      <c r="A9">
        <v>7</v>
      </c>
      <c r="AX9"/>
      <c r="AZ9">
        <f>'Inventory DQN'!BA9*0.5</f>
        <v>0.5</v>
      </c>
      <c r="BA9">
        <f>'Inventory DQN'!BB9*0.5</f>
        <v>0</v>
      </c>
      <c r="BB9">
        <f>'Inventory DQN'!BC9*0.5</f>
        <v>0</v>
      </c>
      <c r="BC9">
        <f>'Inventory DQN'!BD9*0.5</f>
        <v>1</v>
      </c>
    </row>
    <row r="10" spans="1:55" x14ac:dyDescent="0.35">
      <c r="A10">
        <v>8</v>
      </c>
      <c r="AX10"/>
      <c r="AZ10">
        <f>'Inventory DQN'!BA10*0.5</f>
        <v>0</v>
      </c>
      <c r="BA10">
        <f>'Inventory DQN'!BB10*0.5</f>
        <v>0</v>
      </c>
      <c r="BB10">
        <f>'Inventory DQN'!BC10*0.5</f>
        <v>0</v>
      </c>
      <c r="BC10">
        <f>'Inventory DQN'!BD10*0.5</f>
        <v>2</v>
      </c>
    </row>
    <row r="11" spans="1:55" x14ac:dyDescent="0.35">
      <c r="A11">
        <v>9</v>
      </c>
      <c r="AX11"/>
      <c r="AZ11">
        <f>'Inventory DQN'!BA11*0.5</f>
        <v>0</v>
      </c>
      <c r="BA11">
        <f>'Inventory DQN'!BB11*0.5</f>
        <v>0</v>
      </c>
      <c r="BB11">
        <f>'Inventory DQN'!BC11*0.5</f>
        <v>0</v>
      </c>
      <c r="BC11">
        <f>'Inventory DQN'!BD11*0.5</f>
        <v>2</v>
      </c>
    </row>
    <row r="12" spans="1:55" x14ac:dyDescent="0.35">
      <c r="A12">
        <v>10</v>
      </c>
      <c r="AX12"/>
      <c r="AZ12">
        <f>'Inventory DQN'!BA12*0.5</f>
        <v>0</v>
      </c>
      <c r="BA12">
        <f>'Inventory DQN'!BB12*0.5</f>
        <v>0</v>
      </c>
      <c r="BB12">
        <f>'Inventory DQN'!BC12*0.5</f>
        <v>0</v>
      </c>
      <c r="BC12">
        <f>'Inventory DQN'!BD12*0.5</f>
        <v>1.5</v>
      </c>
    </row>
    <row r="13" spans="1:55" x14ac:dyDescent="0.35">
      <c r="A13">
        <v>11</v>
      </c>
      <c r="AX13"/>
      <c r="AZ13">
        <f>'Inventory DQN'!BA13*0.5</f>
        <v>0</v>
      </c>
      <c r="BA13">
        <f>'Inventory DQN'!BB13*0.5</f>
        <v>0</v>
      </c>
      <c r="BB13">
        <f>'Inventory DQN'!BC13*0.5</f>
        <v>0</v>
      </c>
      <c r="BC13">
        <f>'Inventory DQN'!BD13*0.5</f>
        <v>2</v>
      </c>
    </row>
    <row r="14" spans="1:55" x14ac:dyDescent="0.35">
      <c r="A14">
        <v>12</v>
      </c>
      <c r="AX14"/>
      <c r="AZ14">
        <f>'Inventory DQN'!BA14*0.5</f>
        <v>1</v>
      </c>
      <c r="BA14">
        <f>'Inventory DQN'!BB14*0.5</f>
        <v>1</v>
      </c>
      <c r="BB14">
        <f>'Inventory DQN'!BC14*0.5</f>
        <v>0.5</v>
      </c>
      <c r="BC14">
        <f>'Inventory DQN'!BD14*0.5</f>
        <v>3</v>
      </c>
    </row>
    <row r="15" spans="1:55" x14ac:dyDescent="0.35">
      <c r="A15">
        <v>13</v>
      </c>
      <c r="AX15"/>
      <c r="AZ15">
        <f>'Inventory DQN'!BA15*0.5</f>
        <v>4</v>
      </c>
      <c r="BA15">
        <f>'Inventory DQN'!BB15*0.5</f>
        <v>3.5</v>
      </c>
      <c r="BB15">
        <f>'Inventory DQN'!BC15*0.5</f>
        <v>2.5</v>
      </c>
      <c r="BC15">
        <f>'Inventory DQN'!BD15*0.5</f>
        <v>3.5</v>
      </c>
    </row>
    <row r="16" spans="1:55" x14ac:dyDescent="0.35">
      <c r="A16">
        <v>14</v>
      </c>
      <c r="AX16"/>
      <c r="AZ16">
        <f>'Inventory DQN'!BA16*0.5</f>
        <v>5.5</v>
      </c>
      <c r="BA16">
        <f>'Inventory DQN'!BB16*0.5</f>
        <v>6.5</v>
      </c>
      <c r="BB16">
        <f>'Inventory DQN'!BC16*0.5</f>
        <v>5</v>
      </c>
      <c r="BC16">
        <f>'Inventory DQN'!BD16*0.5</f>
        <v>5</v>
      </c>
    </row>
    <row r="17" spans="1:55" x14ac:dyDescent="0.35">
      <c r="A17">
        <v>15</v>
      </c>
      <c r="AX17"/>
      <c r="AZ17">
        <f>'Inventory DQN'!BA17*0.5</f>
        <v>6</v>
      </c>
      <c r="BA17">
        <f>'Inventory DQN'!BB17*0.5</f>
        <v>8.5</v>
      </c>
      <c r="BB17">
        <f>'Inventory DQN'!BC17*0.5</f>
        <v>8</v>
      </c>
      <c r="BC17">
        <f>'Inventory DQN'!BD17*0.5</f>
        <v>6</v>
      </c>
    </row>
    <row r="18" spans="1:55" x14ac:dyDescent="0.35">
      <c r="A18">
        <v>16</v>
      </c>
      <c r="AX18"/>
      <c r="AZ18">
        <f>'Inventory DQN'!BA18*0.5</f>
        <v>6</v>
      </c>
      <c r="BA18">
        <f>'Inventory DQN'!BB18*0.5</f>
        <v>9.5</v>
      </c>
      <c r="BB18">
        <f>'Inventory DQN'!BC18*0.5</f>
        <v>11.5</v>
      </c>
      <c r="BC18">
        <f>'Inventory DQN'!BD18*0.5</f>
        <v>7</v>
      </c>
    </row>
    <row r="19" spans="1:55" x14ac:dyDescent="0.35">
      <c r="A19">
        <v>17</v>
      </c>
      <c r="AX19"/>
      <c r="AZ19">
        <f>'Inventory DQN'!BA19*0.5</f>
        <v>5</v>
      </c>
      <c r="BA19">
        <f>'Inventory DQN'!BB19*0.5</f>
        <v>9.5</v>
      </c>
      <c r="BB19">
        <f>'Inventory DQN'!BC19*0.5</f>
        <v>13.5</v>
      </c>
      <c r="BC19">
        <f>'Inventory DQN'!BD19*0.5</f>
        <v>7.5</v>
      </c>
    </row>
    <row r="20" spans="1:55" x14ac:dyDescent="0.35">
      <c r="A20">
        <v>18</v>
      </c>
      <c r="AX20"/>
      <c r="AZ20">
        <f>'Inventory DQN'!BA20*0.5</f>
        <v>4</v>
      </c>
      <c r="BA20">
        <f>'Inventory DQN'!BB20*0.5</f>
        <v>7.5</v>
      </c>
      <c r="BB20">
        <f>'Inventory DQN'!BC20*0.5</f>
        <v>14</v>
      </c>
      <c r="BC20">
        <f>'Inventory DQN'!BD20*0.5</f>
        <v>7.5</v>
      </c>
    </row>
    <row r="21" spans="1:55" x14ac:dyDescent="0.35">
      <c r="A21">
        <v>19</v>
      </c>
      <c r="AX21"/>
      <c r="AZ21">
        <f>'Inventory DQN'!BA21*0.5</f>
        <v>3</v>
      </c>
      <c r="BA21">
        <f>'Inventory DQN'!BB21*0.5</f>
        <v>5</v>
      </c>
      <c r="BB21">
        <f>'Inventory DQN'!BC21*0.5</f>
        <v>12.5</v>
      </c>
      <c r="BC21">
        <f>'Inventory DQN'!BD21*0.5</f>
        <v>7.5</v>
      </c>
    </row>
    <row r="22" spans="1:55" x14ac:dyDescent="0.35">
      <c r="A22">
        <v>20</v>
      </c>
      <c r="AX22"/>
      <c r="AZ22">
        <f>'Inventory DQN'!BA22*0.5</f>
        <v>2</v>
      </c>
      <c r="BA22">
        <f>'Inventory DQN'!BB22*0.5</f>
        <v>2</v>
      </c>
      <c r="BB22">
        <f>'Inventory DQN'!BC22*0.5</f>
        <v>9.5</v>
      </c>
      <c r="BC22">
        <f>'Inventory DQN'!BD22*0.5</f>
        <v>7.5</v>
      </c>
    </row>
    <row r="23" spans="1:55" x14ac:dyDescent="0.35">
      <c r="A23">
        <v>21</v>
      </c>
      <c r="AX23"/>
      <c r="AZ23">
        <f>'Inventory DQN'!BA23*0.5</f>
        <v>1.5</v>
      </c>
      <c r="BA23">
        <f>'Inventory DQN'!BB23*0.5</f>
        <v>0</v>
      </c>
      <c r="BB23">
        <f>'Inventory DQN'!BC23*0.5</f>
        <v>5.5</v>
      </c>
      <c r="BC23">
        <f>'Inventory DQN'!BD23*0.5</f>
        <v>7</v>
      </c>
    </row>
    <row r="24" spans="1:55" x14ac:dyDescent="0.35">
      <c r="A24">
        <v>22</v>
      </c>
      <c r="AX24"/>
      <c r="AZ24">
        <f>'Inventory DQN'!BA24*0.5</f>
        <v>1.5</v>
      </c>
      <c r="BA24">
        <f>'Inventory DQN'!BB24*0.5</f>
        <v>0</v>
      </c>
      <c r="BB24">
        <f>'Inventory DQN'!BC24*0.5</f>
        <v>0.5</v>
      </c>
      <c r="BC24">
        <f>'Inventory DQN'!BD24*0.5</f>
        <v>4</v>
      </c>
    </row>
    <row r="25" spans="1:55" x14ac:dyDescent="0.35">
      <c r="A25">
        <v>23</v>
      </c>
      <c r="AX25"/>
      <c r="AZ25">
        <f>'Inventory DQN'!BA25*0.5</f>
        <v>1</v>
      </c>
      <c r="BA25">
        <f>'Inventory DQN'!BB25*0.5</f>
        <v>0</v>
      </c>
      <c r="BB25">
        <f>'Inventory DQN'!BC25*0.5</f>
        <v>0</v>
      </c>
      <c r="BC25">
        <f>'Inventory DQN'!BD25*0.5</f>
        <v>0.5</v>
      </c>
    </row>
    <row r="26" spans="1:55" x14ac:dyDescent="0.35">
      <c r="A26">
        <v>24</v>
      </c>
      <c r="AX26"/>
      <c r="AZ26">
        <f>'Inventory DQN'!BA26*0.5</f>
        <v>0</v>
      </c>
      <c r="BA26">
        <f>'Inventory DQN'!BB26*0.5</f>
        <v>0</v>
      </c>
      <c r="BB26">
        <f>'Inventory DQN'!BC26*0.5</f>
        <v>0</v>
      </c>
      <c r="BC26">
        <f>'Inventory DQN'!BD26*0.5</f>
        <v>0</v>
      </c>
    </row>
    <row r="27" spans="1:55" x14ac:dyDescent="0.35">
      <c r="A27">
        <v>25</v>
      </c>
      <c r="AX27"/>
      <c r="AZ27">
        <f>'Inventory DQN'!BA27*0.5</f>
        <v>0</v>
      </c>
      <c r="BA27">
        <f>'Inventory DQN'!BB27*0.5</f>
        <v>0</v>
      </c>
      <c r="BB27">
        <f>'Inventory DQN'!BC27*0.5</f>
        <v>0</v>
      </c>
      <c r="BC27">
        <f>'Inventory DQN'!BD27*0.5</f>
        <v>0</v>
      </c>
    </row>
    <row r="28" spans="1:55" x14ac:dyDescent="0.35">
      <c r="A28">
        <v>26</v>
      </c>
      <c r="AX28"/>
      <c r="AZ28">
        <f>'Inventory DQN'!BA28*0.5</f>
        <v>1</v>
      </c>
      <c r="BA28">
        <f>'Inventory DQN'!BB28*0.5</f>
        <v>0</v>
      </c>
      <c r="BB28">
        <f>'Inventory DQN'!BC28*0.5</f>
        <v>0</v>
      </c>
      <c r="BC28">
        <f>'Inventory DQN'!BD28*0.5</f>
        <v>0</v>
      </c>
    </row>
    <row r="29" spans="1:55" x14ac:dyDescent="0.35">
      <c r="A29">
        <v>27</v>
      </c>
      <c r="AX29"/>
      <c r="AZ29">
        <f>'Inventory DQN'!BA29*0.5</f>
        <v>0</v>
      </c>
      <c r="BA29">
        <f>'Inventory DQN'!BB29*0.5</f>
        <v>0</v>
      </c>
      <c r="BB29">
        <f>'Inventory DQN'!BC29*0.5</f>
        <v>0</v>
      </c>
      <c r="BC29">
        <f>'Inventory DQN'!BD29*0.5</f>
        <v>2</v>
      </c>
    </row>
    <row r="30" spans="1:55" x14ac:dyDescent="0.35">
      <c r="A30">
        <v>28</v>
      </c>
      <c r="AX30"/>
      <c r="AZ30">
        <f>'Inventory DQN'!BA30*0.5</f>
        <v>0</v>
      </c>
      <c r="BA30">
        <f>'Inventory DQN'!BB30*0.5</f>
        <v>0</v>
      </c>
      <c r="BB30">
        <f>'Inventory DQN'!BC30*0.5</f>
        <v>0</v>
      </c>
      <c r="BC30">
        <f>'Inventory DQN'!BD30*0.5</f>
        <v>2.5</v>
      </c>
    </row>
    <row r="31" spans="1:55" x14ac:dyDescent="0.35">
      <c r="A31">
        <v>29</v>
      </c>
      <c r="AX31"/>
      <c r="AZ31">
        <f>'Inventory DQN'!BA31*0.5</f>
        <v>0</v>
      </c>
      <c r="BA31">
        <f>'Inventory DQN'!BB31*0.5</f>
        <v>0</v>
      </c>
      <c r="BB31">
        <f>'Inventory DQN'!BC31*0.5</f>
        <v>2.5</v>
      </c>
      <c r="BC31">
        <f>'Inventory DQN'!BD31*0.5</f>
        <v>3.5</v>
      </c>
    </row>
    <row r="32" spans="1:55" x14ac:dyDescent="0.35">
      <c r="A32">
        <v>30</v>
      </c>
      <c r="AX32"/>
      <c r="AZ32">
        <f>'Inventory DQN'!BA32*0.5</f>
        <v>0.5</v>
      </c>
      <c r="BA32">
        <f>'Inventory DQN'!BB32*0.5</f>
        <v>6.5</v>
      </c>
      <c r="BB32">
        <f>'Inventory DQN'!BC32*0.5</f>
        <v>5.5</v>
      </c>
      <c r="BC32">
        <f>'Inventory DQN'!BD32*0.5</f>
        <v>5.5</v>
      </c>
    </row>
    <row r="33" spans="1:56" x14ac:dyDescent="0.35">
      <c r="A33">
        <v>31</v>
      </c>
      <c r="AX33"/>
      <c r="AZ33">
        <f>'Inventory DQN'!BA33*0.5</f>
        <v>5.5</v>
      </c>
      <c r="BA33">
        <f>'Inventory DQN'!BB33*0.5</f>
        <v>8.5</v>
      </c>
      <c r="BB33">
        <f>'Inventory DQN'!BC33*0.5</f>
        <v>9</v>
      </c>
      <c r="BC33">
        <f>'Inventory DQN'!BD33*0.5</f>
        <v>6</v>
      </c>
    </row>
    <row r="34" spans="1:56" x14ac:dyDescent="0.35">
      <c r="A34">
        <v>32</v>
      </c>
      <c r="AX34"/>
      <c r="AZ34">
        <f>'Inventory DQN'!BA34*0.5</f>
        <v>6.5</v>
      </c>
      <c r="BA34">
        <f>'Inventory DQN'!BB34*0.5</f>
        <v>10</v>
      </c>
      <c r="BB34">
        <f>'Inventory DQN'!BC34*0.5</f>
        <v>12</v>
      </c>
      <c r="BC34">
        <f>'Inventory DQN'!BD34*0.5</f>
        <v>7</v>
      </c>
    </row>
    <row r="35" spans="1:56" x14ac:dyDescent="0.35">
      <c r="A35">
        <v>33</v>
      </c>
      <c r="AX35"/>
      <c r="AZ35">
        <f>'Inventory DQN'!BA35*0.5</f>
        <v>7</v>
      </c>
      <c r="BA35">
        <f>'Inventory DQN'!BB35*0.5</f>
        <v>11.5</v>
      </c>
      <c r="BB35">
        <f>'Inventory DQN'!BC35*0.5</f>
        <v>15</v>
      </c>
      <c r="BC35">
        <f>'Inventory DQN'!BD35*0.5</f>
        <v>8</v>
      </c>
    </row>
    <row r="36" spans="1:56" x14ac:dyDescent="0.35">
      <c r="A36">
        <v>34</v>
      </c>
      <c r="AX36"/>
      <c r="AZ36">
        <f>'Inventory DQN'!BA36*0.5</f>
        <v>7</v>
      </c>
      <c r="BA36">
        <f>'Inventory DQN'!BB36*0.5</f>
        <v>11</v>
      </c>
      <c r="BB36">
        <f>'Inventory DQN'!BC36*0.5</f>
        <v>17</v>
      </c>
      <c r="BC36">
        <f>'Inventory DQN'!BD36*0.5</f>
        <v>8</v>
      </c>
    </row>
    <row r="37" spans="1:56" x14ac:dyDescent="0.35">
      <c r="A37">
        <v>35</v>
      </c>
      <c r="AX37"/>
      <c r="AZ37">
        <f>'Inventory DQN'!BA37*0.5</f>
        <v>5.5</v>
      </c>
      <c r="BA37">
        <f>'Inventory DQN'!BB37*0.5</f>
        <v>9.5</v>
      </c>
      <c r="BB37">
        <f>'Inventory DQN'!BC37*0.5</f>
        <v>17</v>
      </c>
      <c r="BC37">
        <f>'Inventory DQN'!BD37*0.5</f>
        <v>8</v>
      </c>
    </row>
    <row r="38" spans="1:56" x14ac:dyDescent="0.35">
      <c r="A38">
        <v>36</v>
      </c>
      <c r="AX38"/>
      <c r="AZ38">
        <f>'Inventory DQN'!BA38*0.5</f>
        <v>4</v>
      </c>
      <c r="BA38">
        <f>'Inventory DQN'!BB38*0.5</f>
        <v>6.5</v>
      </c>
      <c r="BB38">
        <f>'Inventory DQN'!BC38*0.5</f>
        <v>16.5</v>
      </c>
      <c r="BC38">
        <f>'Inventory DQN'!BD38*0.5</f>
        <v>8</v>
      </c>
    </row>
    <row r="40" spans="1:56" x14ac:dyDescent="0.35">
      <c r="A40" t="s">
        <v>9</v>
      </c>
      <c r="B40">
        <f>SUM(B2:B38)</f>
        <v>0</v>
      </c>
      <c r="C40">
        <f t="shared" ref="C40:E40" si="0">SUM(C2:C38)</f>
        <v>0</v>
      </c>
      <c r="D40">
        <f t="shared" si="0"/>
        <v>0</v>
      </c>
      <c r="E40">
        <f t="shared" si="0"/>
        <v>0</v>
      </c>
      <c r="G40">
        <f>SUM(G2:G38)</f>
        <v>0</v>
      </c>
      <c r="H40">
        <f t="shared" ref="H40:J40" si="1">SUM(H2:H38)</f>
        <v>0</v>
      </c>
      <c r="I40">
        <f t="shared" si="1"/>
        <v>0</v>
      </c>
      <c r="J40">
        <f t="shared" si="1"/>
        <v>0</v>
      </c>
      <c r="L40">
        <f>SUM(L2:L38)</f>
        <v>0</v>
      </c>
      <c r="M40">
        <f t="shared" ref="M40:O40" si="2">SUM(M2:M38)</f>
        <v>0</v>
      </c>
      <c r="N40">
        <f t="shared" si="2"/>
        <v>0</v>
      </c>
      <c r="O40">
        <f t="shared" si="2"/>
        <v>0</v>
      </c>
      <c r="Q40">
        <f>SUM(Q2:Q38)</f>
        <v>0</v>
      </c>
      <c r="R40">
        <f t="shared" ref="R40:T40" si="3">SUM(R2:R38)</f>
        <v>0</v>
      </c>
      <c r="S40">
        <f t="shared" si="3"/>
        <v>0</v>
      </c>
      <c r="T40">
        <f t="shared" si="3"/>
        <v>0</v>
      </c>
      <c r="V40">
        <f>SUM(V2:V38)</f>
        <v>0</v>
      </c>
      <c r="W40">
        <f t="shared" ref="W40:Y40" si="4">SUM(W2:W38)</f>
        <v>0</v>
      </c>
      <c r="X40">
        <f t="shared" si="4"/>
        <v>0</v>
      </c>
      <c r="Y40">
        <f t="shared" si="4"/>
        <v>0</v>
      </c>
      <c r="AA40">
        <f>SUM(AA2:AA38)</f>
        <v>0</v>
      </c>
      <c r="AB40">
        <f t="shared" ref="AB40:AD40" si="5">SUM(AB2:AB38)</f>
        <v>0</v>
      </c>
      <c r="AC40">
        <f t="shared" si="5"/>
        <v>0</v>
      </c>
      <c r="AD40">
        <f t="shared" si="5"/>
        <v>0</v>
      </c>
      <c r="AF40">
        <f>SUM(AF2:AF38)</f>
        <v>0</v>
      </c>
      <c r="AG40">
        <f t="shared" ref="AG40:AI40" si="6">SUM(AG2:AG38)</f>
        <v>0</v>
      </c>
      <c r="AH40">
        <f t="shared" si="6"/>
        <v>0</v>
      </c>
      <c r="AI40">
        <f t="shared" si="6"/>
        <v>0</v>
      </c>
      <c r="AK40">
        <f>SUM(AK2:AK38)</f>
        <v>0</v>
      </c>
      <c r="AL40">
        <f t="shared" ref="AL40:AN40" si="7">SUM(AL2:AL38)</f>
        <v>0</v>
      </c>
      <c r="AM40">
        <f t="shared" si="7"/>
        <v>0</v>
      </c>
      <c r="AN40">
        <f t="shared" si="7"/>
        <v>0</v>
      </c>
      <c r="AP40">
        <f>SUM(AP2:AP38)</f>
        <v>0</v>
      </c>
      <c r="AQ40">
        <f t="shared" ref="AQ40:AS40" si="8">SUM(AQ2:AQ38)</f>
        <v>0</v>
      </c>
      <c r="AR40">
        <f t="shared" si="8"/>
        <v>0</v>
      </c>
      <c r="AS40">
        <f t="shared" si="8"/>
        <v>0</v>
      </c>
      <c r="AU40">
        <f>SUM(AU2:AU38)</f>
        <v>0</v>
      </c>
      <c r="AV40">
        <f t="shared" ref="AV40:AX40" si="9">SUM(AV2:AV38)</f>
        <v>0</v>
      </c>
      <c r="AW40">
        <f t="shared" si="9"/>
        <v>0</v>
      </c>
      <c r="AX40">
        <f t="shared" si="9"/>
        <v>0</v>
      </c>
      <c r="AZ40">
        <f>SUM(AZ2:AZ38)</f>
        <v>96</v>
      </c>
      <c r="BA40">
        <f>SUM(BA2:BA38)</f>
        <v>128.5</v>
      </c>
      <c r="BB40">
        <f t="shared" ref="BB40:BD40" si="10">SUM(BB2:BB38)</f>
        <v>189</v>
      </c>
      <c r="BC40">
        <f t="shared" si="10"/>
        <v>151</v>
      </c>
      <c r="BD40">
        <f t="shared" si="10"/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CF65-E888-4A6F-966F-F204D5A861B5}">
  <dimension ref="A1:BD40"/>
  <sheetViews>
    <sheetView topLeftCell="AF16" workbookViewId="0">
      <selection activeCell="AZ2" sqref="AZ2"/>
    </sheetView>
  </sheetViews>
  <sheetFormatPr defaultRowHeight="14.5" x14ac:dyDescent="0.35"/>
  <cols>
    <col min="6" max="6" width="8.7265625" style="5"/>
    <col min="11" max="11" width="8.7265625" style="5"/>
    <col min="16" max="16" width="8.7265625" style="5"/>
    <col min="21" max="21" width="8.7265625" style="5"/>
    <col min="26" max="26" width="8.7265625" style="5"/>
    <col min="31" max="31" width="8.7265625" style="5"/>
    <col min="36" max="36" width="8.7265625" style="5"/>
    <col min="41" max="41" width="8.7265625" style="5"/>
    <col min="46" max="46" width="8.7265625" style="5"/>
    <col min="50" max="51" width="8.7265625" style="5"/>
  </cols>
  <sheetData>
    <row r="1" spans="1:55" x14ac:dyDescent="0.35">
      <c r="A1" t="s">
        <v>19</v>
      </c>
      <c r="B1" t="s">
        <v>47</v>
      </c>
      <c r="C1" t="s">
        <v>48</v>
      </c>
      <c r="D1" t="s">
        <v>49</v>
      </c>
      <c r="E1" t="s">
        <v>50</v>
      </c>
      <c r="F1" s="5">
        <v>1</v>
      </c>
      <c r="G1" t="s">
        <v>47</v>
      </c>
      <c r="H1" t="s">
        <v>48</v>
      </c>
      <c r="I1" t="s">
        <v>49</v>
      </c>
      <c r="J1" t="s">
        <v>50</v>
      </c>
      <c r="K1" s="5">
        <v>2</v>
      </c>
      <c r="L1" t="s">
        <v>47</v>
      </c>
      <c r="M1" t="s">
        <v>48</v>
      </c>
      <c r="N1" t="s">
        <v>49</v>
      </c>
      <c r="O1" t="s">
        <v>50</v>
      </c>
      <c r="P1" s="5">
        <v>3</v>
      </c>
      <c r="Q1" t="s">
        <v>47</v>
      </c>
      <c r="R1" t="s">
        <v>48</v>
      </c>
      <c r="S1" t="s">
        <v>49</v>
      </c>
      <c r="T1" t="s">
        <v>50</v>
      </c>
      <c r="U1" s="5">
        <v>4</v>
      </c>
      <c r="V1" t="s">
        <v>47</v>
      </c>
      <c r="W1" t="s">
        <v>48</v>
      </c>
      <c r="X1" t="s">
        <v>49</v>
      </c>
      <c r="Y1" t="s">
        <v>50</v>
      </c>
      <c r="Z1" s="5">
        <v>5</v>
      </c>
      <c r="AA1" t="s">
        <v>47</v>
      </c>
      <c r="AB1" t="s">
        <v>48</v>
      </c>
      <c r="AC1" t="s">
        <v>49</v>
      </c>
      <c r="AD1" t="s">
        <v>50</v>
      </c>
      <c r="AE1" s="5">
        <v>6</v>
      </c>
      <c r="AF1" t="s">
        <v>47</v>
      </c>
      <c r="AG1" t="s">
        <v>48</v>
      </c>
      <c r="AH1" t="s">
        <v>49</v>
      </c>
      <c r="AI1" t="s">
        <v>50</v>
      </c>
      <c r="AJ1" s="5">
        <v>7</v>
      </c>
      <c r="AK1" t="s">
        <v>47</v>
      </c>
      <c r="AL1" t="s">
        <v>48</v>
      </c>
      <c r="AM1" t="s">
        <v>49</v>
      </c>
      <c r="AN1" t="s">
        <v>50</v>
      </c>
      <c r="AO1" s="5">
        <v>8</v>
      </c>
      <c r="AP1" t="s">
        <v>47</v>
      </c>
      <c r="AQ1" t="s">
        <v>48</v>
      </c>
      <c r="AR1" t="s">
        <v>49</v>
      </c>
      <c r="AS1" t="s">
        <v>50</v>
      </c>
      <c r="AT1" s="5">
        <v>9</v>
      </c>
      <c r="AU1" t="s">
        <v>47</v>
      </c>
      <c r="AV1" t="s">
        <v>48</v>
      </c>
      <c r="AW1" t="s">
        <v>49</v>
      </c>
      <c r="AX1" t="s">
        <v>50</v>
      </c>
      <c r="AY1" s="5">
        <v>10</v>
      </c>
      <c r="AZ1" t="s">
        <v>109</v>
      </c>
      <c r="BA1" t="s">
        <v>110</v>
      </c>
      <c r="BB1" t="s">
        <v>111</v>
      </c>
      <c r="BC1" t="s">
        <v>112</v>
      </c>
    </row>
    <row r="2" spans="1:55" x14ac:dyDescent="0.35">
      <c r="A2">
        <v>0</v>
      </c>
      <c r="AX2"/>
      <c r="AZ2">
        <f>'Backlog DQN'!BA2*1</f>
        <v>0</v>
      </c>
      <c r="BA2">
        <f>'Backlog DQN'!BB2*1</f>
        <v>0</v>
      </c>
      <c r="BB2">
        <f>'Backlog DQN'!BC2*1</f>
        <v>0</v>
      </c>
      <c r="BC2">
        <f>'Backlog DQN'!BD2*1</f>
        <v>0</v>
      </c>
    </row>
    <row r="3" spans="1:55" x14ac:dyDescent="0.35">
      <c r="A3">
        <v>1</v>
      </c>
      <c r="AX3"/>
      <c r="AZ3">
        <f>'Backlog DQN'!BA3*1</f>
        <v>0</v>
      </c>
      <c r="BA3">
        <f>'Backlog DQN'!BB3*1</f>
        <v>0</v>
      </c>
      <c r="BB3">
        <f>'Backlog DQN'!BC3*1</f>
        <v>0</v>
      </c>
      <c r="BC3">
        <f>'Backlog DQN'!BD3*1</f>
        <v>0</v>
      </c>
    </row>
    <row r="4" spans="1:55" x14ac:dyDescent="0.35">
      <c r="A4">
        <v>2</v>
      </c>
      <c r="AX4"/>
      <c r="AZ4">
        <f>'Backlog DQN'!BA4*1</f>
        <v>0</v>
      </c>
      <c r="BA4">
        <f>'Backlog DQN'!BB4*1</f>
        <v>0</v>
      </c>
      <c r="BB4">
        <f>'Backlog DQN'!BC4*1</f>
        <v>0</v>
      </c>
      <c r="BC4">
        <f>'Backlog DQN'!BD4*1</f>
        <v>0</v>
      </c>
    </row>
    <row r="5" spans="1:55" x14ac:dyDescent="0.35">
      <c r="A5">
        <v>3</v>
      </c>
      <c r="AX5"/>
      <c r="AZ5">
        <f>'Backlog DQN'!BA5*1</f>
        <v>0</v>
      </c>
      <c r="BA5">
        <f>'Backlog DQN'!BB5*1</f>
        <v>0</v>
      </c>
      <c r="BB5">
        <f>'Backlog DQN'!BC5*1</f>
        <v>0</v>
      </c>
      <c r="BC5">
        <f>'Backlog DQN'!BD5*1</f>
        <v>0</v>
      </c>
    </row>
    <row r="6" spans="1:55" x14ac:dyDescent="0.35">
      <c r="A6">
        <v>4</v>
      </c>
      <c r="AX6"/>
      <c r="AZ6">
        <f>'Backlog DQN'!BA6*1</f>
        <v>0</v>
      </c>
      <c r="BA6">
        <f>'Backlog DQN'!BB6*1</f>
        <v>0</v>
      </c>
      <c r="BB6">
        <f>'Backlog DQN'!BC6*1</f>
        <v>0</v>
      </c>
      <c r="BC6">
        <f>'Backlog DQN'!BD6*1</f>
        <v>0</v>
      </c>
    </row>
    <row r="7" spans="1:55" x14ac:dyDescent="0.35">
      <c r="A7">
        <v>5</v>
      </c>
      <c r="AX7"/>
      <c r="AZ7">
        <f>'Backlog DQN'!BA7*1</f>
        <v>0</v>
      </c>
      <c r="BA7">
        <f>'Backlog DQN'!BB7*1</f>
        <v>1</v>
      </c>
      <c r="BB7">
        <f>'Backlog DQN'!BC7*1</f>
        <v>4</v>
      </c>
      <c r="BC7">
        <f>'Backlog DQN'!BD7*1</f>
        <v>0</v>
      </c>
    </row>
    <row r="8" spans="1:55" x14ac:dyDescent="0.35">
      <c r="A8">
        <v>6</v>
      </c>
      <c r="AX8"/>
      <c r="AZ8">
        <f>'Backlog DQN'!BA8*1</f>
        <v>0</v>
      </c>
      <c r="BA8">
        <f>'Backlog DQN'!BB8*1</f>
        <v>0</v>
      </c>
      <c r="BB8">
        <f>'Backlog DQN'!BC8*1</f>
        <v>7</v>
      </c>
      <c r="BC8">
        <f>'Backlog DQN'!BD8*1</f>
        <v>0</v>
      </c>
    </row>
    <row r="9" spans="1:55" x14ac:dyDescent="0.35">
      <c r="A9">
        <v>7</v>
      </c>
      <c r="AX9"/>
      <c r="AZ9">
        <f>'Backlog DQN'!BA9*1</f>
        <v>0</v>
      </c>
      <c r="BA9">
        <f>'Backlog DQN'!BB9*1</f>
        <v>4</v>
      </c>
      <c r="BB9">
        <f>'Backlog DQN'!BC9*1</f>
        <v>6</v>
      </c>
      <c r="BC9">
        <f>'Backlog DQN'!BD9*1</f>
        <v>0</v>
      </c>
    </row>
    <row r="10" spans="1:55" x14ac:dyDescent="0.35">
      <c r="A10">
        <v>8</v>
      </c>
      <c r="AX10"/>
      <c r="AZ10">
        <f>'Backlog DQN'!BA10*1</f>
        <v>0</v>
      </c>
      <c r="BA10">
        <f>'Backlog DQN'!BB10*1</f>
        <v>7</v>
      </c>
      <c r="BB10">
        <f>'Backlog DQN'!BC10*1</f>
        <v>5</v>
      </c>
      <c r="BC10">
        <f>'Backlog DQN'!BD10*1</f>
        <v>0</v>
      </c>
    </row>
    <row r="11" spans="1:55" x14ac:dyDescent="0.35">
      <c r="A11">
        <v>9</v>
      </c>
      <c r="AX11"/>
      <c r="AZ11">
        <f>'Backlog DQN'!BA11*1</f>
        <v>3</v>
      </c>
      <c r="BA11">
        <f>'Backlog DQN'!BB11*1</f>
        <v>7</v>
      </c>
      <c r="BB11">
        <f>'Backlog DQN'!BC11*1</f>
        <v>4</v>
      </c>
      <c r="BC11">
        <f>'Backlog DQN'!BD11*1</f>
        <v>0</v>
      </c>
    </row>
    <row r="12" spans="1:55" x14ac:dyDescent="0.35">
      <c r="A12">
        <v>10</v>
      </c>
      <c r="AX12"/>
      <c r="AZ12">
        <f>'Backlog DQN'!BA12*1</f>
        <v>4</v>
      </c>
      <c r="BA12">
        <f>'Backlog DQN'!BB12*1</f>
        <v>5</v>
      </c>
      <c r="BB12">
        <f>'Backlog DQN'!BC12*1</f>
        <v>4</v>
      </c>
      <c r="BC12">
        <f>'Backlog DQN'!BD12*1</f>
        <v>0</v>
      </c>
    </row>
    <row r="13" spans="1:55" x14ac:dyDescent="0.35">
      <c r="A13">
        <v>11</v>
      </c>
      <c r="AX13"/>
      <c r="AZ13">
        <f>'Backlog DQN'!BA13*1</f>
        <v>2</v>
      </c>
      <c r="BA13">
        <f>'Backlog DQN'!BB13*1</f>
        <v>1</v>
      </c>
      <c r="BB13">
        <f>'Backlog DQN'!BC13*1</f>
        <v>2</v>
      </c>
      <c r="BC13">
        <f>'Backlog DQN'!BD13*1</f>
        <v>0</v>
      </c>
    </row>
    <row r="14" spans="1:55" x14ac:dyDescent="0.35">
      <c r="A14">
        <v>12</v>
      </c>
      <c r="AX14"/>
      <c r="AZ14">
        <f>'Backlog DQN'!BA14*1</f>
        <v>0</v>
      </c>
      <c r="BA14">
        <f>'Backlog DQN'!BB14*1</f>
        <v>0</v>
      </c>
      <c r="BB14">
        <f>'Backlog DQN'!BC14*1</f>
        <v>0</v>
      </c>
      <c r="BC14">
        <f>'Backlog DQN'!BD14*1</f>
        <v>0</v>
      </c>
    </row>
    <row r="15" spans="1:55" x14ac:dyDescent="0.35">
      <c r="A15">
        <v>13</v>
      </c>
      <c r="AX15"/>
      <c r="AZ15">
        <f>'Backlog DQN'!BA15*1</f>
        <v>0</v>
      </c>
      <c r="BA15">
        <f>'Backlog DQN'!BB15*1</f>
        <v>0</v>
      </c>
      <c r="BB15">
        <f>'Backlog DQN'!BC15*1</f>
        <v>0</v>
      </c>
      <c r="BC15">
        <f>'Backlog DQN'!BD15*1</f>
        <v>0</v>
      </c>
    </row>
    <row r="16" spans="1:55" x14ac:dyDescent="0.35">
      <c r="A16">
        <v>14</v>
      </c>
      <c r="AX16"/>
      <c r="AZ16">
        <f>'Backlog DQN'!BA16*1</f>
        <v>0</v>
      </c>
      <c r="BA16">
        <f>'Backlog DQN'!BB16*1</f>
        <v>0</v>
      </c>
      <c r="BB16">
        <f>'Backlog DQN'!BC16*1</f>
        <v>0</v>
      </c>
      <c r="BC16">
        <f>'Backlog DQN'!BD16*1</f>
        <v>0</v>
      </c>
    </row>
    <row r="17" spans="1:55" x14ac:dyDescent="0.35">
      <c r="A17">
        <v>15</v>
      </c>
      <c r="AX17"/>
      <c r="AZ17">
        <f>'Backlog DQN'!BA17*1</f>
        <v>0</v>
      </c>
      <c r="BA17">
        <f>'Backlog DQN'!BB17*1</f>
        <v>0</v>
      </c>
      <c r="BB17">
        <f>'Backlog DQN'!BC17*1</f>
        <v>0</v>
      </c>
      <c r="BC17">
        <f>'Backlog DQN'!BD17*1</f>
        <v>0</v>
      </c>
    </row>
    <row r="18" spans="1:55" x14ac:dyDescent="0.35">
      <c r="A18">
        <v>16</v>
      </c>
      <c r="AX18"/>
      <c r="AZ18">
        <f>'Backlog DQN'!BA18*1</f>
        <v>0</v>
      </c>
      <c r="BA18">
        <f>'Backlog DQN'!BB18*1</f>
        <v>0</v>
      </c>
      <c r="BB18">
        <f>'Backlog DQN'!BC18*1</f>
        <v>0</v>
      </c>
      <c r="BC18">
        <f>'Backlog DQN'!BD18*1</f>
        <v>0</v>
      </c>
    </row>
    <row r="19" spans="1:55" x14ac:dyDescent="0.35">
      <c r="A19">
        <v>17</v>
      </c>
      <c r="AX19"/>
      <c r="AZ19">
        <f>'Backlog DQN'!BA19*1</f>
        <v>0</v>
      </c>
      <c r="BA19">
        <f>'Backlog DQN'!BB19*1</f>
        <v>0</v>
      </c>
      <c r="BB19">
        <f>'Backlog DQN'!BC19*1</f>
        <v>0</v>
      </c>
      <c r="BC19">
        <f>'Backlog DQN'!BD19*1</f>
        <v>0</v>
      </c>
    </row>
    <row r="20" spans="1:55" x14ac:dyDescent="0.35">
      <c r="A20">
        <v>18</v>
      </c>
      <c r="AX20"/>
      <c r="AZ20">
        <f>'Backlog DQN'!BA20*1</f>
        <v>0</v>
      </c>
      <c r="BA20">
        <f>'Backlog DQN'!BB20*1</f>
        <v>0</v>
      </c>
      <c r="BB20">
        <f>'Backlog DQN'!BC20*1</f>
        <v>0</v>
      </c>
      <c r="BC20">
        <f>'Backlog DQN'!BD20*1</f>
        <v>0</v>
      </c>
    </row>
    <row r="21" spans="1:55" x14ac:dyDescent="0.35">
      <c r="A21">
        <v>19</v>
      </c>
      <c r="AX21"/>
      <c r="AZ21">
        <f>'Backlog DQN'!BA21*1</f>
        <v>0</v>
      </c>
      <c r="BA21">
        <f>'Backlog DQN'!BB21*1</f>
        <v>0</v>
      </c>
      <c r="BB21">
        <f>'Backlog DQN'!BC21*1</f>
        <v>0</v>
      </c>
      <c r="BC21">
        <f>'Backlog DQN'!BD21*1</f>
        <v>0</v>
      </c>
    </row>
    <row r="22" spans="1:55" x14ac:dyDescent="0.35">
      <c r="A22">
        <v>20</v>
      </c>
      <c r="AX22"/>
      <c r="AZ22">
        <f>'Backlog DQN'!BA22*1</f>
        <v>0</v>
      </c>
      <c r="BA22">
        <f>'Backlog DQN'!BB22*1</f>
        <v>0</v>
      </c>
      <c r="BB22">
        <f>'Backlog DQN'!BC22*1</f>
        <v>0</v>
      </c>
      <c r="BC22">
        <f>'Backlog DQN'!BD22*1</f>
        <v>0</v>
      </c>
    </row>
    <row r="23" spans="1:55" x14ac:dyDescent="0.35">
      <c r="A23">
        <v>21</v>
      </c>
      <c r="AX23"/>
      <c r="AZ23">
        <f>'Backlog DQN'!BA23*1</f>
        <v>0</v>
      </c>
      <c r="BA23">
        <f>'Backlog DQN'!BB23*1</f>
        <v>1</v>
      </c>
      <c r="BB23">
        <f>'Backlog DQN'!BC23*1</f>
        <v>0</v>
      </c>
      <c r="BC23">
        <f>'Backlog DQN'!BD23*1</f>
        <v>0</v>
      </c>
    </row>
    <row r="24" spans="1:55" x14ac:dyDescent="0.35">
      <c r="A24">
        <v>22</v>
      </c>
      <c r="AX24"/>
      <c r="AZ24">
        <f>'Backlog DQN'!BA24*1</f>
        <v>0</v>
      </c>
      <c r="BA24">
        <f>'Backlog DQN'!BB24*1</f>
        <v>4</v>
      </c>
      <c r="BB24">
        <f>'Backlog DQN'!BC24*1</f>
        <v>0</v>
      </c>
      <c r="BC24">
        <f>'Backlog DQN'!BD24*1</f>
        <v>0</v>
      </c>
    </row>
    <row r="25" spans="1:55" x14ac:dyDescent="0.35">
      <c r="A25">
        <v>23</v>
      </c>
      <c r="AX25"/>
      <c r="AZ25">
        <f>'Backlog DQN'!BA25*1</f>
        <v>0</v>
      </c>
      <c r="BA25">
        <f>'Backlog DQN'!BB25*1</f>
        <v>5</v>
      </c>
      <c r="BB25">
        <f>'Backlog DQN'!BC25*1</f>
        <v>10</v>
      </c>
      <c r="BC25">
        <f>'Backlog DQN'!BD25*1</f>
        <v>0</v>
      </c>
    </row>
    <row r="26" spans="1:55" x14ac:dyDescent="0.35">
      <c r="A26">
        <v>24</v>
      </c>
      <c r="AX26"/>
      <c r="AZ26">
        <f>'Backlog DQN'!BA26*1</f>
        <v>0</v>
      </c>
      <c r="BA26">
        <f>'Backlog DQN'!BB26*1</f>
        <v>4</v>
      </c>
      <c r="BB26">
        <f>'Backlog DQN'!BC26*1</f>
        <v>17</v>
      </c>
      <c r="BC26">
        <f>'Backlog DQN'!BD26*1</f>
        <v>4</v>
      </c>
    </row>
    <row r="27" spans="1:55" x14ac:dyDescent="0.35">
      <c r="A27">
        <v>25</v>
      </c>
      <c r="AX27"/>
      <c r="AZ27">
        <f>'Backlog DQN'!BA27*1</f>
        <v>0</v>
      </c>
      <c r="BA27">
        <f>'Backlog DQN'!BB27*1</f>
        <v>11</v>
      </c>
      <c r="BB27">
        <f>'Backlog DQN'!BC27*1</f>
        <v>18</v>
      </c>
      <c r="BC27">
        <f>'Backlog DQN'!BD27*1</f>
        <v>5</v>
      </c>
    </row>
    <row r="28" spans="1:55" x14ac:dyDescent="0.35">
      <c r="A28">
        <v>26</v>
      </c>
      <c r="AX28"/>
      <c r="AZ28">
        <f>'Backlog DQN'!BA28*1</f>
        <v>0</v>
      </c>
      <c r="BA28">
        <f>'Backlog DQN'!BB28*1</f>
        <v>14</v>
      </c>
      <c r="BB28">
        <f>'Backlog DQN'!BC28*1</f>
        <v>17</v>
      </c>
      <c r="BC28">
        <f>'Backlog DQN'!BD28*1</f>
        <v>1</v>
      </c>
    </row>
    <row r="29" spans="1:55" x14ac:dyDescent="0.35">
      <c r="A29">
        <v>27</v>
      </c>
      <c r="AX29"/>
      <c r="AZ29">
        <f>'Backlog DQN'!BA29*1</f>
        <v>4</v>
      </c>
      <c r="BA29">
        <f>'Backlog DQN'!BB29*1</f>
        <v>12</v>
      </c>
      <c r="BB29">
        <f>'Backlog DQN'!BC29*1</f>
        <v>12</v>
      </c>
      <c r="BC29">
        <f>'Backlog DQN'!BD29*1</f>
        <v>0</v>
      </c>
    </row>
    <row r="30" spans="1:55" x14ac:dyDescent="0.35">
      <c r="A30">
        <v>28</v>
      </c>
      <c r="AX30"/>
      <c r="AZ30">
        <f>'Backlog DQN'!BA30*1</f>
        <v>6</v>
      </c>
      <c r="BA30">
        <f>'Backlog DQN'!BB30*1</f>
        <v>8</v>
      </c>
      <c r="BB30">
        <f>'Backlog DQN'!BC30*1</f>
        <v>2</v>
      </c>
      <c r="BC30">
        <f>'Backlog DQN'!BD30*1</f>
        <v>0</v>
      </c>
    </row>
    <row r="31" spans="1:55" x14ac:dyDescent="0.35">
      <c r="A31">
        <v>29</v>
      </c>
      <c r="AX31"/>
      <c r="AZ31">
        <f>'Backlog DQN'!BA31*1</f>
        <v>3</v>
      </c>
      <c r="BA31">
        <f>'Backlog DQN'!BB31*1</f>
        <v>0</v>
      </c>
      <c r="BB31">
        <f>'Backlog DQN'!BC31*1</f>
        <v>0</v>
      </c>
      <c r="BC31">
        <f>'Backlog DQN'!BD31*1</f>
        <v>0</v>
      </c>
    </row>
    <row r="32" spans="1:55" x14ac:dyDescent="0.35">
      <c r="A32">
        <v>30</v>
      </c>
      <c r="AX32"/>
      <c r="AZ32">
        <f>'Backlog DQN'!BA32*1</f>
        <v>0</v>
      </c>
      <c r="BA32">
        <f>'Backlog DQN'!BB32*1</f>
        <v>0</v>
      </c>
      <c r="BB32">
        <f>'Backlog DQN'!BC32*1</f>
        <v>0</v>
      </c>
      <c r="BC32">
        <f>'Backlog DQN'!BD32*1</f>
        <v>0</v>
      </c>
    </row>
    <row r="33" spans="1:56" x14ac:dyDescent="0.35">
      <c r="A33">
        <v>31</v>
      </c>
      <c r="AX33"/>
      <c r="AZ33">
        <f>'Backlog DQN'!BA33*1</f>
        <v>0</v>
      </c>
      <c r="BA33">
        <f>'Backlog DQN'!BB33*1</f>
        <v>0</v>
      </c>
      <c r="BB33">
        <f>'Backlog DQN'!BC33*1</f>
        <v>0</v>
      </c>
      <c r="BC33">
        <f>'Backlog DQN'!BD33*1</f>
        <v>0</v>
      </c>
    </row>
    <row r="34" spans="1:56" x14ac:dyDescent="0.35">
      <c r="A34">
        <v>32</v>
      </c>
      <c r="AX34"/>
      <c r="AZ34">
        <f>'Backlog DQN'!BA34*1</f>
        <v>0</v>
      </c>
      <c r="BA34">
        <f>'Backlog DQN'!BB34*1</f>
        <v>0</v>
      </c>
      <c r="BB34">
        <f>'Backlog DQN'!BC34*1</f>
        <v>0</v>
      </c>
      <c r="BC34">
        <f>'Backlog DQN'!BD34*1</f>
        <v>0</v>
      </c>
    </row>
    <row r="35" spans="1:56" x14ac:dyDescent="0.35">
      <c r="A35">
        <v>33</v>
      </c>
      <c r="AX35"/>
      <c r="AZ35">
        <f>'Backlog DQN'!BA35*1</f>
        <v>0</v>
      </c>
      <c r="BA35">
        <f>'Backlog DQN'!BB35*1</f>
        <v>0</v>
      </c>
      <c r="BB35">
        <f>'Backlog DQN'!BC35*1</f>
        <v>0</v>
      </c>
      <c r="BC35">
        <f>'Backlog DQN'!BD35*1</f>
        <v>0</v>
      </c>
    </row>
    <row r="36" spans="1:56" x14ac:dyDescent="0.35">
      <c r="A36">
        <v>34</v>
      </c>
      <c r="AX36"/>
      <c r="AZ36">
        <f>'Backlog DQN'!BA36*1</f>
        <v>0</v>
      </c>
      <c r="BA36">
        <f>'Backlog DQN'!BB36*1</f>
        <v>0</v>
      </c>
      <c r="BB36">
        <f>'Backlog DQN'!BC36*1</f>
        <v>0</v>
      </c>
      <c r="BC36">
        <f>'Backlog DQN'!BD36*1</f>
        <v>0</v>
      </c>
    </row>
    <row r="37" spans="1:56" x14ac:dyDescent="0.35">
      <c r="A37">
        <v>35</v>
      </c>
      <c r="AX37"/>
      <c r="AZ37">
        <f>'Backlog DQN'!BA37*1</f>
        <v>0</v>
      </c>
      <c r="BA37">
        <f>'Backlog DQN'!BB37*1</f>
        <v>0</v>
      </c>
      <c r="BB37">
        <f>'Backlog DQN'!BC37*1</f>
        <v>0</v>
      </c>
      <c r="BC37">
        <f>'Backlog DQN'!BD37*1</f>
        <v>0</v>
      </c>
    </row>
    <row r="38" spans="1:56" x14ac:dyDescent="0.35">
      <c r="A38">
        <v>36</v>
      </c>
      <c r="AX38"/>
      <c r="AZ38">
        <f>'Backlog DQN'!BA38*1</f>
        <v>0</v>
      </c>
      <c r="BA38">
        <f>'Backlog DQN'!BB38*1</f>
        <v>0</v>
      </c>
      <c r="BB38">
        <f>'Backlog DQN'!BC38*1</f>
        <v>0</v>
      </c>
      <c r="BC38">
        <f>'Backlog DQN'!BD38*1</f>
        <v>0</v>
      </c>
    </row>
    <row r="40" spans="1:56" x14ac:dyDescent="0.35">
      <c r="A40" t="s">
        <v>9</v>
      </c>
      <c r="B40">
        <f>SUM(B2:B38)</f>
        <v>0</v>
      </c>
      <c r="C40">
        <f t="shared" ref="C40:E40" si="0">SUM(C2:C38)</f>
        <v>0</v>
      </c>
      <c r="D40">
        <f t="shared" si="0"/>
        <v>0</v>
      </c>
      <c r="E40">
        <f t="shared" si="0"/>
        <v>0</v>
      </c>
      <c r="G40">
        <f>SUM(G2:G38)</f>
        <v>0</v>
      </c>
      <c r="H40">
        <f t="shared" ref="H40:J40" si="1">SUM(H2:H38)</f>
        <v>0</v>
      </c>
      <c r="I40">
        <f t="shared" si="1"/>
        <v>0</v>
      </c>
      <c r="J40">
        <f t="shared" si="1"/>
        <v>0</v>
      </c>
      <c r="L40">
        <f>SUM(L2:L38)</f>
        <v>0</v>
      </c>
      <c r="M40">
        <f t="shared" ref="M40:O40" si="2">SUM(M2:M38)</f>
        <v>0</v>
      </c>
      <c r="N40">
        <f t="shared" si="2"/>
        <v>0</v>
      </c>
      <c r="O40">
        <f t="shared" si="2"/>
        <v>0</v>
      </c>
      <c r="Q40">
        <f>SUM(Q2:Q38)</f>
        <v>0</v>
      </c>
      <c r="R40">
        <f t="shared" ref="R40:T40" si="3">SUM(R2:R38)</f>
        <v>0</v>
      </c>
      <c r="S40">
        <f t="shared" si="3"/>
        <v>0</v>
      </c>
      <c r="T40">
        <f t="shared" si="3"/>
        <v>0</v>
      </c>
      <c r="V40">
        <f>SUM(V2:V38)</f>
        <v>0</v>
      </c>
      <c r="W40">
        <f t="shared" ref="W40:Y40" si="4">SUM(W2:W38)</f>
        <v>0</v>
      </c>
      <c r="X40">
        <f t="shared" si="4"/>
        <v>0</v>
      </c>
      <c r="Y40">
        <f t="shared" si="4"/>
        <v>0</v>
      </c>
      <c r="AA40">
        <f>SUM(AA2:AA38)</f>
        <v>0</v>
      </c>
      <c r="AB40">
        <f t="shared" ref="AB40:AD40" si="5">SUM(AB2:AB38)</f>
        <v>0</v>
      </c>
      <c r="AC40">
        <f t="shared" si="5"/>
        <v>0</v>
      </c>
      <c r="AD40">
        <f t="shared" si="5"/>
        <v>0</v>
      </c>
      <c r="AF40">
        <f>SUM(AF2:AF38)</f>
        <v>0</v>
      </c>
      <c r="AG40">
        <f t="shared" ref="AG40:AI40" si="6">SUM(AG2:AG38)</f>
        <v>0</v>
      </c>
      <c r="AH40">
        <f t="shared" si="6"/>
        <v>0</v>
      </c>
      <c r="AI40">
        <f t="shared" si="6"/>
        <v>0</v>
      </c>
      <c r="AK40">
        <f>SUM(AK2:AK38)</f>
        <v>0</v>
      </c>
      <c r="AL40">
        <f t="shared" ref="AL40:AN40" si="7">SUM(AL2:AL38)</f>
        <v>0</v>
      </c>
      <c r="AM40">
        <f t="shared" si="7"/>
        <v>0</v>
      </c>
      <c r="AN40">
        <f t="shared" si="7"/>
        <v>0</v>
      </c>
      <c r="AP40">
        <f>SUM(AP2:AP38)</f>
        <v>0</v>
      </c>
      <c r="AQ40">
        <f t="shared" ref="AQ40:AS40" si="8">SUM(AQ2:AQ38)</f>
        <v>0</v>
      </c>
      <c r="AR40">
        <f t="shared" si="8"/>
        <v>0</v>
      </c>
      <c r="AS40">
        <f t="shared" si="8"/>
        <v>0</v>
      </c>
      <c r="AU40">
        <f>SUM(AU2:AU38)</f>
        <v>0</v>
      </c>
      <c r="AV40">
        <f t="shared" ref="AV40:AX40" si="9">SUM(AV2:AV38)</f>
        <v>0</v>
      </c>
      <c r="AW40">
        <f t="shared" si="9"/>
        <v>0</v>
      </c>
      <c r="AX40">
        <f t="shared" si="9"/>
        <v>0</v>
      </c>
      <c r="AZ40">
        <f>SUM(AZ2:AZ38)</f>
        <v>22</v>
      </c>
      <c r="BA40">
        <f>SUM(BA2:BA38)</f>
        <v>84</v>
      </c>
      <c r="BB40">
        <f t="shared" ref="BB40:BD40" si="10">SUM(BB2:BB38)</f>
        <v>108</v>
      </c>
      <c r="BC40">
        <f t="shared" si="10"/>
        <v>10</v>
      </c>
      <c r="BD40">
        <f t="shared" si="10"/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3A8A1-824F-475D-A2C0-6B2177D92DF7}">
  <dimension ref="A1"/>
  <sheetViews>
    <sheetView topLeftCell="A74" workbookViewId="0">
      <selection activeCell="N88" sqref="N8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Results_from_Source</vt:lpstr>
      <vt:lpstr>Results_Calculated</vt:lpstr>
      <vt:lpstr>Graphs Total</vt:lpstr>
      <vt:lpstr>Totals All</vt:lpstr>
      <vt:lpstr>Totals Baseline</vt:lpstr>
      <vt:lpstr>Graphs Baseline</vt:lpstr>
      <vt:lpstr>Inventory Baseline</vt:lpstr>
      <vt:lpstr>Backlog Baseline</vt:lpstr>
      <vt:lpstr>Orders Baseline</vt:lpstr>
      <vt:lpstr>IHC Baseline</vt:lpstr>
      <vt:lpstr>UBC Baseline</vt:lpstr>
      <vt:lpstr>Totals ELV</vt:lpstr>
      <vt:lpstr>Graphs ELV</vt:lpstr>
      <vt:lpstr>Inventory ELV</vt:lpstr>
      <vt:lpstr>Backlog ELV</vt:lpstr>
      <vt:lpstr>Orders ELV</vt:lpstr>
      <vt:lpstr>IHC ELV</vt:lpstr>
      <vt:lpstr>UBC ELV</vt:lpstr>
      <vt:lpstr>Totals CRP</vt:lpstr>
      <vt:lpstr>Graphs CRP</vt:lpstr>
      <vt:lpstr>Inventory CRP</vt:lpstr>
      <vt:lpstr>Backlog CRP</vt:lpstr>
      <vt:lpstr>Orders CRP</vt:lpstr>
      <vt:lpstr>IHC CRP</vt:lpstr>
      <vt:lpstr>UBC CRP</vt:lpstr>
      <vt:lpstr>Totals DQN</vt:lpstr>
      <vt:lpstr>Inventory DQN</vt:lpstr>
      <vt:lpstr>Backlog DQN</vt:lpstr>
      <vt:lpstr>Orders DQN</vt:lpstr>
      <vt:lpstr>IHC DQN</vt:lpstr>
      <vt:lpstr>UBC DQN</vt:lpstr>
      <vt:lpstr>Graphs DQN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Willemsen Johannes</dc:creator>
  <cp:lastModifiedBy>Willemsen Johannes</cp:lastModifiedBy>
  <dcterms:created xsi:type="dcterms:W3CDTF">2025-12-07T13:42:44Z</dcterms:created>
  <dcterms:modified xsi:type="dcterms:W3CDTF">2026-04-28T20:02:52Z</dcterms:modified>
</cp:coreProperties>
</file>